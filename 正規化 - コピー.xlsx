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U:\B000005_営業本部　ハウス備品事業本部\障がい者農園事業部\004_はーとふる農園　愛川\農業指導員\★野菜販売\収量関係\"/>
    </mc:Choice>
  </mc:AlternateContent>
  <xr:revisionPtr revIDLastSave="0" documentId="13_ncr:1_{6B76F1AB-C2B2-4650-90E3-3DF337968422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heet1" sheetId="1" r:id="rId1"/>
    <sheet name="正規化" sheetId="4" r:id="rId2"/>
    <sheet name="Sheet2" sheetId="5" r:id="rId3"/>
    <sheet name="企業名" sheetId="6" r:id="rId4"/>
    <sheet name="収穫野菜名" sheetId="7" r:id="rId5"/>
  </sheets>
  <definedNames>
    <definedName name="no_link_1" localSheetId="1">正規化!#REF!</definedName>
    <definedName name="no_link_10" localSheetId="1">正規化!$A$10</definedName>
    <definedName name="no_link_100" localSheetId="1">正規化!$A$100</definedName>
    <definedName name="no_link_101" localSheetId="1">正規化!$A$101</definedName>
    <definedName name="no_link_102" localSheetId="1">正規化!$A$102</definedName>
    <definedName name="no_link_103" localSheetId="1">正規化!$A$103</definedName>
    <definedName name="no_link_104" localSheetId="1">正規化!$A$104</definedName>
    <definedName name="no_link_105" localSheetId="1">正規化!$A$105</definedName>
    <definedName name="no_link_106" localSheetId="1">正規化!$A$106</definedName>
    <definedName name="no_link_107" localSheetId="1">正規化!$A$107</definedName>
    <definedName name="no_link_108" localSheetId="1">正規化!$A$108</definedName>
    <definedName name="no_link_109" localSheetId="1">正規化!$A$109</definedName>
    <definedName name="no_link_11" localSheetId="1">正規化!$A$11</definedName>
    <definedName name="no_link_110" localSheetId="1">正規化!$A$110</definedName>
    <definedName name="no_link_111" localSheetId="1">正規化!$A$111</definedName>
    <definedName name="no_link_112" localSheetId="1">正規化!$A$112</definedName>
    <definedName name="no_link_113" localSheetId="1">正規化!$A$113</definedName>
    <definedName name="no_link_114" localSheetId="1">正規化!$A$114</definedName>
    <definedName name="no_link_115" localSheetId="1">正規化!$A$115</definedName>
    <definedName name="no_link_116" localSheetId="1">正規化!$A$116</definedName>
    <definedName name="no_link_117" localSheetId="1">正規化!$A$117</definedName>
    <definedName name="no_link_118" localSheetId="1">正規化!$A$118</definedName>
    <definedName name="no_link_119" localSheetId="1">正規化!$A$119</definedName>
    <definedName name="no_link_12" localSheetId="1">正規化!$A$12</definedName>
    <definedName name="no_link_120" localSheetId="1">正規化!$A$120</definedName>
    <definedName name="no_link_121" localSheetId="1">正規化!$A$121</definedName>
    <definedName name="no_link_122" localSheetId="1">正規化!$A$122</definedName>
    <definedName name="no_link_123" localSheetId="1">正規化!$A$123</definedName>
    <definedName name="no_link_124" localSheetId="1">正規化!$A$124</definedName>
    <definedName name="no_link_125" localSheetId="1">正規化!$A$125</definedName>
    <definedName name="no_link_126" localSheetId="1">正規化!$A$126</definedName>
    <definedName name="no_link_127" localSheetId="1">正規化!$A$127</definedName>
    <definedName name="no_link_128" localSheetId="1">正規化!$A$128</definedName>
    <definedName name="no_link_129" localSheetId="1">正規化!$A$129</definedName>
    <definedName name="no_link_13" localSheetId="1">正規化!$A$13</definedName>
    <definedName name="no_link_130" localSheetId="1">正規化!$A$130</definedName>
    <definedName name="no_link_131" localSheetId="1">正規化!$A$131</definedName>
    <definedName name="no_link_132" localSheetId="1">正規化!$A$132</definedName>
    <definedName name="no_link_133" localSheetId="1">正規化!$A$133</definedName>
    <definedName name="no_link_134" localSheetId="1">正規化!$A$134</definedName>
    <definedName name="no_link_135" localSheetId="1">正規化!$A$135</definedName>
    <definedName name="no_link_136" localSheetId="1">正規化!$A$136</definedName>
    <definedName name="no_link_137" localSheetId="1">正規化!$A$137</definedName>
    <definedName name="no_link_138" localSheetId="1">正規化!$A$138</definedName>
    <definedName name="no_link_139" localSheetId="1">正規化!$A$139</definedName>
    <definedName name="no_link_14" localSheetId="1">正規化!$A$14</definedName>
    <definedName name="no_link_140" localSheetId="1">正規化!$A$140</definedName>
    <definedName name="no_link_141" localSheetId="1">正規化!$A$141</definedName>
    <definedName name="no_link_142" localSheetId="1">正規化!$A$142</definedName>
    <definedName name="no_link_143" localSheetId="1">正規化!$A$143</definedName>
    <definedName name="no_link_144" localSheetId="1">正規化!$A$144</definedName>
    <definedName name="no_link_145" localSheetId="1">正規化!$A$145</definedName>
    <definedName name="no_link_146" localSheetId="1">正規化!$A$146</definedName>
    <definedName name="no_link_147" localSheetId="1">正規化!$A$147</definedName>
    <definedName name="no_link_148" localSheetId="1">正規化!$A$148</definedName>
    <definedName name="no_link_149" localSheetId="1">正規化!$A$149</definedName>
    <definedName name="no_link_15" localSheetId="1">正規化!$A$15</definedName>
    <definedName name="no_link_150" localSheetId="1">正規化!$A$150</definedName>
    <definedName name="no_link_151" localSheetId="1">正規化!$A$151</definedName>
    <definedName name="no_link_152" localSheetId="1">正規化!$A$152</definedName>
    <definedName name="no_link_153" localSheetId="1">正規化!$A$153</definedName>
    <definedName name="no_link_154" localSheetId="1">正規化!$A$154</definedName>
    <definedName name="no_link_155" localSheetId="1">正規化!$A$155</definedName>
    <definedName name="no_link_156" localSheetId="1">正規化!$A$156</definedName>
    <definedName name="no_link_157" localSheetId="1">正規化!$A$157</definedName>
    <definedName name="no_link_158" localSheetId="1">正規化!$A$158</definedName>
    <definedName name="no_link_159" localSheetId="1">正規化!$A$159</definedName>
    <definedName name="no_link_16" localSheetId="1">正規化!$A$16</definedName>
    <definedName name="no_link_160" localSheetId="1">正規化!$A$160</definedName>
    <definedName name="no_link_161" localSheetId="1">正規化!$A$161</definedName>
    <definedName name="no_link_162" localSheetId="1">正規化!$A$162</definedName>
    <definedName name="no_link_163" localSheetId="1">正規化!$A$163</definedName>
    <definedName name="no_link_164" localSheetId="1">正規化!$A$164</definedName>
    <definedName name="no_link_165" localSheetId="1">正規化!$A$165</definedName>
    <definedName name="no_link_166" localSheetId="1">正規化!$A$166</definedName>
    <definedName name="no_link_167" localSheetId="1">正規化!$A$167</definedName>
    <definedName name="no_link_168" localSheetId="1">正規化!$A$168</definedName>
    <definedName name="no_link_169" localSheetId="1">正規化!$A$169</definedName>
    <definedName name="no_link_17" localSheetId="1">正規化!$A$17</definedName>
    <definedName name="no_link_170" localSheetId="1">正規化!$A$170</definedName>
    <definedName name="no_link_171" localSheetId="1">正規化!$A$171</definedName>
    <definedName name="no_link_172" localSheetId="1">正規化!$A$172</definedName>
    <definedName name="no_link_173" localSheetId="1">正規化!$A$173</definedName>
    <definedName name="no_link_174" localSheetId="1">正規化!$A$174</definedName>
    <definedName name="no_link_175" localSheetId="1">正規化!$A$175</definedName>
    <definedName name="no_link_176" localSheetId="1">正規化!$A$176</definedName>
    <definedName name="no_link_177" localSheetId="1">正規化!$A$177</definedName>
    <definedName name="no_link_178" localSheetId="1">正規化!$A$178</definedName>
    <definedName name="no_link_179" localSheetId="1">正規化!$A$179</definedName>
    <definedName name="no_link_18" localSheetId="1">正規化!$A$18</definedName>
    <definedName name="no_link_180" localSheetId="1">正規化!$A$180</definedName>
    <definedName name="no_link_181" localSheetId="1">正規化!$A$181</definedName>
    <definedName name="no_link_182" localSheetId="1">正規化!$A$182</definedName>
    <definedName name="no_link_183" localSheetId="1">正規化!$A$183</definedName>
    <definedName name="no_link_184" localSheetId="1">正規化!$A$184</definedName>
    <definedName name="no_link_185" localSheetId="1">正規化!$A$185</definedName>
    <definedName name="no_link_186" localSheetId="1">正規化!$A$186</definedName>
    <definedName name="no_link_187" localSheetId="1">正規化!$A$187</definedName>
    <definedName name="no_link_188" localSheetId="1">正規化!$A$188</definedName>
    <definedName name="no_link_189" localSheetId="1">正規化!$A$189</definedName>
    <definedName name="no_link_19" localSheetId="1">正規化!$A$19</definedName>
    <definedName name="no_link_190" localSheetId="1">正規化!$A$190</definedName>
    <definedName name="no_link_191" localSheetId="1">正規化!$A$191</definedName>
    <definedName name="no_link_192" localSheetId="1">正規化!$A$192</definedName>
    <definedName name="no_link_193" localSheetId="1">正規化!$A$193</definedName>
    <definedName name="no_link_194" localSheetId="1">正規化!$A$194</definedName>
    <definedName name="no_link_195" localSheetId="1">正規化!$A$195</definedName>
    <definedName name="no_link_196" localSheetId="1">正規化!$A$196</definedName>
    <definedName name="no_link_197" localSheetId="1">正規化!$A$197</definedName>
    <definedName name="no_link_198" localSheetId="1">正規化!$A$198</definedName>
    <definedName name="no_link_199" localSheetId="1">正規化!$A$199</definedName>
    <definedName name="no_link_2" localSheetId="1">正規化!$A$2</definedName>
    <definedName name="no_link_20" localSheetId="1">正規化!$A$20</definedName>
    <definedName name="no_link_200" localSheetId="1">正規化!$A$200</definedName>
    <definedName name="no_link_201" localSheetId="1">正規化!$A$201</definedName>
    <definedName name="no_link_202" localSheetId="1">正規化!$A$202</definedName>
    <definedName name="no_link_203" localSheetId="1">正規化!$A$203</definedName>
    <definedName name="no_link_204" localSheetId="1">正規化!$A$204</definedName>
    <definedName name="no_link_205" localSheetId="1">正規化!$A$205</definedName>
    <definedName name="no_link_206" localSheetId="1">正規化!$A$206</definedName>
    <definedName name="no_link_207" localSheetId="1">正規化!$A$208</definedName>
    <definedName name="no_link_208" localSheetId="1">正規化!$A$209</definedName>
    <definedName name="no_link_209" localSheetId="1">正規化!$A$210</definedName>
    <definedName name="no_link_21" localSheetId="1">正規化!$A$21</definedName>
    <definedName name="no_link_210" localSheetId="1">正規化!$A$211</definedName>
    <definedName name="no_link_211" localSheetId="1">正規化!$A$212</definedName>
    <definedName name="no_link_212" localSheetId="1">正規化!$A$213</definedName>
    <definedName name="no_link_213" localSheetId="1">正規化!$A$214</definedName>
    <definedName name="no_link_214" localSheetId="1">正規化!$A$215</definedName>
    <definedName name="no_link_215" localSheetId="1">正規化!$A$216</definedName>
    <definedName name="no_link_216" localSheetId="1">正規化!$A$217</definedName>
    <definedName name="no_link_217" localSheetId="1">正規化!$A$218</definedName>
    <definedName name="no_link_218" localSheetId="1">正規化!$A$219</definedName>
    <definedName name="no_link_219" localSheetId="1">正規化!$A$220</definedName>
    <definedName name="no_link_22" localSheetId="1">正規化!$A$22</definedName>
    <definedName name="no_link_220" localSheetId="1">正規化!$A$221</definedName>
    <definedName name="no_link_221" localSheetId="1">正規化!$A$222</definedName>
    <definedName name="no_link_222" localSheetId="1">正規化!$A$223</definedName>
    <definedName name="no_link_223" localSheetId="1">正規化!$A$224</definedName>
    <definedName name="no_link_224" localSheetId="1">正規化!$A$225</definedName>
    <definedName name="no_link_225" localSheetId="1">正規化!$A$226</definedName>
    <definedName name="no_link_226" localSheetId="1">正規化!$A$227</definedName>
    <definedName name="no_link_227" localSheetId="1">正規化!$A$228</definedName>
    <definedName name="no_link_228" localSheetId="1">正規化!$A$229</definedName>
    <definedName name="no_link_229" localSheetId="1">正規化!$A$230</definedName>
    <definedName name="no_link_23" localSheetId="1">正規化!$A$23</definedName>
    <definedName name="no_link_230" localSheetId="1">正規化!$A$231</definedName>
    <definedName name="no_link_231" localSheetId="1">正規化!$A$232</definedName>
    <definedName name="no_link_232" localSheetId="1">正規化!$A$233</definedName>
    <definedName name="no_link_233" localSheetId="1">正規化!$A$234</definedName>
    <definedName name="no_link_234" localSheetId="1">正規化!$A$235</definedName>
    <definedName name="no_link_235" localSheetId="1">正規化!$A$236</definedName>
    <definedName name="no_link_236" localSheetId="1">正規化!$A$237</definedName>
    <definedName name="no_link_237" localSheetId="1">正規化!$A$238</definedName>
    <definedName name="no_link_238" localSheetId="1">正規化!$A$239</definedName>
    <definedName name="no_link_239" localSheetId="1">正規化!$A$240</definedName>
    <definedName name="no_link_24" localSheetId="1">正規化!$A$24</definedName>
    <definedName name="no_link_240" localSheetId="1">正規化!$A$241</definedName>
    <definedName name="no_link_241" localSheetId="1">正規化!$A$242</definedName>
    <definedName name="no_link_242" localSheetId="1">正規化!$A$243</definedName>
    <definedName name="no_link_243" localSheetId="1">正規化!$A$244</definedName>
    <definedName name="no_link_244" localSheetId="1">正規化!$A$245</definedName>
    <definedName name="no_link_245" localSheetId="1">正規化!$A$246</definedName>
    <definedName name="no_link_246" localSheetId="1">正規化!$A$247</definedName>
    <definedName name="no_link_247" localSheetId="1">正規化!$A$248</definedName>
    <definedName name="no_link_248" localSheetId="1">正規化!$A$249</definedName>
    <definedName name="no_link_249" localSheetId="1">正規化!$A$250</definedName>
    <definedName name="no_link_25" localSheetId="1">正規化!$A$25</definedName>
    <definedName name="no_link_250" localSheetId="1">正規化!$A$251</definedName>
    <definedName name="no_link_251" localSheetId="1">正規化!$A$252</definedName>
    <definedName name="no_link_252" localSheetId="1">正規化!$A$253</definedName>
    <definedName name="no_link_253" localSheetId="1">正規化!$A$254</definedName>
    <definedName name="no_link_254" localSheetId="1">正規化!$A$255</definedName>
    <definedName name="no_link_255" localSheetId="1">正規化!$A$256</definedName>
    <definedName name="no_link_256" localSheetId="1">正規化!$A$257</definedName>
    <definedName name="no_link_257" localSheetId="1">正規化!$A$258</definedName>
    <definedName name="no_link_258" localSheetId="1">正規化!$A$259</definedName>
    <definedName name="no_link_259" localSheetId="1">正規化!$A$260</definedName>
    <definedName name="no_link_26" localSheetId="1">正規化!$A$26</definedName>
    <definedName name="no_link_260" localSheetId="1">正規化!$A$261</definedName>
    <definedName name="no_link_261" localSheetId="1">正規化!$A$262</definedName>
    <definedName name="no_link_262" localSheetId="1">正規化!$A$263</definedName>
    <definedName name="no_link_263" localSheetId="1">正規化!$A$264</definedName>
    <definedName name="no_link_264" localSheetId="1">正規化!$A$265</definedName>
    <definedName name="no_link_265" localSheetId="1">正規化!$A$266</definedName>
    <definedName name="no_link_266" localSheetId="1">正規化!$A$267</definedName>
    <definedName name="no_link_267" localSheetId="1">正規化!$A$268</definedName>
    <definedName name="no_link_268" localSheetId="1">正規化!$A$269</definedName>
    <definedName name="no_link_269" localSheetId="1">正規化!$A$270</definedName>
    <definedName name="no_link_27" localSheetId="1">正規化!$A$27</definedName>
    <definedName name="no_link_270" localSheetId="1">正規化!$A$271</definedName>
    <definedName name="no_link_271" localSheetId="1">正規化!$A$272</definedName>
    <definedName name="no_link_272" localSheetId="1">正規化!$A$273</definedName>
    <definedName name="no_link_273" localSheetId="1">正規化!$A$274</definedName>
    <definedName name="no_link_274" localSheetId="1">正規化!$A$275</definedName>
    <definedName name="no_link_275" localSheetId="1">正規化!$A$276</definedName>
    <definedName name="no_link_276" localSheetId="1">正規化!$A$277</definedName>
    <definedName name="no_link_277" localSheetId="1">正規化!$A$278</definedName>
    <definedName name="no_link_278" localSheetId="1">正規化!$A$279</definedName>
    <definedName name="no_link_279" localSheetId="1">正規化!$A$280</definedName>
    <definedName name="no_link_28" localSheetId="1">正規化!$A$28</definedName>
    <definedName name="no_link_280" localSheetId="1">正規化!$A$281</definedName>
    <definedName name="no_link_281" localSheetId="1">正規化!$A$282</definedName>
    <definedName name="no_link_282" localSheetId="1">正規化!$A$283</definedName>
    <definedName name="no_link_283" localSheetId="1">正規化!$A$284</definedName>
    <definedName name="no_link_284" localSheetId="1">正規化!$A$285</definedName>
    <definedName name="no_link_285" localSheetId="1">正規化!$A$286</definedName>
    <definedName name="no_link_286" localSheetId="1">正規化!$A$287</definedName>
    <definedName name="no_link_287" localSheetId="1">正規化!$A$288</definedName>
    <definedName name="no_link_288" localSheetId="1">正規化!$A$289</definedName>
    <definedName name="no_link_289" localSheetId="1">正規化!$A$290</definedName>
    <definedName name="no_link_29" localSheetId="1">正規化!$A$29</definedName>
    <definedName name="no_link_290" localSheetId="1">正規化!$A$291</definedName>
    <definedName name="no_link_291" localSheetId="1">正規化!$A$292</definedName>
    <definedName name="no_link_292" localSheetId="1">正規化!$A$293</definedName>
    <definedName name="no_link_293" localSheetId="1">正規化!$A$294</definedName>
    <definedName name="no_link_294" localSheetId="1">正規化!$A$295</definedName>
    <definedName name="no_link_295" localSheetId="1">正規化!$A$296</definedName>
    <definedName name="no_link_296" localSheetId="1">正規化!$A$297</definedName>
    <definedName name="no_link_297" localSheetId="1">正規化!$A$298</definedName>
    <definedName name="no_link_298" localSheetId="1">正規化!$A$299</definedName>
    <definedName name="no_link_299" localSheetId="1">正規化!$A$300</definedName>
    <definedName name="no_link_3" localSheetId="1">正規化!$A$3</definedName>
    <definedName name="no_link_30" localSheetId="1">正規化!$A$30</definedName>
    <definedName name="no_link_300" localSheetId="1">正規化!$A$301</definedName>
    <definedName name="no_link_301" localSheetId="1">正規化!$A$302</definedName>
    <definedName name="no_link_302" localSheetId="1">正規化!$A$303</definedName>
    <definedName name="no_link_303" localSheetId="1">正規化!$A$304</definedName>
    <definedName name="no_link_304" localSheetId="1">正規化!$A$305</definedName>
    <definedName name="no_link_305" localSheetId="1">正規化!$A$306</definedName>
    <definedName name="no_link_306" localSheetId="1">正規化!$A$307</definedName>
    <definedName name="no_link_307" localSheetId="1">正規化!$A$308</definedName>
    <definedName name="no_link_308" localSheetId="1">正規化!$A$309</definedName>
    <definedName name="no_link_309" localSheetId="1">正規化!$A$310</definedName>
    <definedName name="no_link_31" localSheetId="1">正規化!$A$31</definedName>
    <definedName name="no_link_310" localSheetId="1">正規化!$A$311</definedName>
    <definedName name="no_link_311" localSheetId="1">正規化!$A$312</definedName>
    <definedName name="no_link_312" localSheetId="1">正規化!$A$313</definedName>
    <definedName name="no_link_313" localSheetId="1">正規化!$A$314</definedName>
    <definedName name="no_link_314" localSheetId="1">正規化!$A$315</definedName>
    <definedName name="no_link_315" localSheetId="1">正規化!$A$316</definedName>
    <definedName name="no_link_316" localSheetId="1">正規化!$A$317</definedName>
    <definedName name="no_link_317" localSheetId="1">正規化!$A$318</definedName>
    <definedName name="no_link_318" localSheetId="1">正規化!$A$319</definedName>
    <definedName name="no_link_319" localSheetId="1">正規化!$A$320</definedName>
    <definedName name="no_link_32" localSheetId="1">正規化!$A$32</definedName>
    <definedName name="no_link_320" localSheetId="1">正規化!$A$321</definedName>
    <definedName name="no_link_321" localSheetId="1">正規化!$A$322</definedName>
    <definedName name="no_link_322" localSheetId="1">正規化!$A$323</definedName>
    <definedName name="no_link_323" localSheetId="1">正規化!$A$324</definedName>
    <definedName name="no_link_324" localSheetId="1">正規化!$A$325</definedName>
    <definedName name="no_link_325" localSheetId="1">正規化!$A$326</definedName>
    <definedName name="no_link_326" localSheetId="1">正規化!$A$327</definedName>
    <definedName name="no_link_327" localSheetId="1">正規化!$A$328</definedName>
    <definedName name="no_link_328" localSheetId="1">正規化!$A$329</definedName>
    <definedName name="no_link_329" localSheetId="1">正規化!$A$330</definedName>
    <definedName name="no_link_33" localSheetId="1">正規化!$A$33</definedName>
    <definedName name="no_link_330" localSheetId="1">正規化!$A$331</definedName>
    <definedName name="no_link_331" localSheetId="1">正規化!$A$332</definedName>
    <definedName name="no_link_332" localSheetId="1">正規化!$A$333</definedName>
    <definedName name="no_link_333" localSheetId="1">正規化!$A$334</definedName>
    <definedName name="no_link_334" localSheetId="1">正規化!$A$335</definedName>
    <definedName name="no_link_335" localSheetId="1">正規化!$A$336</definedName>
    <definedName name="no_link_336" localSheetId="1">正規化!$A$337</definedName>
    <definedName name="no_link_337" localSheetId="1">正規化!$A$338</definedName>
    <definedName name="no_link_338" localSheetId="1">正規化!$A$339</definedName>
    <definedName name="no_link_339" localSheetId="1">正規化!$A$340</definedName>
    <definedName name="no_link_34" localSheetId="1">正規化!$A$34</definedName>
    <definedName name="no_link_340" localSheetId="1">正規化!$A$341</definedName>
    <definedName name="no_link_341" localSheetId="1">正規化!$A$342</definedName>
    <definedName name="no_link_342" localSheetId="1">正規化!$A$343</definedName>
    <definedName name="no_link_343" localSheetId="1">正規化!$A$344</definedName>
    <definedName name="no_link_344" localSheetId="1">正規化!$A$345</definedName>
    <definedName name="no_link_345" localSheetId="1">正規化!$A$346</definedName>
    <definedName name="no_link_346" localSheetId="1">正規化!$A$347</definedName>
    <definedName name="no_link_347" localSheetId="1">正規化!$A$348</definedName>
    <definedName name="no_link_348" localSheetId="1">正規化!$A$349</definedName>
    <definedName name="no_link_349" localSheetId="1">正規化!$A$350</definedName>
    <definedName name="no_link_35" localSheetId="1">正規化!$A$35</definedName>
    <definedName name="no_link_350" localSheetId="1">正規化!$A$351</definedName>
    <definedName name="no_link_351" localSheetId="1">正規化!$A$352</definedName>
    <definedName name="no_link_352" localSheetId="1">正規化!$A$353</definedName>
    <definedName name="no_link_353" localSheetId="1">正規化!$A$354</definedName>
    <definedName name="no_link_354" localSheetId="1">正規化!$A$355</definedName>
    <definedName name="no_link_355" localSheetId="1">正規化!$A$356</definedName>
    <definedName name="no_link_356" localSheetId="1">正規化!$A$357</definedName>
    <definedName name="no_link_357" localSheetId="1">正規化!$A$358</definedName>
    <definedName name="no_link_358" localSheetId="1">正規化!$A$359</definedName>
    <definedName name="no_link_359" localSheetId="1">正規化!$A$360</definedName>
    <definedName name="no_link_36" localSheetId="1">正規化!$A$36</definedName>
    <definedName name="no_link_360" localSheetId="1">正規化!$A$361</definedName>
    <definedName name="no_link_361" localSheetId="1">正規化!$A$362</definedName>
    <definedName name="no_link_362" localSheetId="1">正規化!$A$363</definedName>
    <definedName name="no_link_363" localSheetId="1">正規化!$A$364</definedName>
    <definedName name="no_link_364" localSheetId="1">正規化!$A$365</definedName>
    <definedName name="no_link_365" localSheetId="1">正規化!$A$366</definedName>
    <definedName name="no_link_366" localSheetId="1">正規化!$A$367</definedName>
    <definedName name="no_link_367" localSheetId="1">正規化!$A$368</definedName>
    <definedName name="no_link_368" localSheetId="1">正規化!$A$369</definedName>
    <definedName name="no_link_369" localSheetId="1">正規化!$A$370</definedName>
    <definedName name="no_link_37" localSheetId="1">正規化!$A$37</definedName>
    <definedName name="no_link_370" localSheetId="1">正規化!$A$371</definedName>
    <definedName name="no_link_371" localSheetId="1">正規化!$A$372</definedName>
    <definedName name="no_link_372" localSheetId="1">正規化!$A$373</definedName>
    <definedName name="no_link_373" localSheetId="1">正規化!$A$374</definedName>
    <definedName name="no_link_374" localSheetId="1">正規化!$A$375</definedName>
    <definedName name="no_link_375" localSheetId="1">正規化!$A$376</definedName>
    <definedName name="no_link_376" localSheetId="1">正規化!$A$377</definedName>
    <definedName name="no_link_377" localSheetId="1">正規化!$A$378</definedName>
    <definedName name="no_link_378" localSheetId="1">正規化!$A$379</definedName>
    <definedName name="no_link_379" localSheetId="1">正規化!$A$380</definedName>
    <definedName name="no_link_38" localSheetId="1">正規化!$A$38</definedName>
    <definedName name="no_link_380" localSheetId="1">正規化!$A$381</definedName>
    <definedName name="no_link_381" localSheetId="1">正規化!$A$382</definedName>
    <definedName name="no_link_382" localSheetId="1">正規化!$A$383</definedName>
    <definedName name="no_link_383" localSheetId="1">正規化!$A$384</definedName>
    <definedName name="no_link_384" localSheetId="1">正規化!$A$385</definedName>
    <definedName name="no_link_385" localSheetId="1">正規化!$A$386</definedName>
    <definedName name="no_link_386" localSheetId="1">正規化!$A$387</definedName>
    <definedName name="no_link_387" localSheetId="1">正規化!$A$388</definedName>
    <definedName name="no_link_388" localSheetId="1">正規化!$A$389</definedName>
    <definedName name="no_link_389" localSheetId="1">正規化!$A$390</definedName>
    <definedName name="no_link_39" localSheetId="1">正規化!$A$39</definedName>
    <definedName name="no_link_390" localSheetId="1">正規化!$A$391</definedName>
    <definedName name="no_link_391" localSheetId="1">正規化!$A$392</definedName>
    <definedName name="no_link_392" localSheetId="1">正規化!$A$393</definedName>
    <definedName name="no_link_393" localSheetId="1">正規化!$A$394</definedName>
    <definedName name="no_link_394" localSheetId="1">正規化!$A$395</definedName>
    <definedName name="no_link_395" localSheetId="1">正規化!$A$396</definedName>
    <definedName name="no_link_396" localSheetId="1">正規化!$A$397</definedName>
    <definedName name="no_link_397" localSheetId="1">正規化!$A$398</definedName>
    <definedName name="no_link_398" localSheetId="1">正規化!$A$399</definedName>
    <definedName name="no_link_399" localSheetId="1">正規化!$A$400</definedName>
    <definedName name="no_link_4" localSheetId="1">正規化!$A$4</definedName>
    <definedName name="no_link_40" localSheetId="1">正規化!$A$40</definedName>
    <definedName name="no_link_400" localSheetId="1">正規化!$A$401</definedName>
    <definedName name="no_link_401" localSheetId="1">正規化!$A$402</definedName>
    <definedName name="no_link_402" localSheetId="1">正規化!$A$403</definedName>
    <definedName name="no_link_403" localSheetId="1">正規化!$A$404</definedName>
    <definedName name="no_link_404" localSheetId="1">正規化!$A$405</definedName>
    <definedName name="no_link_405" localSheetId="1">正規化!$A$406</definedName>
    <definedName name="no_link_406" localSheetId="1">正規化!$A$407</definedName>
    <definedName name="no_link_407" localSheetId="1">正規化!$A$408</definedName>
    <definedName name="no_link_408" localSheetId="1">正規化!$A$409</definedName>
    <definedName name="no_link_409" localSheetId="1">正規化!$A$410</definedName>
    <definedName name="no_link_41" localSheetId="1">正規化!$A$41</definedName>
    <definedName name="no_link_410" localSheetId="1">正規化!$A$411</definedName>
    <definedName name="no_link_411" localSheetId="1">正規化!$A$412</definedName>
    <definedName name="no_link_412" localSheetId="1">正規化!$A$413</definedName>
    <definedName name="no_link_413" localSheetId="1">正規化!$A$414</definedName>
    <definedName name="no_link_414" localSheetId="1">正規化!$A$415</definedName>
    <definedName name="no_link_415" localSheetId="1">正規化!$A$416</definedName>
    <definedName name="no_link_416" localSheetId="1">正規化!$A$417</definedName>
    <definedName name="no_link_417" localSheetId="1">正規化!$A$418</definedName>
    <definedName name="no_link_418" localSheetId="1">正規化!$A$419</definedName>
    <definedName name="no_link_419" localSheetId="1">正規化!$A$420</definedName>
    <definedName name="no_link_42" localSheetId="1">正規化!$A$42</definedName>
    <definedName name="no_link_420" localSheetId="1">正規化!$A$421</definedName>
    <definedName name="no_link_421" localSheetId="1">正規化!$A$422</definedName>
    <definedName name="no_link_422" localSheetId="1">正規化!$A$423</definedName>
    <definedName name="no_link_423" localSheetId="1">正規化!$A$424</definedName>
    <definedName name="no_link_424" localSheetId="1">正規化!$A$425</definedName>
    <definedName name="no_link_425" localSheetId="1">正規化!$A$426</definedName>
    <definedName name="no_link_426" localSheetId="1">正規化!$A$427</definedName>
    <definedName name="no_link_427" localSheetId="1">正規化!$A$428</definedName>
    <definedName name="no_link_428" localSheetId="1">正規化!$A$429</definedName>
    <definedName name="no_link_429" localSheetId="1">正規化!$A$430</definedName>
    <definedName name="no_link_43" localSheetId="1">正規化!$A$43</definedName>
    <definedName name="no_link_430" localSheetId="1">正規化!$A$431</definedName>
    <definedName name="no_link_431" localSheetId="1">正規化!$A$432</definedName>
    <definedName name="no_link_432" localSheetId="1">正規化!$A$433</definedName>
    <definedName name="no_link_433" localSheetId="1">正規化!$A$434</definedName>
    <definedName name="no_link_434" localSheetId="1">正規化!$A$435</definedName>
    <definedName name="no_link_435" localSheetId="1">正規化!$A$436</definedName>
    <definedName name="no_link_436" localSheetId="1">正規化!$A$437</definedName>
    <definedName name="no_link_437" localSheetId="1">正規化!$A$438</definedName>
    <definedName name="no_link_438" localSheetId="1">正規化!$A$439</definedName>
    <definedName name="no_link_439" localSheetId="1">正規化!$A$440</definedName>
    <definedName name="no_link_44" localSheetId="1">正規化!$A$44</definedName>
    <definedName name="no_link_440" localSheetId="1">正規化!$A$441</definedName>
    <definedName name="no_link_441" localSheetId="1">正規化!$A$442</definedName>
    <definedName name="no_link_442" localSheetId="1">正規化!$A$443</definedName>
    <definedName name="no_link_443" localSheetId="1">正規化!$A$444</definedName>
    <definedName name="no_link_444" localSheetId="1">正規化!$A$445</definedName>
    <definedName name="no_link_445" localSheetId="1">正規化!$A$446</definedName>
    <definedName name="no_link_446" localSheetId="1">正規化!$A$447</definedName>
    <definedName name="no_link_447" localSheetId="1">正規化!$A$448</definedName>
    <definedName name="no_link_448" localSheetId="1">正規化!$A$449</definedName>
    <definedName name="no_link_449" localSheetId="1">正規化!$A$450</definedName>
    <definedName name="no_link_45" localSheetId="1">正規化!$A$45</definedName>
    <definedName name="no_link_450" localSheetId="1">正規化!$A$451</definedName>
    <definedName name="no_link_451" localSheetId="1">正規化!$A$452</definedName>
    <definedName name="no_link_452" localSheetId="1">正規化!$A$453</definedName>
    <definedName name="no_link_453" localSheetId="1">正規化!$A$454</definedName>
    <definedName name="no_link_454" localSheetId="1">正規化!$A$455</definedName>
    <definedName name="no_link_455" localSheetId="1">正規化!$A$456</definedName>
    <definedName name="no_link_456" localSheetId="1">正規化!$A$457</definedName>
    <definedName name="no_link_457" localSheetId="1">正規化!$A$458</definedName>
    <definedName name="no_link_458" localSheetId="1">正規化!$A$459</definedName>
    <definedName name="no_link_459" localSheetId="1">正規化!$A$460</definedName>
    <definedName name="no_link_46" localSheetId="1">正規化!$A$46</definedName>
    <definedName name="no_link_460" localSheetId="1">正規化!$A$461</definedName>
    <definedName name="no_link_461" localSheetId="1">正規化!$A$462</definedName>
    <definedName name="no_link_462" localSheetId="1">正規化!$A$463</definedName>
    <definedName name="no_link_463" localSheetId="1">正規化!$A$464</definedName>
    <definedName name="no_link_464" localSheetId="1">正規化!$A$465</definedName>
    <definedName name="no_link_465" localSheetId="1">正規化!$A$466</definedName>
    <definedName name="no_link_466" localSheetId="1">正規化!$A$467</definedName>
    <definedName name="no_link_467" localSheetId="1">正規化!$A$468</definedName>
    <definedName name="no_link_468" localSheetId="1">正規化!$A$469</definedName>
    <definedName name="no_link_469" localSheetId="1">正規化!$A$470</definedName>
    <definedName name="no_link_47" localSheetId="1">正規化!$A$47</definedName>
    <definedName name="no_link_470" localSheetId="1">正規化!$A$471</definedName>
    <definedName name="no_link_471" localSheetId="1">正規化!$A$472</definedName>
    <definedName name="no_link_472" localSheetId="1">正規化!$A$473</definedName>
    <definedName name="no_link_473" localSheetId="1">正規化!$A$474</definedName>
    <definedName name="no_link_474" localSheetId="1">正規化!$A$475</definedName>
    <definedName name="no_link_475" localSheetId="1">正規化!$A$476</definedName>
    <definedName name="no_link_476" localSheetId="1">正規化!$A$477</definedName>
    <definedName name="no_link_477" localSheetId="1">正規化!$A$478</definedName>
    <definedName name="no_link_478" localSheetId="1">正規化!$A$479</definedName>
    <definedName name="no_link_479" localSheetId="1">正規化!$A$480</definedName>
    <definedName name="no_link_48" localSheetId="1">正規化!$A$48</definedName>
    <definedName name="no_link_480" localSheetId="1">正規化!$A$481</definedName>
    <definedName name="no_link_481" localSheetId="1">正規化!$A$482</definedName>
    <definedName name="no_link_482" localSheetId="1">正規化!$A$483</definedName>
    <definedName name="no_link_483" localSheetId="1">正規化!$A$484</definedName>
    <definedName name="no_link_484" localSheetId="1">正規化!$A$485</definedName>
    <definedName name="no_link_485" localSheetId="1">正規化!$A$486</definedName>
    <definedName name="no_link_486" localSheetId="1">正規化!$A$487</definedName>
    <definedName name="no_link_487" localSheetId="1">正規化!$A$488</definedName>
    <definedName name="no_link_488" localSheetId="1">正規化!$A$489</definedName>
    <definedName name="no_link_489" localSheetId="1">正規化!$A$490</definedName>
    <definedName name="no_link_49" localSheetId="1">正規化!$A$49</definedName>
    <definedName name="no_link_490" localSheetId="1">正規化!$A$491</definedName>
    <definedName name="no_link_491" localSheetId="1">正規化!$A$492</definedName>
    <definedName name="no_link_492" localSheetId="1">正規化!$A$493</definedName>
    <definedName name="no_link_493" localSheetId="1">正規化!$A$494</definedName>
    <definedName name="no_link_494" localSheetId="1">正規化!$A$495</definedName>
    <definedName name="no_link_495" localSheetId="1">正規化!$A$496</definedName>
    <definedName name="no_link_496" localSheetId="1">正規化!$A$497</definedName>
    <definedName name="no_link_497" localSheetId="1">正規化!$A$498</definedName>
    <definedName name="no_link_498" localSheetId="1">正規化!$A$499</definedName>
    <definedName name="no_link_499" localSheetId="1">正規化!$A$500</definedName>
    <definedName name="no_link_5" localSheetId="1">正規化!$A$5</definedName>
    <definedName name="no_link_50" localSheetId="1">正規化!$A$50</definedName>
    <definedName name="no_link_500" localSheetId="1">正規化!$A$501</definedName>
    <definedName name="no_link_501" localSheetId="1">正規化!$A$502</definedName>
    <definedName name="no_link_502" localSheetId="1">正規化!$A$503</definedName>
    <definedName name="no_link_503" localSheetId="1">正規化!$A$504</definedName>
    <definedName name="no_link_504" localSheetId="1">正規化!$A$505</definedName>
    <definedName name="no_link_505" localSheetId="1">正規化!$A$506</definedName>
    <definedName name="no_link_506" localSheetId="1">正規化!$A$507</definedName>
    <definedName name="no_link_507" localSheetId="1">正規化!$A$508</definedName>
    <definedName name="no_link_508" localSheetId="1">正規化!$A$509</definedName>
    <definedName name="no_link_509" localSheetId="1">正規化!$A$510</definedName>
    <definedName name="no_link_51" localSheetId="1">正規化!$A$51</definedName>
    <definedName name="no_link_510" localSheetId="1">正規化!$A$511</definedName>
    <definedName name="no_link_511" localSheetId="1">正規化!$A$512</definedName>
    <definedName name="no_link_512" localSheetId="1">正規化!$A$513</definedName>
    <definedName name="no_link_513" localSheetId="1">正規化!$A$514</definedName>
    <definedName name="no_link_514" localSheetId="1">正規化!$A$515</definedName>
    <definedName name="no_link_515" localSheetId="1">正規化!$A$516</definedName>
    <definedName name="no_link_516" localSheetId="1">正規化!$A$517</definedName>
    <definedName name="no_link_517" localSheetId="1">正規化!$A$518</definedName>
    <definedName name="no_link_518" localSheetId="1">正規化!$A$519</definedName>
    <definedName name="no_link_519" localSheetId="1">正規化!$A$520</definedName>
    <definedName name="no_link_52" localSheetId="1">正規化!$A$52</definedName>
    <definedName name="no_link_520" localSheetId="1">正規化!$A$521</definedName>
    <definedName name="no_link_521" localSheetId="1">正規化!$A$522</definedName>
    <definedName name="no_link_522" localSheetId="1">正規化!$A$523</definedName>
    <definedName name="no_link_523" localSheetId="1">正規化!$A$524</definedName>
    <definedName name="no_link_524" localSheetId="1">正規化!$A$525</definedName>
    <definedName name="no_link_525" localSheetId="1">正規化!$A$526</definedName>
    <definedName name="no_link_526" localSheetId="1">正規化!$A$527</definedName>
    <definedName name="no_link_527" localSheetId="1">正規化!$A$528</definedName>
    <definedName name="no_link_528" localSheetId="1">正規化!$A$529</definedName>
    <definedName name="no_link_529" localSheetId="1">正規化!$A$530</definedName>
    <definedName name="no_link_53" localSheetId="1">正規化!$A$53</definedName>
    <definedName name="no_link_530" localSheetId="1">正規化!$A$531</definedName>
    <definedName name="no_link_531" localSheetId="1">正規化!$A$532</definedName>
    <definedName name="no_link_532" localSheetId="1">正規化!$A$533</definedName>
    <definedName name="no_link_533" localSheetId="1">正規化!$A$534</definedName>
    <definedName name="no_link_534" localSheetId="1">正規化!$A$535</definedName>
    <definedName name="no_link_535" localSheetId="1">正規化!$A$536</definedName>
    <definedName name="no_link_536" localSheetId="1">正規化!$A$537</definedName>
    <definedName name="no_link_537" localSheetId="1">正規化!$A$538</definedName>
    <definedName name="no_link_538" localSheetId="1">正規化!$A$539</definedName>
    <definedName name="no_link_539" localSheetId="1">正規化!$A$540</definedName>
    <definedName name="no_link_54" localSheetId="1">正規化!$A$54</definedName>
    <definedName name="no_link_540" localSheetId="1">正規化!$A$541</definedName>
    <definedName name="no_link_541" localSheetId="1">正規化!$A$542</definedName>
    <definedName name="no_link_542" localSheetId="1">正規化!$A$543</definedName>
    <definedName name="no_link_543" localSheetId="1">正規化!$A$544</definedName>
    <definedName name="no_link_544" localSheetId="1">正規化!$A$545</definedName>
    <definedName name="no_link_545" localSheetId="1">正規化!$A$546</definedName>
    <definedName name="no_link_546" localSheetId="1">正規化!$A$547</definedName>
    <definedName name="no_link_547" localSheetId="1">正規化!$A$548</definedName>
    <definedName name="no_link_548" localSheetId="1">正規化!$A$549</definedName>
    <definedName name="no_link_549" localSheetId="1">正規化!$A$550</definedName>
    <definedName name="no_link_55" localSheetId="1">正規化!$A$55</definedName>
    <definedName name="no_link_550" localSheetId="1">正規化!$A$551</definedName>
    <definedName name="no_link_551" localSheetId="1">正規化!$A$552</definedName>
    <definedName name="no_link_552" localSheetId="1">正規化!$A$553</definedName>
    <definedName name="no_link_553" localSheetId="1">正規化!$A$554</definedName>
    <definedName name="no_link_554" localSheetId="1">正規化!$A$555</definedName>
    <definedName name="no_link_555" localSheetId="1">正規化!$A$556</definedName>
    <definedName name="no_link_556" localSheetId="1">正規化!$A$557</definedName>
    <definedName name="no_link_557" localSheetId="1">正規化!$A$558</definedName>
    <definedName name="no_link_558" localSheetId="1">正規化!$A$559</definedName>
    <definedName name="no_link_559" localSheetId="1">正規化!$A$560</definedName>
    <definedName name="no_link_56" localSheetId="1">正規化!$A$56</definedName>
    <definedName name="no_link_560" localSheetId="1">正規化!$A$561</definedName>
    <definedName name="no_link_561" localSheetId="1">正規化!$A$562</definedName>
    <definedName name="no_link_562" localSheetId="1">正規化!$A$563</definedName>
    <definedName name="no_link_563" localSheetId="1">正規化!$A$564</definedName>
    <definedName name="no_link_564" localSheetId="1">正規化!$A$565</definedName>
    <definedName name="no_link_565" localSheetId="1">正規化!$A$566</definedName>
    <definedName name="no_link_566" localSheetId="1">正規化!$A$567</definedName>
    <definedName name="no_link_567" localSheetId="1">正規化!$A$568</definedName>
    <definedName name="no_link_568" localSheetId="1">正規化!$A$569</definedName>
    <definedName name="no_link_569" localSheetId="1">正規化!$A$570</definedName>
    <definedName name="no_link_57" localSheetId="1">正規化!$A$57</definedName>
    <definedName name="no_link_570" localSheetId="1">正規化!$A$571</definedName>
    <definedName name="no_link_571" localSheetId="1">正規化!$A$572</definedName>
    <definedName name="no_link_572" localSheetId="1">正規化!$A$573</definedName>
    <definedName name="no_link_573" localSheetId="1">正規化!$A$574</definedName>
    <definedName name="no_link_574" localSheetId="1">正規化!$A$575</definedName>
    <definedName name="no_link_575" localSheetId="1">正規化!$A$576</definedName>
    <definedName name="no_link_576" localSheetId="1">正規化!$A$577</definedName>
    <definedName name="no_link_577" localSheetId="1">正規化!$A$578</definedName>
    <definedName name="no_link_578" localSheetId="1">正規化!$A$579</definedName>
    <definedName name="no_link_579" localSheetId="1">正規化!$A$580</definedName>
    <definedName name="no_link_58" localSheetId="1">正規化!$A$58</definedName>
    <definedName name="no_link_580" localSheetId="1">正規化!$A$581</definedName>
    <definedName name="no_link_581" localSheetId="1">正規化!$A$582</definedName>
    <definedName name="no_link_582" localSheetId="1">正規化!$A$583</definedName>
    <definedName name="no_link_583" localSheetId="1">正規化!$A$584</definedName>
    <definedName name="no_link_584" localSheetId="1">正規化!$A$585</definedName>
    <definedName name="no_link_585" localSheetId="1">正規化!$A$586</definedName>
    <definedName name="no_link_586" localSheetId="1">正規化!$A$587</definedName>
    <definedName name="no_link_587" localSheetId="1">正規化!$A$588</definedName>
    <definedName name="no_link_588" localSheetId="1">正規化!$A$589</definedName>
    <definedName name="no_link_589" localSheetId="1">正規化!$A$590</definedName>
    <definedName name="no_link_59" localSheetId="1">正規化!$A$59</definedName>
    <definedName name="no_link_590" localSheetId="1">正規化!$A$592</definedName>
    <definedName name="no_link_591" localSheetId="1">正規化!$A$593</definedName>
    <definedName name="no_link_592" localSheetId="1">正規化!$A$594</definedName>
    <definedName name="no_link_593" localSheetId="1">正規化!$A$595</definedName>
    <definedName name="no_link_594" localSheetId="1">正規化!$A$596</definedName>
    <definedName name="no_link_595" localSheetId="1">正規化!$A$597</definedName>
    <definedName name="no_link_596" localSheetId="1">正規化!$A$598</definedName>
    <definedName name="no_link_597" localSheetId="1">正規化!$A$599</definedName>
    <definedName name="no_link_598" localSheetId="1">正規化!$A$600</definedName>
    <definedName name="no_link_599" localSheetId="1">正規化!$A$601</definedName>
    <definedName name="no_link_6" localSheetId="1">正規化!$A$6</definedName>
    <definedName name="no_link_60" localSheetId="1">正規化!$A$60</definedName>
    <definedName name="no_link_600" localSheetId="1">正規化!$A$602</definedName>
    <definedName name="no_link_601" localSheetId="1">正規化!$A$603</definedName>
    <definedName name="no_link_602" localSheetId="1">正規化!$A$604</definedName>
    <definedName name="no_link_603" localSheetId="1">正規化!$A$605</definedName>
    <definedName name="no_link_604" localSheetId="1">正規化!$A$606</definedName>
    <definedName name="no_link_605" localSheetId="1">正規化!$A$607</definedName>
    <definedName name="no_link_606" localSheetId="1">正規化!$A$608</definedName>
    <definedName name="no_link_607" localSheetId="1">正規化!$A$609</definedName>
    <definedName name="no_link_608" localSheetId="1">正規化!$A$610</definedName>
    <definedName name="no_link_609" localSheetId="1">正規化!$A$611</definedName>
    <definedName name="no_link_61" localSheetId="1">正規化!$A$61</definedName>
    <definedName name="no_link_610" localSheetId="1">正規化!$A$612</definedName>
    <definedName name="no_link_611" localSheetId="1">正規化!$A$613</definedName>
    <definedName name="no_link_612" localSheetId="1">正規化!$A$614</definedName>
    <definedName name="no_link_613" localSheetId="1">正規化!$A$615</definedName>
    <definedName name="no_link_614" localSheetId="1">正規化!$A$616</definedName>
    <definedName name="no_link_615" localSheetId="1">正規化!$A$617</definedName>
    <definedName name="no_link_616" localSheetId="1">正規化!$A$618</definedName>
    <definedName name="no_link_617" localSheetId="1">正規化!$A$619</definedName>
    <definedName name="no_link_618" localSheetId="1">正規化!$A$620</definedName>
    <definedName name="no_link_619" localSheetId="1">正規化!$A$621</definedName>
    <definedName name="no_link_62" localSheetId="1">正規化!$A$62</definedName>
    <definedName name="no_link_620" localSheetId="1">正規化!$A$622</definedName>
    <definedName name="no_link_621" localSheetId="1">正規化!$A$623</definedName>
    <definedName name="no_link_622" localSheetId="1">正規化!$A$624</definedName>
    <definedName name="no_link_623" localSheetId="1">正規化!$A$625</definedName>
    <definedName name="no_link_624" localSheetId="1">正規化!$A$626</definedName>
    <definedName name="no_link_625" localSheetId="1">正規化!$A$627</definedName>
    <definedName name="no_link_626" localSheetId="1">正規化!$A$628</definedName>
    <definedName name="no_link_627" localSheetId="1">正規化!$A$629</definedName>
    <definedName name="no_link_628" localSheetId="1">正規化!$A$630</definedName>
    <definedName name="no_link_629" localSheetId="1">正規化!$A$631</definedName>
    <definedName name="no_link_63" localSheetId="1">正規化!$A$63</definedName>
    <definedName name="no_link_630" localSheetId="1">正規化!$A$632</definedName>
    <definedName name="no_link_631" localSheetId="1">正規化!$A$633</definedName>
    <definedName name="no_link_632" localSheetId="1">正規化!$A$634</definedName>
    <definedName name="no_link_633" localSheetId="1">正規化!$A$635</definedName>
    <definedName name="no_link_634" localSheetId="1">正規化!$A$636</definedName>
    <definedName name="no_link_635" localSheetId="1">正規化!$A$637</definedName>
    <definedName name="no_link_636" localSheetId="1">正規化!$A$638</definedName>
    <definedName name="no_link_637" localSheetId="1">正規化!$A$639</definedName>
    <definedName name="no_link_638" localSheetId="1">正規化!$A$640</definedName>
    <definedName name="no_link_639" localSheetId="1">正規化!$A$641</definedName>
    <definedName name="no_link_64" localSheetId="1">正規化!$A$64</definedName>
    <definedName name="no_link_640" localSheetId="1">正規化!$A$642</definedName>
    <definedName name="no_link_641" localSheetId="1">正規化!$A$643</definedName>
    <definedName name="no_link_642" localSheetId="1">正規化!$A$644</definedName>
    <definedName name="no_link_643" localSheetId="1">正規化!$A$645</definedName>
    <definedName name="no_link_644" localSheetId="1">正規化!$A$646</definedName>
    <definedName name="no_link_645" localSheetId="1">正規化!$A$647</definedName>
    <definedName name="no_link_646" localSheetId="1">正規化!$A$648</definedName>
    <definedName name="no_link_647" localSheetId="1">正規化!$A$649</definedName>
    <definedName name="no_link_648" localSheetId="1">正規化!$A$650</definedName>
    <definedName name="no_link_649" localSheetId="1">正規化!$A$651</definedName>
    <definedName name="no_link_65" localSheetId="1">正規化!$A$65</definedName>
    <definedName name="no_link_650" localSheetId="1">正規化!$A$652</definedName>
    <definedName name="no_link_651" localSheetId="1">正規化!$A$653</definedName>
    <definedName name="no_link_652" localSheetId="1">正規化!$A$654</definedName>
    <definedName name="no_link_653" localSheetId="1">正規化!$A$655</definedName>
    <definedName name="no_link_654" localSheetId="1">正規化!$A$656</definedName>
    <definedName name="no_link_655" localSheetId="1">正規化!$A$657</definedName>
    <definedName name="no_link_656" localSheetId="1">正規化!$A$658</definedName>
    <definedName name="no_link_657" localSheetId="1">正規化!$A$659</definedName>
    <definedName name="no_link_658" localSheetId="1">正規化!$A$660</definedName>
    <definedName name="no_link_659" localSheetId="1">正規化!$A$661</definedName>
    <definedName name="no_link_66" localSheetId="1">正規化!$A$66</definedName>
    <definedName name="no_link_660" localSheetId="1">正規化!$A$662</definedName>
    <definedName name="no_link_661" localSheetId="1">正規化!$A$663</definedName>
    <definedName name="no_link_662" localSheetId="1">正規化!$A$664</definedName>
    <definedName name="no_link_663" localSheetId="1">正規化!$A$665</definedName>
    <definedName name="no_link_664" localSheetId="1">正規化!$A$666</definedName>
    <definedName name="no_link_665" localSheetId="1">正規化!$A$667</definedName>
    <definedName name="no_link_666" localSheetId="1">正規化!$A$668</definedName>
    <definedName name="no_link_667" localSheetId="1">正規化!$A$669</definedName>
    <definedName name="no_link_668" localSheetId="1">正規化!$A$670</definedName>
    <definedName name="no_link_669" localSheetId="1">正規化!$A$671</definedName>
    <definedName name="no_link_67" localSheetId="1">正規化!$A$67</definedName>
    <definedName name="no_link_670" localSheetId="1">正規化!$A$672</definedName>
    <definedName name="no_link_671" localSheetId="1">正規化!$A$673</definedName>
    <definedName name="no_link_672" localSheetId="1">正規化!$A$674</definedName>
    <definedName name="no_link_673" localSheetId="1">正規化!$A$675</definedName>
    <definedName name="no_link_674" localSheetId="1">正規化!$A$676</definedName>
    <definedName name="no_link_675" localSheetId="1">正規化!$A$677</definedName>
    <definedName name="no_link_676" localSheetId="1">正規化!$A$678</definedName>
    <definedName name="no_link_677" localSheetId="1">正規化!$A$679</definedName>
    <definedName name="no_link_678" localSheetId="1">正規化!$A$680</definedName>
    <definedName name="no_link_679" localSheetId="1">正規化!$A$681</definedName>
    <definedName name="no_link_68" localSheetId="1">正規化!$A$68</definedName>
    <definedName name="no_link_680" localSheetId="1">正規化!$A$682</definedName>
    <definedName name="no_link_681" localSheetId="1">正規化!$A$683</definedName>
    <definedName name="no_link_682" localSheetId="1">正規化!$A$684</definedName>
    <definedName name="no_link_683" localSheetId="1">正規化!$A$685</definedName>
    <definedName name="no_link_684" localSheetId="1">正規化!$A$686</definedName>
    <definedName name="no_link_685" localSheetId="1">正規化!$A$687</definedName>
    <definedName name="no_link_686" localSheetId="1">正規化!$A$688</definedName>
    <definedName name="no_link_687" localSheetId="1">正規化!$A$689</definedName>
    <definedName name="no_link_688" localSheetId="1">正規化!$A$690</definedName>
    <definedName name="no_link_689" localSheetId="1">正規化!$A$691</definedName>
    <definedName name="no_link_69" localSheetId="1">正規化!$A$69</definedName>
    <definedName name="no_link_690" localSheetId="1">正規化!$A$692</definedName>
    <definedName name="no_link_691" localSheetId="1">正規化!$A$693</definedName>
    <definedName name="no_link_692" localSheetId="1">正規化!$A$694</definedName>
    <definedName name="no_link_693" localSheetId="1">正規化!$A$695</definedName>
    <definedName name="no_link_694" localSheetId="1">正規化!$A$696</definedName>
    <definedName name="no_link_695" localSheetId="1">正規化!$A$697</definedName>
    <definedName name="no_link_696" localSheetId="1">正規化!$A$698</definedName>
    <definedName name="no_link_697" localSheetId="1">正規化!$A$699</definedName>
    <definedName name="no_link_698" localSheetId="1">正規化!$A$700</definedName>
    <definedName name="no_link_699" localSheetId="1">正規化!$A$701</definedName>
    <definedName name="no_link_7" localSheetId="1">正規化!$A$7</definedName>
    <definedName name="no_link_70" localSheetId="1">正規化!$A$70</definedName>
    <definedName name="no_link_700" localSheetId="1">正規化!$A$702</definedName>
    <definedName name="no_link_701" localSheetId="1">正規化!$A$703</definedName>
    <definedName name="no_link_702" localSheetId="1">正規化!$A$704</definedName>
    <definedName name="no_link_703" localSheetId="1">正規化!$A$705</definedName>
    <definedName name="no_link_704" localSheetId="1">正規化!$A$706</definedName>
    <definedName name="no_link_705" localSheetId="1">正規化!$A$707</definedName>
    <definedName name="no_link_706" localSheetId="1">正規化!$A$708</definedName>
    <definedName name="no_link_707" localSheetId="1">正規化!$A$709</definedName>
    <definedName name="no_link_708" localSheetId="1">正規化!$A$710</definedName>
    <definedName name="no_link_709" localSheetId="1">正規化!$A$711</definedName>
    <definedName name="no_link_71" localSheetId="1">正規化!$A$71</definedName>
    <definedName name="no_link_710" localSheetId="1">正規化!$A$712</definedName>
    <definedName name="no_link_711" localSheetId="1">正規化!$A$713</definedName>
    <definedName name="no_link_712" localSheetId="1">正規化!$A$714</definedName>
    <definedName name="no_link_713" localSheetId="1">正規化!$A$715</definedName>
    <definedName name="no_link_714" localSheetId="1">正規化!$A$716</definedName>
    <definedName name="no_link_715" localSheetId="1">正規化!$A$717</definedName>
    <definedName name="no_link_716" localSheetId="1">正規化!$A$718</definedName>
    <definedName name="no_link_717" localSheetId="1">正規化!$A$719</definedName>
    <definedName name="no_link_718" localSheetId="1">正規化!$A$720</definedName>
    <definedName name="no_link_719" localSheetId="1">正規化!$A$721</definedName>
    <definedName name="no_link_72" localSheetId="1">正規化!$A$72</definedName>
    <definedName name="no_link_720" localSheetId="1">正規化!$A$722</definedName>
    <definedName name="no_link_721" localSheetId="1">正規化!$A$723</definedName>
    <definedName name="no_link_722" localSheetId="1">正規化!$A$724</definedName>
    <definedName name="no_link_723" localSheetId="1">正規化!$A$725</definedName>
    <definedName name="no_link_724" localSheetId="1">正規化!$A$726</definedName>
    <definedName name="no_link_725" localSheetId="1">正規化!$A$727</definedName>
    <definedName name="no_link_726" localSheetId="1">正規化!$A$728</definedName>
    <definedName name="no_link_727" localSheetId="1">正規化!$A$729</definedName>
    <definedName name="no_link_728" localSheetId="1">正規化!$A$730</definedName>
    <definedName name="no_link_729" localSheetId="1">正規化!$A$731</definedName>
    <definedName name="no_link_73" localSheetId="1">正規化!$A$73</definedName>
    <definedName name="no_link_730" localSheetId="1">正規化!$A$732</definedName>
    <definedName name="no_link_731" localSheetId="1">正規化!$A$733</definedName>
    <definedName name="no_link_732" localSheetId="1">正規化!$A$734</definedName>
    <definedName name="no_link_733" localSheetId="1">正規化!$A$735</definedName>
    <definedName name="no_link_734" localSheetId="1">正規化!$A$736</definedName>
    <definedName name="no_link_735" localSheetId="1">正規化!$A$737</definedName>
    <definedName name="no_link_736" localSheetId="1">正規化!$A$738</definedName>
    <definedName name="no_link_737" localSheetId="1">正規化!$A$739</definedName>
    <definedName name="no_link_738" localSheetId="1">正規化!$A$740</definedName>
    <definedName name="no_link_739" localSheetId="1">正規化!$A$741</definedName>
    <definedName name="no_link_74" localSheetId="1">正規化!$A$74</definedName>
    <definedName name="no_link_740" localSheetId="1">正規化!$A$742</definedName>
    <definedName name="no_link_741" localSheetId="1">正規化!$A$743</definedName>
    <definedName name="no_link_742" localSheetId="1">正規化!$A$744</definedName>
    <definedName name="no_link_743" localSheetId="1">正規化!$A$745</definedName>
    <definedName name="no_link_744" localSheetId="1">正規化!$A$746</definedName>
    <definedName name="no_link_745" localSheetId="1">正規化!$A$747</definedName>
    <definedName name="no_link_746" localSheetId="1">正規化!$A$748</definedName>
    <definedName name="no_link_747" localSheetId="1">正規化!$A$749</definedName>
    <definedName name="no_link_748" localSheetId="1">正規化!$A$750</definedName>
    <definedName name="no_link_749" localSheetId="1">正規化!$A$752</definedName>
    <definedName name="no_link_75" localSheetId="1">正規化!$A$75</definedName>
    <definedName name="no_link_750" localSheetId="1">正規化!$A$753</definedName>
    <definedName name="no_link_751" localSheetId="1">正規化!$A$754</definedName>
    <definedName name="no_link_752" localSheetId="1">正規化!$A$755</definedName>
    <definedName name="no_link_753" localSheetId="1">正規化!$A$756</definedName>
    <definedName name="no_link_754" localSheetId="1">正規化!$A$757</definedName>
    <definedName name="no_link_755" localSheetId="1">正規化!$A$758</definedName>
    <definedName name="no_link_756" localSheetId="1">正規化!$A$759</definedName>
    <definedName name="no_link_757" localSheetId="1">正規化!$A$760</definedName>
    <definedName name="no_link_758" localSheetId="1">正規化!$A$761</definedName>
    <definedName name="no_link_759" localSheetId="1">正規化!$A$762</definedName>
    <definedName name="no_link_76" localSheetId="1">正規化!$A$76</definedName>
    <definedName name="no_link_760" localSheetId="1">正規化!$A$763</definedName>
    <definedName name="no_link_761" localSheetId="1">正規化!$A$764</definedName>
    <definedName name="no_link_762" localSheetId="1">正規化!$A$765</definedName>
    <definedName name="no_link_763" localSheetId="1">正規化!$A$766</definedName>
    <definedName name="no_link_764" localSheetId="1">正規化!$A$767</definedName>
    <definedName name="no_link_765" localSheetId="1">正規化!$A$768</definedName>
    <definedName name="no_link_766" localSheetId="1">正規化!$A$769</definedName>
    <definedName name="no_link_767" localSheetId="1">正規化!$A$770</definedName>
    <definedName name="no_link_768" localSheetId="1">正規化!$A$771</definedName>
    <definedName name="no_link_769" localSheetId="1">正規化!$A$772</definedName>
    <definedName name="no_link_77" localSheetId="1">正規化!$A$77</definedName>
    <definedName name="no_link_770" localSheetId="1">正規化!$A$773</definedName>
    <definedName name="no_link_771" localSheetId="1">正規化!$A$774</definedName>
    <definedName name="no_link_772" localSheetId="1">正規化!$A$775</definedName>
    <definedName name="no_link_773" localSheetId="1">正規化!$A$776</definedName>
    <definedName name="no_link_774" localSheetId="1">正規化!$A$777</definedName>
    <definedName name="no_link_775" localSheetId="1">正規化!$A$778</definedName>
    <definedName name="no_link_776" localSheetId="1">正規化!$A$779</definedName>
    <definedName name="no_link_777" localSheetId="1">正規化!$A$780</definedName>
    <definedName name="no_link_778" localSheetId="1">正規化!$A$781</definedName>
    <definedName name="no_link_779" localSheetId="1">正規化!$A$782</definedName>
    <definedName name="no_link_78" localSheetId="1">正規化!$A$78</definedName>
    <definedName name="no_link_780" localSheetId="1">正規化!$A$783</definedName>
    <definedName name="no_link_781" localSheetId="1">正規化!$A$784</definedName>
    <definedName name="no_link_782" localSheetId="1">正規化!$A$785</definedName>
    <definedName name="no_link_783" localSheetId="1">正規化!$A$786</definedName>
    <definedName name="no_link_784" localSheetId="1">正規化!$A$787</definedName>
    <definedName name="no_link_785" localSheetId="1">正規化!$A$788</definedName>
    <definedName name="no_link_786" localSheetId="1">正規化!$A$789</definedName>
    <definedName name="no_link_787" localSheetId="1">正規化!$A$790</definedName>
    <definedName name="no_link_788" localSheetId="1">正規化!$A$791</definedName>
    <definedName name="no_link_789" localSheetId="1">正規化!$A$792</definedName>
    <definedName name="no_link_79" localSheetId="1">正規化!$A$79</definedName>
    <definedName name="no_link_790" localSheetId="1">正規化!$A$793</definedName>
    <definedName name="no_link_791" localSheetId="1">正規化!$A$794</definedName>
    <definedName name="no_link_792" localSheetId="1">正規化!$A$795</definedName>
    <definedName name="no_link_793" localSheetId="1">正規化!$A$796</definedName>
    <definedName name="no_link_794" localSheetId="1">正規化!$A$797</definedName>
    <definedName name="no_link_795" localSheetId="1">正規化!$A$798</definedName>
    <definedName name="no_link_796" localSheetId="1">正規化!$A$799</definedName>
    <definedName name="no_link_797" localSheetId="1">正規化!$A$800</definedName>
    <definedName name="no_link_798" localSheetId="1">正規化!$A$801</definedName>
    <definedName name="no_link_799" localSheetId="1">正規化!$A$802</definedName>
    <definedName name="no_link_8" localSheetId="1">正規化!$A$8</definedName>
    <definedName name="no_link_80" localSheetId="1">正規化!$A$80</definedName>
    <definedName name="no_link_800" localSheetId="1">正規化!$A$803</definedName>
    <definedName name="no_link_801" localSheetId="1">正規化!$A$804</definedName>
    <definedName name="no_link_802" localSheetId="1">正規化!$A$805</definedName>
    <definedName name="no_link_803" localSheetId="1">正規化!$A$806</definedName>
    <definedName name="no_link_81" localSheetId="1">正規化!$A$81</definedName>
    <definedName name="no_link_82" localSheetId="1">正規化!$A$82</definedName>
    <definedName name="no_link_83" localSheetId="1">正規化!$A$83</definedName>
    <definedName name="no_link_84" localSheetId="1">正規化!$A$84</definedName>
    <definedName name="no_link_85" localSheetId="1">正規化!$A$85</definedName>
    <definedName name="no_link_86" localSheetId="1">正規化!$A$86</definedName>
    <definedName name="no_link_87" localSheetId="1">正規化!$A$87</definedName>
    <definedName name="no_link_88" localSheetId="1">正規化!$A$88</definedName>
    <definedName name="no_link_89" localSheetId="1">正規化!$A$89</definedName>
    <definedName name="no_link_9" localSheetId="1">正規化!$A$9</definedName>
    <definedName name="no_link_90" localSheetId="1">正規化!$A$90</definedName>
    <definedName name="no_link_91" localSheetId="1">正規化!$A$91</definedName>
    <definedName name="no_link_92" localSheetId="1">正規化!$A$92</definedName>
    <definedName name="no_link_93" localSheetId="1">正規化!$A$93</definedName>
    <definedName name="no_link_94" localSheetId="1">正規化!$A$94</definedName>
    <definedName name="no_link_95" localSheetId="1">正規化!$A$95</definedName>
    <definedName name="no_link_96" localSheetId="1">正規化!$A$96</definedName>
    <definedName name="no_link_97" localSheetId="1">正規化!$A$97</definedName>
    <definedName name="no_link_98" localSheetId="1">正規化!$A$98</definedName>
    <definedName name="no_link_99" localSheetId="1">正規化!$A$99</definedName>
    <definedName name="_xlnm.Print_Area" localSheetId="0">Sheet1!$E$1:$F$11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54" i="4" l="1" a="1"/>
  <c r="O754" i="4"/>
  <c r="O755" i="4" a="1"/>
  <c r="O755" i="4" s="1"/>
  <c r="Q755" i="4" s="1"/>
  <c r="O756" i="4" a="1"/>
  <c r="O756" i="4"/>
  <c r="Q756" i="4" s="1"/>
  <c r="O757" i="4" a="1"/>
  <c r="O757" i="4" s="1"/>
  <c r="Q757" i="4" s="1"/>
  <c r="O758" i="4" a="1"/>
  <c r="O758" i="4"/>
  <c r="O759" i="4" a="1"/>
  <c r="O759" i="4" s="1"/>
  <c r="Q759" i="4" s="1"/>
  <c r="O760" i="4" a="1"/>
  <c r="O760" i="4"/>
  <c r="Q760" i="4" s="1"/>
  <c r="O761" i="4" a="1"/>
  <c r="O761" i="4" s="1"/>
  <c r="Q761" i="4" s="1"/>
  <c r="O762" i="4" a="1"/>
  <c r="O762" i="4" s="1"/>
  <c r="Q762" i="4" s="1"/>
  <c r="O763" i="4" a="1"/>
  <c r="O763" i="4" s="1"/>
  <c r="Q763" i="4" s="1"/>
  <c r="O764" i="4" a="1"/>
  <c r="O764" i="4" s="1"/>
  <c r="Q764" i="4" s="1"/>
  <c r="O765" i="4" a="1"/>
  <c r="O765" i="4"/>
  <c r="O766" i="4" a="1"/>
  <c r="O766" i="4" s="1"/>
  <c r="Q766" i="4" s="1"/>
  <c r="O767" i="4" a="1"/>
  <c r="O767" i="4"/>
  <c r="Q767" i="4" s="1"/>
  <c r="O768" i="4" a="1"/>
  <c r="O768" i="4" s="1"/>
  <c r="Q768" i="4" s="1"/>
  <c r="O769" i="4" a="1"/>
  <c r="O769" i="4" s="1"/>
  <c r="Q769" i="4" s="1"/>
  <c r="O770" i="4" a="1"/>
  <c r="O770" i="4" s="1"/>
  <c r="Q770" i="4" s="1"/>
  <c r="O771" i="4" a="1"/>
  <c r="O771" i="4" s="1"/>
  <c r="Q771" i="4" s="1"/>
  <c r="O772" i="4" a="1"/>
  <c r="O772" i="4"/>
  <c r="O773" i="4" a="1"/>
  <c r="O773" i="4" s="1"/>
  <c r="Q773" i="4" s="1"/>
  <c r="O774" i="4" a="1"/>
  <c r="O774" i="4"/>
  <c r="Q774" i="4" s="1"/>
  <c r="O775" i="4" a="1"/>
  <c r="O775" i="4" s="1"/>
  <c r="Q775" i="4" s="1"/>
  <c r="O776" i="4" a="1"/>
  <c r="O776" i="4" s="1"/>
  <c r="Q776" i="4" s="1"/>
  <c r="O777" i="4" a="1"/>
  <c r="O777" i="4" s="1"/>
  <c r="Q777" i="4" s="1"/>
  <c r="O778" i="4" a="1"/>
  <c r="O778" i="4" s="1"/>
  <c r="Q778" i="4" s="1"/>
  <c r="O779" i="4" a="1"/>
  <c r="O779" i="4"/>
  <c r="O780" i="4" a="1"/>
  <c r="O780" i="4" s="1"/>
  <c r="Q780" i="4" s="1"/>
  <c r="O781" i="4" a="1"/>
  <c r="O781" i="4"/>
  <c r="Q781" i="4" s="1"/>
  <c r="O782" i="4" a="1"/>
  <c r="O782" i="4" s="1"/>
  <c r="Q782" i="4" s="1"/>
  <c r="O783" i="4" a="1"/>
  <c r="O783" i="4" s="1"/>
  <c r="Q783" i="4" s="1"/>
  <c r="O784" i="4" a="1"/>
  <c r="O784" i="4" s="1"/>
  <c r="Q784" i="4" s="1"/>
  <c r="O785" i="4" a="1"/>
  <c r="O785" i="4" s="1"/>
  <c r="Q785" i="4" s="1"/>
  <c r="O786" i="4" a="1"/>
  <c r="O786" i="4"/>
  <c r="O787" i="4" a="1"/>
  <c r="O787" i="4" s="1"/>
  <c r="Q787" i="4" s="1"/>
  <c r="O788" i="4" a="1"/>
  <c r="O788" i="4" s="1"/>
  <c r="Q788" i="4" s="1"/>
  <c r="O789" i="4" a="1"/>
  <c r="O789" i="4" s="1"/>
  <c r="Q789" i="4" s="1"/>
  <c r="O790" i="4" a="1"/>
  <c r="O790" i="4" s="1"/>
  <c r="Q790" i="4" s="1"/>
  <c r="O791" i="4" a="1"/>
  <c r="O791" i="4" s="1"/>
  <c r="Q791" i="4" s="1"/>
  <c r="O792" i="4" a="1"/>
  <c r="O792" i="4" s="1"/>
  <c r="Q792" i="4" s="1"/>
  <c r="O793" i="4" a="1"/>
  <c r="O793" i="4"/>
  <c r="O794" i="4" a="1"/>
  <c r="O794" i="4" s="1"/>
  <c r="Q794" i="4" s="1"/>
  <c r="O795" i="4" a="1"/>
  <c r="O795" i="4" s="1"/>
  <c r="Q795" i="4" s="1"/>
  <c r="O796" i="4" a="1"/>
  <c r="O796" i="4" s="1"/>
  <c r="Q796" i="4" s="1"/>
  <c r="O797" i="4" a="1"/>
  <c r="O797" i="4" s="1"/>
  <c r="Q797" i="4" s="1"/>
  <c r="O798" i="4" a="1"/>
  <c r="O798" i="4" s="1"/>
  <c r="Q798" i="4" s="1"/>
  <c r="O799" i="4" a="1"/>
  <c r="O799" i="4" s="1"/>
  <c r="Q799" i="4" s="1"/>
  <c r="O800" i="4" a="1"/>
  <c r="O800" i="4"/>
  <c r="O801" i="4" a="1"/>
  <c r="O801" i="4" s="1"/>
  <c r="Q801" i="4" s="1"/>
  <c r="O802" i="4" a="1"/>
  <c r="O802" i="4" s="1"/>
  <c r="Q802" i="4" s="1"/>
  <c r="O803" i="4" a="1"/>
  <c r="O803" i="4" s="1"/>
  <c r="Q803" i="4" s="1"/>
  <c r="O804" i="4" a="1"/>
  <c r="O804" i="4" s="1"/>
  <c r="Q804" i="4" s="1"/>
  <c r="O805" i="4" a="1"/>
  <c r="O805" i="4" s="1"/>
  <c r="Q805" i="4" s="1"/>
  <c r="P754" i="4"/>
  <c r="Q754" i="4"/>
  <c r="R754" i="4"/>
  <c r="S754" i="4"/>
  <c r="P755" i="4"/>
  <c r="R755" i="4"/>
  <c r="S755" i="4"/>
  <c r="P756" i="4"/>
  <c r="R756" i="4"/>
  <c r="S756" i="4"/>
  <c r="P757" i="4"/>
  <c r="R757" i="4"/>
  <c r="S757" i="4"/>
  <c r="P758" i="4"/>
  <c r="Q758" i="4"/>
  <c r="R758" i="4"/>
  <c r="S758" i="4"/>
  <c r="P759" i="4"/>
  <c r="R759" i="4"/>
  <c r="S759" i="4"/>
  <c r="P760" i="4"/>
  <c r="R760" i="4"/>
  <c r="S760" i="4"/>
  <c r="P761" i="4"/>
  <c r="R761" i="4"/>
  <c r="S761" i="4"/>
  <c r="P762" i="4"/>
  <c r="R762" i="4"/>
  <c r="S762" i="4"/>
  <c r="P763" i="4"/>
  <c r="R763" i="4"/>
  <c r="S763" i="4"/>
  <c r="P764" i="4"/>
  <c r="R764" i="4"/>
  <c r="S764" i="4"/>
  <c r="P765" i="4"/>
  <c r="Q765" i="4"/>
  <c r="R765" i="4"/>
  <c r="S765" i="4"/>
  <c r="P766" i="4"/>
  <c r="R766" i="4"/>
  <c r="S766" i="4"/>
  <c r="P767" i="4"/>
  <c r="R767" i="4"/>
  <c r="S767" i="4"/>
  <c r="P768" i="4"/>
  <c r="R768" i="4"/>
  <c r="S768" i="4"/>
  <c r="P769" i="4"/>
  <c r="R769" i="4"/>
  <c r="S769" i="4"/>
  <c r="P770" i="4"/>
  <c r="R770" i="4"/>
  <c r="S770" i="4"/>
  <c r="P771" i="4"/>
  <c r="R771" i="4"/>
  <c r="S771" i="4"/>
  <c r="P772" i="4"/>
  <c r="Q772" i="4"/>
  <c r="R772" i="4"/>
  <c r="S772" i="4"/>
  <c r="P773" i="4"/>
  <c r="R773" i="4"/>
  <c r="S773" i="4"/>
  <c r="P774" i="4"/>
  <c r="R774" i="4"/>
  <c r="S774" i="4"/>
  <c r="P775" i="4"/>
  <c r="R775" i="4"/>
  <c r="S775" i="4"/>
  <c r="P776" i="4"/>
  <c r="R776" i="4"/>
  <c r="S776" i="4"/>
  <c r="P777" i="4"/>
  <c r="R777" i="4"/>
  <c r="S777" i="4"/>
  <c r="P778" i="4"/>
  <c r="R778" i="4"/>
  <c r="S778" i="4"/>
  <c r="P779" i="4"/>
  <c r="Q779" i="4"/>
  <c r="R779" i="4"/>
  <c r="S779" i="4"/>
  <c r="P780" i="4"/>
  <c r="R780" i="4"/>
  <c r="S780" i="4"/>
  <c r="P781" i="4"/>
  <c r="R781" i="4"/>
  <c r="S781" i="4"/>
  <c r="P782" i="4"/>
  <c r="R782" i="4"/>
  <c r="S782" i="4"/>
  <c r="P783" i="4"/>
  <c r="R783" i="4"/>
  <c r="S783" i="4"/>
  <c r="P784" i="4"/>
  <c r="R784" i="4"/>
  <c r="S784" i="4"/>
  <c r="P785" i="4"/>
  <c r="R785" i="4"/>
  <c r="S785" i="4"/>
  <c r="P786" i="4"/>
  <c r="Q786" i="4"/>
  <c r="R786" i="4"/>
  <c r="S786" i="4"/>
  <c r="P787" i="4"/>
  <c r="R787" i="4"/>
  <c r="S787" i="4"/>
  <c r="P788" i="4"/>
  <c r="R788" i="4"/>
  <c r="S788" i="4"/>
  <c r="P789" i="4"/>
  <c r="R789" i="4"/>
  <c r="S789" i="4"/>
  <c r="P790" i="4"/>
  <c r="R790" i="4"/>
  <c r="S790" i="4"/>
  <c r="P791" i="4"/>
  <c r="R791" i="4"/>
  <c r="S791" i="4"/>
  <c r="P792" i="4"/>
  <c r="R792" i="4"/>
  <c r="S792" i="4"/>
  <c r="P793" i="4"/>
  <c r="Q793" i="4"/>
  <c r="R793" i="4"/>
  <c r="S793" i="4"/>
  <c r="P794" i="4"/>
  <c r="R794" i="4"/>
  <c r="S794" i="4"/>
  <c r="P795" i="4"/>
  <c r="R795" i="4"/>
  <c r="S795" i="4"/>
  <c r="P796" i="4"/>
  <c r="R796" i="4"/>
  <c r="S796" i="4"/>
  <c r="P797" i="4"/>
  <c r="R797" i="4"/>
  <c r="S797" i="4"/>
  <c r="P798" i="4"/>
  <c r="R798" i="4"/>
  <c r="S798" i="4"/>
  <c r="P799" i="4"/>
  <c r="R799" i="4"/>
  <c r="S799" i="4"/>
  <c r="P800" i="4"/>
  <c r="Q800" i="4"/>
  <c r="R800" i="4"/>
  <c r="S800" i="4"/>
  <c r="P801" i="4"/>
  <c r="R801" i="4"/>
  <c r="S801" i="4"/>
  <c r="P802" i="4"/>
  <c r="R802" i="4"/>
  <c r="S802" i="4"/>
  <c r="P803" i="4"/>
  <c r="R803" i="4"/>
  <c r="S803" i="4"/>
  <c r="P804" i="4"/>
  <c r="R804" i="4"/>
  <c r="S804" i="4"/>
  <c r="P805" i="4"/>
  <c r="R805" i="4"/>
  <c r="S805" i="4"/>
  <c r="P753" i="4"/>
  <c r="S5" i="5"/>
  <c r="R5" i="5"/>
  <c r="Q5" i="5"/>
  <c r="P5" i="5"/>
  <c r="O5" i="5" a="1"/>
  <c r="O5" i="5" s="1"/>
  <c r="S4" i="5"/>
  <c r="R4" i="5"/>
  <c r="Q4" i="5"/>
  <c r="P4" i="5"/>
  <c r="O4" i="5" a="1"/>
  <c r="O4" i="5" s="1"/>
  <c r="O3" i="5" a="1"/>
  <c r="O3" i="5" s="1"/>
  <c r="S3" i="5"/>
  <c r="R3" i="5"/>
  <c r="Q3" i="5"/>
  <c r="P3" i="5"/>
  <c r="O594" i="4" a="1"/>
  <c r="O594" i="4" s="1"/>
  <c r="Q594" i="4" s="1"/>
  <c r="P594" i="4"/>
  <c r="R594" i="4"/>
  <c r="S594" i="4"/>
  <c r="O595" i="4" a="1"/>
  <c r="O595" i="4" s="1"/>
  <c r="Q595" i="4" s="1"/>
  <c r="P595" i="4"/>
  <c r="R595" i="4"/>
  <c r="S595" i="4"/>
  <c r="O596" i="4" a="1"/>
  <c r="O596" i="4" s="1"/>
  <c r="Q596" i="4" s="1"/>
  <c r="P596" i="4"/>
  <c r="R596" i="4"/>
  <c r="S596" i="4"/>
  <c r="O597" i="4" a="1"/>
  <c r="O597" i="4" s="1"/>
  <c r="Q597" i="4" s="1"/>
  <c r="P597" i="4"/>
  <c r="R597" i="4"/>
  <c r="S597" i="4"/>
  <c r="O598" i="4" a="1"/>
  <c r="O598" i="4" s="1"/>
  <c r="Q598" i="4" s="1"/>
  <c r="P598" i="4"/>
  <c r="R598" i="4"/>
  <c r="S598" i="4"/>
  <c r="O599" i="4" a="1"/>
  <c r="O599" i="4" s="1"/>
  <c r="Q599" i="4" s="1"/>
  <c r="P599" i="4"/>
  <c r="R599" i="4"/>
  <c r="S599" i="4"/>
  <c r="O600" i="4" a="1"/>
  <c r="O600" i="4" s="1"/>
  <c r="Q600" i="4" s="1"/>
  <c r="P600" i="4"/>
  <c r="R600" i="4"/>
  <c r="S600" i="4"/>
  <c r="O601" i="4" a="1"/>
  <c r="O601" i="4" s="1"/>
  <c r="Q601" i="4" s="1"/>
  <c r="P601" i="4"/>
  <c r="R601" i="4"/>
  <c r="S601" i="4"/>
  <c r="O602" i="4" a="1"/>
  <c r="O602" i="4" s="1"/>
  <c r="Q602" i="4" s="1"/>
  <c r="P602" i="4"/>
  <c r="R602" i="4"/>
  <c r="S602" i="4"/>
  <c r="O603" i="4" a="1"/>
  <c r="O603" i="4"/>
  <c r="Q603" i="4" s="1"/>
  <c r="P603" i="4"/>
  <c r="R603" i="4"/>
  <c r="S603" i="4"/>
  <c r="O604" i="4" a="1"/>
  <c r="O604" i="4" s="1"/>
  <c r="Q604" i="4" s="1"/>
  <c r="P604" i="4"/>
  <c r="R604" i="4"/>
  <c r="S604" i="4"/>
  <c r="O605" i="4" a="1"/>
  <c r="O605" i="4" s="1"/>
  <c r="Q605" i="4" s="1"/>
  <c r="P605" i="4"/>
  <c r="R605" i="4"/>
  <c r="S605" i="4"/>
  <c r="O606" i="4" a="1"/>
  <c r="O606" i="4" s="1"/>
  <c r="Q606" i="4" s="1"/>
  <c r="P606" i="4"/>
  <c r="R606" i="4"/>
  <c r="S606" i="4"/>
  <c r="O607" i="4" a="1"/>
  <c r="O607" i="4" s="1"/>
  <c r="Q607" i="4" s="1"/>
  <c r="P607" i="4"/>
  <c r="R607" i="4"/>
  <c r="S607" i="4"/>
  <c r="O608" i="4" a="1"/>
  <c r="O608" i="4" s="1"/>
  <c r="Q608" i="4" s="1"/>
  <c r="P608" i="4"/>
  <c r="R608" i="4"/>
  <c r="S608" i="4"/>
  <c r="O609" i="4" a="1"/>
  <c r="O609" i="4" s="1"/>
  <c r="Q609" i="4" s="1"/>
  <c r="P609" i="4"/>
  <c r="R609" i="4"/>
  <c r="S609" i="4"/>
  <c r="O610" i="4" a="1"/>
  <c r="O610" i="4" s="1"/>
  <c r="Q610" i="4" s="1"/>
  <c r="P610" i="4"/>
  <c r="R610" i="4"/>
  <c r="S610" i="4"/>
  <c r="O611" i="4" a="1"/>
  <c r="O611" i="4" s="1"/>
  <c r="Q611" i="4" s="1"/>
  <c r="P611" i="4"/>
  <c r="R611" i="4"/>
  <c r="S611" i="4"/>
  <c r="O612" i="4" a="1"/>
  <c r="O612" i="4" s="1"/>
  <c r="Q612" i="4" s="1"/>
  <c r="P612" i="4"/>
  <c r="R612" i="4"/>
  <c r="S612" i="4"/>
  <c r="O613" i="4" a="1"/>
  <c r="O613" i="4" s="1"/>
  <c r="Q613" i="4" s="1"/>
  <c r="P613" i="4"/>
  <c r="R613" i="4"/>
  <c r="S613" i="4"/>
  <c r="O614" i="4" a="1"/>
  <c r="O614" i="4" s="1"/>
  <c r="Q614" i="4" s="1"/>
  <c r="P614" i="4"/>
  <c r="R614" i="4"/>
  <c r="S614" i="4"/>
  <c r="O615" i="4" a="1"/>
  <c r="O615" i="4" s="1"/>
  <c r="Q615" i="4" s="1"/>
  <c r="P615" i="4"/>
  <c r="R615" i="4"/>
  <c r="S615" i="4"/>
  <c r="O616" i="4" a="1"/>
  <c r="O616" i="4" s="1"/>
  <c r="Q616" i="4" s="1"/>
  <c r="P616" i="4"/>
  <c r="R616" i="4"/>
  <c r="S616" i="4"/>
  <c r="O617" i="4" a="1"/>
  <c r="O617" i="4" s="1"/>
  <c r="Q617" i="4" s="1"/>
  <c r="P617" i="4"/>
  <c r="R617" i="4"/>
  <c r="S617" i="4"/>
  <c r="O618" i="4" a="1"/>
  <c r="O618" i="4" s="1"/>
  <c r="Q618" i="4" s="1"/>
  <c r="P618" i="4"/>
  <c r="R618" i="4"/>
  <c r="S618" i="4"/>
  <c r="O619" i="4" a="1"/>
  <c r="O619" i="4" s="1"/>
  <c r="Q619" i="4" s="1"/>
  <c r="P619" i="4"/>
  <c r="R619" i="4"/>
  <c r="S619" i="4"/>
  <c r="O620" i="4" a="1"/>
  <c r="O620" i="4" s="1"/>
  <c r="Q620" i="4" s="1"/>
  <c r="P620" i="4"/>
  <c r="R620" i="4"/>
  <c r="S620" i="4"/>
  <c r="O621" i="4" a="1"/>
  <c r="O621" i="4" s="1"/>
  <c r="Q621" i="4" s="1"/>
  <c r="P621" i="4"/>
  <c r="R621" i="4"/>
  <c r="S621" i="4"/>
  <c r="O622" i="4" a="1"/>
  <c r="O622" i="4" s="1"/>
  <c r="Q622" i="4" s="1"/>
  <c r="P622" i="4"/>
  <c r="R622" i="4"/>
  <c r="S622" i="4"/>
  <c r="O623" i="4" a="1"/>
  <c r="O623" i="4" s="1"/>
  <c r="Q623" i="4" s="1"/>
  <c r="P623" i="4"/>
  <c r="R623" i="4"/>
  <c r="S623" i="4"/>
  <c r="O624" i="4" a="1"/>
  <c r="O624" i="4" s="1"/>
  <c r="Q624" i="4" s="1"/>
  <c r="P624" i="4"/>
  <c r="R624" i="4"/>
  <c r="S624" i="4"/>
  <c r="O625" i="4" a="1"/>
  <c r="O625" i="4" s="1"/>
  <c r="Q625" i="4" s="1"/>
  <c r="P625" i="4"/>
  <c r="R625" i="4"/>
  <c r="S625" i="4"/>
  <c r="O626" i="4" a="1"/>
  <c r="O626" i="4" s="1"/>
  <c r="Q626" i="4" s="1"/>
  <c r="P626" i="4"/>
  <c r="R626" i="4"/>
  <c r="S626" i="4"/>
  <c r="O627" i="4" a="1"/>
  <c r="O627" i="4" s="1"/>
  <c r="Q627" i="4" s="1"/>
  <c r="P627" i="4"/>
  <c r="R627" i="4"/>
  <c r="S627" i="4"/>
  <c r="O628" i="4" a="1"/>
  <c r="O628" i="4" s="1"/>
  <c r="Q628" i="4" s="1"/>
  <c r="P628" i="4"/>
  <c r="R628" i="4"/>
  <c r="S628" i="4"/>
  <c r="O629" i="4" a="1"/>
  <c r="O629" i="4" s="1"/>
  <c r="Q629" i="4" s="1"/>
  <c r="P629" i="4"/>
  <c r="R629" i="4"/>
  <c r="S629" i="4"/>
  <c r="O630" i="4" a="1"/>
  <c r="O630" i="4" s="1"/>
  <c r="Q630" i="4" s="1"/>
  <c r="P630" i="4"/>
  <c r="R630" i="4"/>
  <c r="S630" i="4"/>
  <c r="O631" i="4" a="1"/>
  <c r="O631" i="4" s="1"/>
  <c r="Q631" i="4" s="1"/>
  <c r="P631" i="4"/>
  <c r="R631" i="4"/>
  <c r="S631" i="4"/>
  <c r="O632" i="4" a="1"/>
  <c r="O632" i="4" s="1"/>
  <c r="Q632" i="4" s="1"/>
  <c r="P632" i="4"/>
  <c r="R632" i="4"/>
  <c r="S632" i="4"/>
  <c r="O633" i="4" a="1"/>
  <c r="O633" i="4" s="1"/>
  <c r="Q633" i="4" s="1"/>
  <c r="P633" i="4"/>
  <c r="R633" i="4"/>
  <c r="S633" i="4"/>
  <c r="O634" i="4" a="1"/>
  <c r="O634" i="4" s="1"/>
  <c r="Q634" i="4" s="1"/>
  <c r="P634" i="4"/>
  <c r="R634" i="4"/>
  <c r="S634" i="4"/>
  <c r="O635" i="4" a="1"/>
  <c r="O635" i="4" s="1"/>
  <c r="Q635" i="4" s="1"/>
  <c r="P635" i="4"/>
  <c r="R635" i="4"/>
  <c r="S635" i="4"/>
  <c r="O636" i="4" a="1"/>
  <c r="O636" i="4" s="1"/>
  <c r="Q636" i="4" s="1"/>
  <c r="P636" i="4"/>
  <c r="R636" i="4"/>
  <c r="S636" i="4"/>
  <c r="O637" i="4" a="1"/>
  <c r="O637" i="4" s="1"/>
  <c r="Q637" i="4" s="1"/>
  <c r="P637" i="4"/>
  <c r="R637" i="4"/>
  <c r="S637" i="4"/>
  <c r="O638" i="4" a="1"/>
  <c r="O638" i="4" s="1"/>
  <c r="Q638" i="4" s="1"/>
  <c r="P638" i="4"/>
  <c r="R638" i="4"/>
  <c r="S638" i="4"/>
  <c r="O639" i="4" a="1"/>
  <c r="O639" i="4" s="1"/>
  <c r="Q639" i="4" s="1"/>
  <c r="P639" i="4"/>
  <c r="R639" i="4"/>
  <c r="S639" i="4"/>
  <c r="O640" i="4" a="1"/>
  <c r="O640" i="4" s="1"/>
  <c r="Q640" i="4" s="1"/>
  <c r="P640" i="4"/>
  <c r="R640" i="4"/>
  <c r="S640" i="4"/>
  <c r="O641" i="4" a="1"/>
  <c r="O641" i="4" s="1"/>
  <c r="Q641" i="4" s="1"/>
  <c r="P641" i="4"/>
  <c r="R641" i="4"/>
  <c r="S641" i="4"/>
  <c r="O642" i="4" a="1"/>
  <c r="O642" i="4" s="1"/>
  <c r="Q642" i="4" s="1"/>
  <c r="P642" i="4"/>
  <c r="R642" i="4"/>
  <c r="S642" i="4"/>
  <c r="O643" i="4" a="1"/>
  <c r="O643" i="4" s="1"/>
  <c r="Q643" i="4" s="1"/>
  <c r="P643" i="4"/>
  <c r="R643" i="4"/>
  <c r="S643" i="4"/>
  <c r="O644" i="4" a="1"/>
  <c r="O644" i="4" s="1"/>
  <c r="Q644" i="4" s="1"/>
  <c r="P644" i="4"/>
  <c r="R644" i="4"/>
  <c r="S644" i="4"/>
  <c r="O645" i="4" a="1"/>
  <c r="O645" i="4" s="1"/>
  <c r="Q645" i="4" s="1"/>
  <c r="P645" i="4"/>
  <c r="R645" i="4"/>
  <c r="S645" i="4"/>
  <c r="O646" i="4" a="1"/>
  <c r="O646" i="4" s="1"/>
  <c r="Q646" i="4" s="1"/>
  <c r="P646" i="4"/>
  <c r="R646" i="4"/>
  <c r="S646" i="4"/>
  <c r="O647" i="4" a="1"/>
  <c r="O647" i="4" s="1"/>
  <c r="Q647" i="4" s="1"/>
  <c r="P647" i="4"/>
  <c r="R647" i="4"/>
  <c r="S647" i="4"/>
  <c r="O648" i="4" a="1"/>
  <c r="O648" i="4" s="1"/>
  <c r="Q648" i="4" s="1"/>
  <c r="P648" i="4"/>
  <c r="R648" i="4"/>
  <c r="S648" i="4"/>
  <c r="O649" i="4" a="1"/>
  <c r="O649" i="4" s="1"/>
  <c r="Q649" i="4" s="1"/>
  <c r="P649" i="4"/>
  <c r="R649" i="4"/>
  <c r="S649" i="4"/>
  <c r="O650" i="4" a="1"/>
  <c r="O650" i="4" s="1"/>
  <c r="Q650" i="4" s="1"/>
  <c r="P650" i="4"/>
  <c r="R650" i="4"/>
  <c r="S650" i="4"/>
  <c r="O651" i="4" a="1"/>
  <c r="O651" i="4" s="1"/>
  <c r="Q651" i="4" s="1"/>
  <c r="P651" i="4"/>
  <c r="R651" i="4"/>
  <c r="S651" i="4"/>
  <c r="O652" i="4" a="1"/>
  <c r="O652" i="4" s="1"/>
  <c r="Q652" i="4" s="1"/>
  <c r="P652" i="4"/>
  <c r="R652" i="4"/>
  <c r="S652" i="4"/>
  <c r="O653" i="4" a="1"/>
  <c r="O653" i="4" s="1"/>
  <c r="Q653" i="4" s="1"/>
  <c r="P653" i="4"/>
  <c r="R653" i="4"/>
  <c r="S653" i="4"/>
  <c r="O654" i="4" a="1"/>
  <c r="O654" i="4" s="1"/>
  <c r="Q654" i="4" s="1"/>
  <c r="P654" i="4"/>
  <c r="R654" i="4"/>
  <c r="S654" i="4"/>
  <c r="O655" i="4" a="1"/>
  <c r="O655" i="4" s="1"/>
  <c r="Q655" i="4" s="1"/>
  <c r="P655" i="4"/>
  <c r="R655" i="4"/>
  <c r="S655" i="4"/>
  <c r="O656" i="4" a="1"/>
  <c r="O656" i="4" s="1"/>
  <c r="Q656" i="4" s="1"/>
  <c r="P656" i="4"/>
  <c r="R656" i="4"/>
  <c r="S656" i="4"/>
  <c r="O657" i="4" a="1"/>
  <c r="O657" i="4" s="1"/>
  <c r="Q657" i="4" s="1"/>
  <c r="P657" i="4"/>
  <c r="R657" i="4"/>
  <c r="S657" i="4"/>
  <c r="O658" i="4" a="1"/>
  <c r="O658" i="4" s="1"/>
  <c r="Q658" i="4" s="1"/>
  <c r="P658" i="4"/>
  <c r="R658" i="4"/>
  <c r="S658" i="4"/>
  <c r="O659" i="4" a="1"/>
  <c r="O659" i="4" s="1"/>
  <c r="Q659" i="4" s="1"/>
  <c r="P659" i="4"/>
  <c r="R659" i="4"/>
  <c r="S659" i="4"/>
  <c r="O660" i="4" a="1"/>
  <c r="O660" i="4" s="1"/>
  <c r="Q660" i="4" s="1"/>
  <c r="P660" i="4"/>
  <c r="R660" i="4"/>
  <c r="S660" i="4"/>
  <c r="O661" i="4" a="1"/>
  <c r="O661" i="4" s="1"/>
  <c r="Q661" i="4" s="1"/>
  <c r="P661" i="4"/>
  <c r="R661" i="4"/>
  <c r="S661" i="4"/>
  <c r="O662" i="4" a="1"/>
  <c r="O662" i="4" s="1"/>
  <c r="Q662" i="4" s="1"/>
  <c r="P662" i="4"/>
  <c r="R662" i="4"/>
  <c r="S662" i="4"/>
  <c r="O663" i="4" a="1"/>
  <c r="O663" i="4" s="1"/>
  <c r="Q663" i="4" s="1"/>
  <c r="P663" i="4"/>
  <c r="R663" i="4"/>
  <c r="S663" i="4"/>
  <c r="O664" i="4" a="1"/>
  <c r="O664" i="4" s="1"/>
  <c r="Q664" i="4" s="1"/>
  <c r="P664" i="4"/>
  <c r="R664" i="4"/>
  <c r="S664" i="4"/>
  <c r="O665" i="4" a="1"/>
  <c r="O665" i="4" s="1"/>
  <c r="Q665" i="4" s="1"/>
  <c r="P665" i="4"/>
  <c r="R665" i="4"/>
  <c r="S665" i="4"/>
  <c r="O666" i="4" a="1"/>
  <c r="O666" i="4" s="1"/>
  <c r="Q666" i="4" s="1"/>
  <c r="P666" i="4"/>
  <c r="R666" i="4"/>
  <c r="S666" i="4"/>
  <c r="O667" i="4" a="1"/>
  <c r="O667" i="4" s="1"/>
  <c r="Q667" i="4" s="1"/>
  <c r="P667" i="4"/>
  <c r="R667" i="4"/>
  <c r="S667" i="4"/>
  <c r="O668" i="4" a="1"/>
  <c r="O668" i="4" s="1"/>
  <c r="Q668" i="4" s="1"/>
  <c r="P668" i="4"/>
  <c r="R668" i="4"/>
  <c r="S668" i="4"/>
  <c r="O669" i="4" a="1"/>
  <c r="O669" i="4" s="1"/>
  <c r="Q669" i="4" s="1"/>
  <c r="P669" i="4"/>
  <c r="R669" i="4"/>
  <c r="S669" i="4"/>
  <c r="O670" i="4" a="1"/>
  <c r="O670" i="4" s="1"/>
  <c r="Q670" i="4" s="1"/>
  <c r="P670" i="4"/>
  <c r="R670" i="4"/>
  <c r="S670" i="4"/>
  <c r="O671" i="4" a="1"/>
  <c r="O671" i="4" s="1"/>
  <c r="Q671" i="4" s="1"/>
  <c r="P671" i="4"/>
  <c r="R671" i="4"/>
  <c r="S671" i="4"/>
  <c r="O672" i="4" a="1"/>
  <c r="O672" i="4" s="1"/>
  <c r="Q672" i="4" s="1"/>
  <c r="P672" i="4"/>
  <c r="R672" i="4"/>
  <c r="S672" i="4"/>
  <c r="O673" i="4" a="1"/>
  <c r="O673" i="4" s="1"/>
  <c r="Q673" i="4" s="1"/>
  <c r="P673" i="4"/>
  <c r="R673" i="4"/>
  <c r="S673" i="4"/>
  <c r="O674" i="4" a="1"/>
  <c r="O674" i="4" s="1"/>
  <c r="Q674" i="4" s="1"/>
  <c r="P674" i="4"/>
  <c r="R674" i="4"/>
  <c r="S674" i="4"/>
  <c r="O675" i="4" a="1"/>
  <c r="O675" i="4" s="1"/>
  <c r="Q675" i="4" s="1"/>
  <c r="P675" i="4"/>
  <c r="R675" i="4"/>
  <c r="S675" i="4"/>
  <c r="O676" i="4" a="1"/>
  <c r="O676" i="4" s="1"/>
  <c r="Q676" i="4" s="1"/>
  <c r="P676" i="4"/>
  <c r="R676" i="4"/>
  <c r="S676" i="4"/>
  <c r="O677" i="4" a="1"/>
  <c r="O677" i="4" s="1"/>
  <c r="Q677" i="4" s="1"/>
  <c r="P677" i="4"/>
  <c r="R677" i="4"/>
  <c r="S677" i="4"/>
  <c r="O678" i="4" a="1"/>
  <c r="O678" i="4" s="1"/>
  <c r="Q678" i="4" s="1"/>
  <c r="P678" i="4"/>
  <c r="R678" i="4"/>
  <c r="S678" i="4"/>
  <c r="O679" i="4" a="1"/>
  <c r="O679" i="4" s="1"/>
  <c r="Q679" i="4" s="1"/>
  <c r="P679" i="4"/>
  <c r="R679" i="4"/>
  <c r="S679" i="4"/>
  <c r="O680" i="4" a="1"/>
  <c r="O680" i="4" s="1"/>
  <c r="Q680" i="4" s="1"/>
  <c r="P680" i="4"/>
  <c r="R680" i="4"/>
  <c r="S680" i="4"/>
  <c r="O681" i="4" a="1"/>
  <c r="O681" i="4" s="1"/>
  <c r="Q681" i="4" s="1"/>
  <c r="P681" i="4"/>
  <c r="R681" i="4"/>
  <c r="S681" i="4"/>
  <c r="O682" i="4" a="1"/>
  <c r="O682" i="4" s="1"/>
  <c r="Q682" i="4" s="1"/>
  <c r="P682" i="4"/>
  <c r="R682" i="4"/>
  <c r="S682" i="4"/>
  <c r="O683" i="4" a="1"/>
  <c r="O683" i="4" s="1"/>
  <c r="Q683" i="4" s="1"/>
  <c r="P683" i="4"/>
  <c r="R683" i="4"/>
  <c r="S683" i="4"/>
  <c r="O684" i="4" a="1"/>
  <c r="O684" i="4" s="1"/>
  <c r="Q684" i="4" s="1"/>
  <c r="P684" i="4"/>
  <c r="R684" i="4"/>
  <c r="S684" i="4"/>
  <c r="O685" i="4" a="1"/>
  <c r="O685" i="4" s="1"/>
  <c r="Q685" i="4" s="1"/>
  <c r="P685" i="4"/>
  <c r="R685" i="4"/>
  <c r="S685" i="4"/>
  <c r="O686" i="4" a="1"/>
  <c r="O686" i="4" s="1"/>
  <c r="Q686" i="4" s="1"/>
  <c r="P686" i="4"/>
  <c r="R686" i="4"/>
  <c r="S686" i="4"/>
  <c r="O687" i="4" a="1"/>
  <c r="O687" i="4" s="1"/>
  <c r="Q687" i="4" s="1"/>
  <c r="P687" i="4"/>
  <c r="R687" i="4"/>
  <c r="S687" i="4"/>
  <c r="O688" i="4" a="1"/>
  <c r="O688" i="4" s="1"/>
  <c r="Q688" i="4" s="1"/>
  <c r="P688" i="4"/>
  <c r="R688" i="4"/>
  <c r="S688" i="4"/>
  <c r="O689" i="4" a="1"/>
  <c r="O689" i="4" s="1"/>
  <c r="Q689" i="4" s="1"/>
  <c r="P689" i="4"/>
  <c r="R689" i="4"/>
  <c r="S689" i="4"/>
  <c r="O690" i="4" a="1"/>
  <c r="O690" i="4" s="1"/>
  <c r="Q690" i="4" s="1"/>
  <c r="P690" i="4"/>
  <c r="R690" i="4"/>
  <c r="S690" i="4"/>
  <c r="O691" i="4" a="1"/>
  <c r="O691" i="4" s="1"/>
  <c r="Q691" i="4" s="1"/>
  <c r="P691" i="4"/>
  <c r="R691" i="4"/>
  <c r="S691" i="4"/>
  <c r="O692" i="4" a="1"/>
  <c r="O692" i="4" s="1"/>
  <c r="Q692" i="4" s="1"/>
  <c r="P692" i="4"/>
  <c r="R692" i="4"/>
  <c r="S692" i="4"/>
  <c r="O693" i="4" a="1"/>
  <c r="O693" i="4" s="1"/>
  <c r="Q693" i="4" s="1"/>
  <c r="P693" i="4"/>
  <c r="R693" i="4"/>
  <c r="S693" i="4"/>
  <c r="O694" i="4" a="1"/>
  <c r="O694" i="4" s="1"/>
  <c r="Q694" i="4" s="1"/>
  <c r="P694" i="4"/>
  <c r="R694" i="4"/>
  <c r="S694" i="4"/>
  <c r="O695" i="4" a="1"/>
  <c r="O695" i="4" s="1"/>
  <c r="Q695" i="4" s="1"/>
  <c r="P695" i="4"/>
  <c r="R695" i="4"/>
  <c r="S695" i="4"/>
  <c r="O696" i="4" a="1"/>
  <c r="O696" i="4" s="1"/>
  <c r="Q696" i="4" s="1"/>
  <c r="P696" i="4"/>
  <c r="R696" i="4"/>
  <c r="S696" i="4"/>
  <c r="O697" i="4" a="1"/>
  <c r="O697" i="4" s="1"/>
  <c r="Q697" i="4" s="1"/>
  <c r="P697" i="4"/>
  <c r="R697" i="4"/>
  <c r="S697" i="4"/>
  <c r="O698" i="4" a="1"/>
  <c r="O698" i="4" s="1"/>
  <c r="Q698" i="4" s="1"/>
  <c r="P698" i="4"/>
  <c r="R698" i="4"/>
  <c r="S698" i="4"/>
  <c r="O699" i="4" a="1"/>
  <c r="O699" i="4" s="1"/>
  <c r="Q699" i="4" s="1"/>
  <c r="P699" i="4"/>
  <c r="R699" i="4"/>
  <c r="S699" i="4"/>
  <c r="O700" i="4" a="1"/>
  <c r="O700" i="4" s="1"/>
  <c r="Q700" i="4" s="1"/>
  <c r="P700" i="4"/>
  <c r="R700" i="4"/>
  <c r="S700" i="4"/>
  <c r="O701" i="4" a="1"/>
  <c r="O701" i="4" s="1"/>
  <c r="Q701" i="4" s="1"/>
  <c r="P701" i="4"/>
  <c r="R701" i="4"/>
  <c r="S701" i="4"/>
  <c r="O702" i="4" a="1"/>
  <c r="O702" i="4" s="1"/>
  <c r="Q702" i="4" s="1"/>
  <c r="P702" i="4"/>
  <c r="R702" i="4"/>
  <c r="S702" i="4"/>
  <c r="O703" i="4" a="1"/>
  <c r="O703" i="4" s="1"/>
  <c r="Q703" i="4" s="1"/>
  <c r="P703" i="4"/>
  <c r="R703" i="4"/>
  <c r="S703" i="4"/>
  <c r="O704" i="4" a="1"/>
  <c r="O704" i="4" s="1"/>
  <c r="Q704" i="4" s="1"/>
  <c r="P704" i="4"/>
  <c r="R704" i="4"/>
  <c r="S704" i="4"/>
  <c r="O705" i="4" a="1"/>
  <c r="O705" i="4" s="1"/>
  <c r="Q705" i="4" s="1"/>
  <c r="P705" i="4"/>
  <c r="R705" i="4"/>
  <c r="S705" i="4"/>
  <c r="O706" i="4" a="1"/>
  <c r="O706" i="4" s="1"/>
  <c r="Q706" i="4" s="1"/>
  <c r="P706" i="4"/>
  <c r="R706" i="4"/>
  <c r="S706" i="4"/>
  <c r="O707" i="4" a="1"/>
  <c r="O707" i="4" s="1"/>
  <c r="Q707" i="4" s="1"/>
  <c r="P707" i="4"/>
  <c r="R707" i="4"/>
  <c r="S707" i="4"/>
  <c r="O708" i="4" a="1"/>
  <c r="O708" i="4" s="1"/>
  <c r="Q708" i="4" s="1"/>
  <c r="P708" i="4"/>
  <c r="R708" i="4"/>
  <c r="S708" i="4"/>
  <c r="O709" i="4" a="1"/>
  <c r="O709" i="4" s="1"/>
  <c r="Q709" i="4" s="1"/>
  <c r="P709" i="4"/>
  <c r="R709" i="4"/>
  <c r="S709" i="4"/>
  <c r="O710" i="4" a="1"/>
  <c r="O710" i="4" s="1"/>
  <c r="Q710" i="4" s="1"/>
  <c r="P710" i="4"/>
  <c r="R710" i="4"/>
  <c r="S710" i="4"/>
  <c r="O711" i="4" a="1"/>
  <c r="O711" i="4" s="1"/>
  <c r="Q711" i="4" s="1"/>
  <c r="P711" i="4"/>
  <c r="R711" i="4"/>
  <c r="S711" i="4"/>
  <c r="O712" i="4" a="1"/>
  <c r="O712" i="4" s="1"/>
  <c r="Q712" i="4" s="1"/>
  <c r="P712" i="4"/>
  <c r="R712" i="4"/>
  <c r="S712" i="4"/>
  <c r="O713" i="4" a="1"/>
  <c r="O713" i="4" s="1"/>
  <c r="Q713" i="4" s="1"/>
  <c r="P713" i="4"/>
  <c r="R713" i="4"/>
  <c r="S713" i="4"/>
  <c r="O714" i="4" a="1"/>
  <c r="O714" i="4" s="1"/>
  <c r="Q714" i="4" s="1"/>
  <c r="P714" i="4"/>
  <c r="R714" i="4"/>
  <c r="S714" i="4"/>
  <c r="O715" i="4" a="1"/>
  <c r="O715" i="4" s="1"/>
  <c r="Q715" i="4" s="1"/>
  <c r="P715" i="4"/>
  <c r="R715" i="4"/>
  <c r="S715" i="4"/>
  <c r="O716" i="4" a="1"/>
  <c r="O716" i="4" s="1"/>
  <c r="Q716" i="4" s="1"/>
  <c r="P716" i="4"/>
  <c r="R716" i="4"/>
  <c r="S716" i="4"/>
  <c r="O717" i="4" a="1"/>
  <c r="O717" i="4" s="1"/>
  <c r="Q717" i="4" s="1"/>
  <c r="P717" i="4"/>
  <c r="R717" i="4"/>
  <c r="S717" i="4"/>
  <c r="O718" i="4" a="1"/>
  <c r="O718" i="4" s="1"/>
  <c r="Q718" i="4" s="1"/>
  <c r="P718" i="4"/>
  <c r="R718" i="4"/>
  <c r="S718" i="4"/>
  <c r="O719" i="4" a="1"/>
  <c r="O719" i="4" s="1"/>
  <c r="Q719" i="4" s="1"/>
  <c r="P719" i="4"/>
  <c r="R719" i="4"/>
  <c r="S719" i="4"/>
  <c r="O720" i="4" a="1"/>
  <c r="O720" i="4" s="1"/>
  <c r="Q720" i="4" s="1"/>
  <c r="P720" i="4"/>
  <c r="R720" i="4"/>
  <c r="S720" i="4"/>
  <c r="O721" i="4" a="1"/>
  <c r="O721" i="4" s="1"/>
  <c r="Q721" i="4" s="1"/>
  <c r="P721" i="4"/>
  <c r="R721" i="4"/>
  <c r="S721" i="4"/>
  <c r="O722" i="4" a="1"/>
  <c r="O722" i="4" s="1"/>
  <c r="Q722" i="4" s="1"/>
  <c r="P722" i="4"/>
  <c r="R722" i="4"/>
  <c r="S722" i="4"/>
  <c r="O723" i="4" a="1"/>
  <c r="O723" i="4" s="1"/>
  <c r="Q723" i="4" s="1"/>
  <c r="P723" i="4"/>
  <c r="R723" i="4"/>
  <c r="S723" i="4"/>
  <c r="O724" i="4" a="1"/>
  <c r="O724" i="4" s="1"/>
  <c r="Q724" i="4" s="1"/>
  <c r="P724" i="4"/>
  <c r="R724" i="4"/>
  <c r="S724" i="4"/>
  <c r="O725" i="4" a="1"/>
  <c r="O725" i="4" s="1"/>
  <c r="Q725" i="4" s="1"/>
  <c r="P725" i="4"/>
  <c r="R725" i="4"/>
  <c r="S725" i="4"/>
  <c r="O726" i="4" a="1"/>
  <c r="O726" i="4"/>
  <c r="Q726" i="4" s="1"/>
  <c r="P726" i="4"/>
  <c r="R726" i="4"/>
  <c r="S726" i="4"/>
  <c r="O727" i="4" a="1"/>
  <c r="O727" i="4" s="1"/>
  <c r="Q727" i="4" s="1"/>
  <c r="P727" i="4"/>
  <c r="R727" i="4"/>
  <c r="S727" i="4"/>
  <c r="O728" i="4" a="1"/>
  <c r="O728" i="4" s="1"/>
  <c r="Q728" i="4" s="1"/>
  <c r="P728" i="4"/>
  <c r="R728" i="4"/>
  <c r="S728" i="4"/>
  <c r="O729" i="4" a="1"/>
  <c r="O729" i="4" s="1"/>
  <c r="Q729" i="4" s="1"/>
  <c r="P729" i="4"/>
  <c r="R729" i="4"/>
  <c r="S729" i="4"/>
  <c r="O730" i="4" a="1"/>
  <c r="O730" i="4" s="1"/>
  <c r="Q730" i="4" s="1"/>
  <c r="P730" i="4"/>
  <c r="R730" i="4"/>
  <c r="S730" i="4"/>
  <c r="O731" i="4" a="1"/>
  <c r="O731" i="4" s="1"/>
  <c r="Q731" i="4" s="1"/>
  <c r="P731" i="4"/>
  <c r="R731" i="4"/>
  <c r="S731" i="4"/>
  <c r="O732" i="4" a="1"/>
  <c r="O732" i="4" s="1"/>
  <c r="Q732" i="4" s="1"/>
  <c r="P732" i="4"/>
  <c r="R732" i="4"/>
  <c r="S732" i="4"/>
  <c r="O733" i="4" a="1"/>
  <c r="O733" i="4" s="1"/>
  <c r="Q733" i="4" s="1"/>
  <c r="P733" i="4"/>
  <c r="R733" i="4"/>
  <c r="S733" i="4"/>
  <c r="O734" i="4" a="1"/>
  <c r="O734" i="4" s="1"/>
  <c r="Q734" i="4" s="1"/>
  <c r="P734" i="4"/>
  <c r="R734" i="4"/>
  <c r="S734" i="4"/>
  <c r="O735" i="4" a="1"/>
  <c r="O735" i="4" s="1"/>
  <c r="Q735" i="4" s="1"/>
  <c r="P735" i="4"/>
  <c r="R735" i="4"/>
  <c r="S735" i="4"/>
  <c r="O736" i="4" a="1"/>
  <c r="O736" i="4" s="1"/>
  <c r="Q736" i="4" s="1"/>
  <c r="P736" i="4"/>
  <c r="R736" i="4"/>
  <c r="S736" i="4"/>
  <c r="O737" i="4" a="1"/>
  <c r="O737" i="4" s="1"/>
  <c r="Q737" i="4" s="1"/>
  <c r="P737" i="4"/>
  <c r="R737" i="4"/>
  <c r="S737" i="4"/>
  <c r="O738" i="4" a="1"/>
  <c r="O738" i="4" s="1"/>
  <c r="Q738" i="4" s="1"/>
  <c r="P738" i="4"/>
  <c r="R738" i="4"/>
  <c r="S738" i="4"/>
  <c r="O739" i="4" a="1"/>
  <c r="O739" i="4" s="1"/>
  <c r="Q739" i="4" s="1"/>
  <c r="P739" i="4"/>
  <c r="R739" i="4"/>
  <c r="S739" i="4"/>
  <c r="O740" i="4" a="1"/>
  <c r="O740" i="4" s="1"/>
  <c r="Q740" i="4" s="1"/>
  <c r="P740" i="4"/>
  <c r="R740" i="4"/>
  <c r="S740" i="4"/>
  <c r="O741" i="4" a="1"/>
  <c r="O741" i="4" s="1"/>
  <c r="Q741" i="4" s="1"/>
  <c r="P741" i="4"/>
  <c r="R741" i="4"/>
  <c r="S741" i="4"/>
  <c r="O742" i="4" a="1"/>
  <c r="O742" i="4" s="1"/>
  <c r="Q742" i="4" s="1"/>
  <c r="P742" i="4"/>
  <c r="R742" i="4"/>
  <c r="S742" i="4"/>
  <c r="O743" i="4" a="1"/>
  <c r="O743" i="4" s="1"/>
  <c r="Q743" i="4" s="1"/>
  <c r="P743" i="4"/>
  <c r="R743" i="4"/>
  <c r="S743" i="4"/>
  <c r="O744" i="4" a="1"/>
  <c r="O744" i="4" s="1"/>
  <c r="Q744" i="4" s="1"/>
  <c r="P744" i="4"/>
  <c r="R744" i="4"/>
  <c r="S744" i="4"/>
  <c r="O745" i="4" a="1"/>
  <c r="O745" i="4" s="1"/>
  <c r="Q745" i="4" s="1"/>
  <c r="P745" i="4"/>
  <c r="R745" i="4"/>
  <c r="S745" i="4"/>
  <c r="O746" i="4" a="1"/>
  <c r="O746" i="4" s="1"/>
  <c r="Q746" i="4" s="1"/>
  <c r="P746" i="4"/>
  <c r="R746" i="4"/>
  <c r="S746" i="4"/>
  <c r="O747" i="4" a="1"/>
  <c r="O747" i="4" s="1"/>
  <c r="Q747" i="4" s="1"/>
  <c r="P747" i="4"/>
  <c r="R747" i="4"/>
  <c r="S747" i="4"/>
  <c r="O748" i="4" a="1"/>
  <c r="O748" i="4" s="1"/>
  <c r="Q748" i="4" s="1"/>
  <c r="P748" i="4"/>
  <c r="R748" i="4"/>
  <c r="S748" i="4"/>
  <c r="O749" i="4" a="1"/>
  <c r="O749" i="4" s="1"/>
  <c r="Q749" i="4" s="1"/>
  <c r="P749" i="4"/>
  <c r="R749" i="4"/>
  <c r="S749" i="4"/>
  <c r="O750" i="4" a="1"/>
  <c r="O750" i="4" s="1"/>
  <c r="Q750" i="4" s="1"/>
  <c r="P750" i="4"/>
  <c r="R750" i="4"/>
  <c r="S750" i="4"/>
  <c r="O751" i="4" a="1"/>
  <c r="O751" i="4" s="1"/>
  <c r="Q751" i="4" s="1"/>
  <c r="P751" i="4"/>
  <c r="R751" i="4"/>
  <c r="S751" i="4"/>
  <c r="O752" i="4" a="1"/>
  <c r="O752" i="4" s="1"/>
  <c r="Q752" i="4" s="1"/>
  <c r="P752" i="4"/>
  <c r="R752" i="4"/>
  <c r="S752" i="4"/>
  <c r="O753" i="4" a="1"/>
  <c r="O753" i="4" s="1"/>
  <c r="Q753" i="4" s="1"/>
  <c r="R753" i="4"/>
  <c r="S753" i="4"/>
  <c r="O208" i="4" a="1"/>
  <c r="O208" i="4" s="1"/>
  <c r="Q208" i="4" s="1"/>
  <c r="P208" i="4"/>
  <c r="R208" i="4"/>
  <c r="S208" i="4"/>
  <c r="O209" i="4" a="1"/>
  <c r="O209" i="4" s="1"/>
  <c r="Q209" i="4" s="1"/>
  <c r="P209" i="4"/>
  <c r="R209" i="4"/>
  <c r="S209" i="4"/>
  <c r="O210" i="4" a="1"/>
  <c r="O210" i="4" s="1"/>
  <c r="Q210" i="4" s="1"/>
  <c r="P210" i="4"/>
  <c r="R210" i="4"/>
  <c r="S210" i="4"/>
  <c r="O211" i="4" a="1"/>
  <c r="O211" i="4" s="1"/>
  <c r="Q211" i="4" s="1"/>
  <c r="P211" i="4"/>
  <c r="R211" i="4"/>
  <c r="S211" i="4"/>
  <c r="O212" i="4" a="1"/>
  <c r="O212" i="4" s="1"/>
  <c r="Q212" i="4" s="1"/>
  <c r="P212" i="4"/>
  <c r="R212" i="4"/>
  <c r="S212" i="4"/>
  <c r="O213" i="4" a="1"/>
  <c r="O213" i="4" s="1"/>
  <c r="Q213" i="4" s="1"/>
  <c r="P213" i="4"/>
  <c r="R213" i="4"/>
  <c r="S213" i="4"/>
  <c r="O214" i="4" a="1"/>
  <c r="O214" i="4" s="1"/>
  <c r="Q214" i="4" s="1"/>
  <c r="P214" i="4"/>
  <c r="R214" i="4"/>
  <c r="S214" i="4"/>
  <c r="O215" i="4" a="1"/>
  <c r="O215" i="4" s="1"/>
  <c r="Q215" i="4" s="1"/>
  <c r="P215" i="4"/>
  <c r="R215" i="4"/>
  <c r="S215" i="4"/>
  <c r="O216" i="4" a="1"/>
  <c r="O216" i="4" s="1"/>
  <c r="Q216" i="4" s="1"/>
  <c r="P216" i="4"/>
  <c r="R216" i="4"/>
  <c r="S216" i="4"/>
  <c r="O217" i="4" a="1"/>
  <c r="O217" i="4" s="1"/>
  <c r="Q217" i="4" s="1"/>
  <c r="P217" i="4"/>
  <c r="R217" i="4"/>
  <c r="S217" i="4"/>
  <c r="O218" i="4" a="1"/>
  <c r="O218" i="4" s="1"/>
  <c r="Q218" i="4" s="1"/>
  <c r="P218" i="4"/>
  <c r="R218" i="4"/>
  <c r="S218" i="4"/>
  <c r="O219" i="4" a="1"/>
  <c r="O219" i="4" s="1"/>
  <c r="Q219" i="4" s="1"/>
  <c r="P219" i="4"/>
  <c r="R219" i="4"/>
  <c r="S219" i="4"/>
  <c r="O220" i="4" a="1"/>
  <c r="O220" i="4" s="1"/>
  <c r="Q220" i="4" s="1"/>
  <c r="P220" i="4"/>
  <c r="R220" i="4"/>
  <c r="S220" i="4"/>
  <c r="O221" i="4" a="1"/>
  <c r="O221" i="4" s="1"/>
  <c r="Q221" i="4" s="1"/>
  <c r="P221" i="4"/>
  <c r="R221" i="4"/>
  <c r="S221" i="4"/>
  <c r="O222" i="4" a="1"/>
  <c r="O222" i="4" s="1"/>
  <c r="Q222" i="4" s="1"/>
  <c r="P222" i="4"/>
  <c r="R222" i="4"/>
  <c r="S222" i="4"/>
  <c r="O223" i="4" a="1"/>
  <c r="O223" i="4" s="1"/>
  <c r="Q223" i="4" s="1"/>
  <c r="P223" i="4"/>
  <c r="R223" i="4"/>
  <c r="S223" i="4"/>
  <c r="O224" i="4" a="1"/>
  <c r="O224" i="4" s="1"/>
  <c r="Q224" i="4" s="1"/>
  <c r="P224" i="4"/>
  <c r="R224" i="4"/>
  <c r="S224" i="4"/>
  <c r="O225" i="4" a="1"/>
  <c r="O225" i="4" s="1"/>
  <c r="Q225" i="4" s="1"/>
  <c r="P225" i="4"/>
  <c r="R225" i="4"/>
  <c r="S225" i="4"/>
  <c r="O226" i="4" a="1"/>
  <c r="O226" i="4" s="1"/>
  <c r="Q226" i="4" s="1"/>
  <c r="P226" i="4"/>
  <c r="R226" i="4"/>
  <c r="S226" i="4"/>
  <c r="O227" i="4" a="1"/>
  <c r="O227" i="4" s="1"/>
  <c r="Q227" i="4" s="1"/>
  <c r="P227" i="4"/>
  <c r="R227" i="4"/>
  <c r="S227" i="4"/>
  <c r="O228" i="4" a="1"/>
  <c r="O228" i="4" s="1"/>
  <c r="Q228" i="4" s="1"/>
  <c r="P228" i="4"/>
  <c r="R228" i="4"/>
  <c r="S228" i="4"/>
  <c r="O229" i="4" a="1"/>
  <c r="O229" i="4" s="1"/>
  <c r="Q229" i="4" s="1"/>
  <c r="P229" i="4"/>
  <c r="R229" i="4"/>
  <c r="S229" i="4"/>
  <c r="O230" i="4" a="1"/>
  <c r="O230" i="4" s="1"/>
  <c r="Q230" i="4" s="1"/>
  <c r="P230" i="4"/>
  <c r="R230" i="4"/>
  <c r="S230" i="4"/>
  <c r="O231" i="4" a="1"/>
  <c r="O231" i="4" s="1"/>
  <c r="Q231" i="4" s="1"/>
  <c r="P231" i="4"/>
  <c r="R231" i="4"/>
  <c r="S231" i="4"/>
  <c r="O232" i="4" a="1"/>
  <c r="O232" i="4" s="1"/>
  <c r="Q232" i="4" s="1"/>
  <c r="P232" i="4"/>
  <c r="R232" i="4"/>
  <c r="S232" i="4"/>
  <c r="O233" i="4" a="1"/>
  <c r="O233" i="4" s="1"/>
  <c r="Q233" i="4" s="1"/>
  <c r="P233" i="4"/>
  <c r="R233" i="4"/>
  <c r="S233" i="4"/>
  <c r="O234" i="4" a="1"/>
  <c r="O234" i="4" s="1"/>
  <c r="Q234" i="4" s="1"/>
  <c r="P234" i="4"/>
  <c r="R234" i="4"/>
  <c r="S234" i="4"/>
  <c r="O235" i="4" a="1"/>
  <c r="O235" i="4" s="1"/>
  <c r="Q235" i="4" s="1"/>
  <c r="P235" i="4"/>
  <c r="R235" i="4"/>
  <c r="S235" i="4"/>
  <c r="O236" i="4" a="1"/>
  <c r="O236" i="4" s="1"/>
  <c r="Q236" i="4" s="1"/>
  <c r="P236" i="4"/>
  <c r="R236" i="4"/>
  <c r="S236" i="4"/>
  <c r="O237" i="4" a="1"/>
  <c r="O237" i="4" s="1"/>
  <c r="Q237" i="4" s="1"/>
  <c r="P237" i="4"/>
  <c r="R237" i="4"/>
  <c r="S237" i="4"/>
  <c r="O238" i="4" a="1"/>
  <c r="O238" i="4" s="1"/>
  <c r="Q238" i="4" s="1"/>
  <c r="P238" i="4"/>
  <c r="R238" i="4"/>
  <c r="S238" i="4"/>
  <c r="O239" i="4" a="1"/>
  <c r="O239" i="4" s="1"/>
  <c r="Q239" i="4" s="1"/>
  <c r="P239" i="4"/>
  <c r="R239" i="4"/>
  <c r="S239" i="4"/>
  <c r="O240" i="4" a="1"/>
  <c r="O240" i="4" s="1"/>
  <c r="Q240" i="4" s="1"/>
  <c r="P240" i="4"/>
  <c r="R240" i="4"/>
  <c r="S240" i="4"/>
  <c r="O241" i="4" a="1"/>
  <c r="O241" i="4" s="1"/>
  <c r="Q241" i="4" s="1"/>
  <c r="P241" i="4"/>
  <c r="R241" i="4"/>
  <c r="S241" i="4"/>
  <c r="O242" i="4" a="1"/>
  <c r="O242" i="4" s="1"/>
  <c r="Q242" i="4" s="1"/>
  <c r="P242" i="4"/>
  <c r="R242" i="4"/>
  <c r="S242" i="4"/>
  <c r="O243" i="4" a="1"/>
  <c r="O243" i="4" s="1"/>
  <c r="Q243" i="4" s="1"/>
  <c r="P243" i="4"/>
  <c r="R243" i="4"/>
  <c r="S243" i="4"/>
  <c r="O244" i="4" a="1"/>
  <c r="O244" i="4" s="1"/>
  <c r="Q244" i="4" s="1"/>
  <c r="P244" i="4"/>
  <c r="R244" i="4"/>
  <c r="S244" i="4"/>
  <c r="O245" i="4" a="1"/>
  <c r="O245" i="4" s="1"/>
  <c r="Q245" i="4" s="1"/>
  <c r="P245" i="4"/>
  <c r="R245" i="4"/>
  <c r="S245" i="4"/>
  <c r="O246" i="4" a="1"/>
  <c r="O246" i="4" s="1"/>
  <c r="Q246" i="4" s="1"/>
  <c r="P246" i="4"/>
  <c r="R246" i="4"/>
  <c r="S246" i="4"/>
  <c r="O247" i="4" a="1"/>
  <c r="O247" i="4" s="1"/>
  <c r="Q247" i="4" s="1"/>
  <c r="P247" i="4"/>
  <c r="R247" i="4"/>
  <c r="S247" i="4"/>
  <c r="O248" i="4" a="1"/>
  <c r="O248" i="4" s="1"/>
  <c r="Q248" i="4" s="1"/>
  <c r="P248" i="4"/>
  <c r="R248" i="4"/>
  <c r="S248" i="4"/>
  <c r="O249" i="4" a="1"/>
  <c r="O249" i="4" s="1"/>
  <c r="Q249" i="4" s="1"/>
  <c r="P249" i="4"/>
  <c r="R249" i="4"/>
  <c r="S249" i="4"/>
  <c r="O250" i="4" a="1"/>
  <c r="O250" i="4" s="1"/>
  <c r="Q250" i="4" s="1"/>
  <c r="P250" i="4"/>
  <c r="R250" i="4"/>
  <c r="S250" i="4"/>
  <c r="O251" i="4" a="1"/>
  <c r="O251" i="4" s="1"/>
  <c r="Q251" i="4" s="1"/>
  <c r="P251" i="4"/>
  <c r="R251" i="4"/>
  <c r="S251" i="4"/>
  <c r="O252" i="4" a="1"/>
  <c r="O252" i="4" s="1"/>
  <c r="Q252" i="4" s="1"/>
  <c r="P252" i="4"/>
  <c r="R252" i="4"/>
  <c r="S252" i="4"/>
  <c r="O253" i="4" a="1"/>
  <c r="O253" i="4" s="1"/>
  <c r="Q253" i="4" s="1"/>
  <c r="P253" i="4"/>
  <c r="R253" i="4"/>
  <c r="S253" i="4"/>
  <c r="O254" i="4" a="1"/>
  <c r="O254" i="4" s="1"/>
  <c r="Q254" i="4" s="1"/>
  <c r="P254" i="4"/>
  <c r="R254" i="4"/>
  <c r="S254" i="4"/>
  <c r="O255" i="4" a="1"/>
  <c r="O255" i="4" s="1"/>
  <c r="Q255" i="4" s="1"/>
  <c r="P255" i="4"/>
  <c r="R255" i="4"/>
  <c r="S255" i="4"/>
  <c r="O256" i="4" a="1"/>
  <c r="O256" i="4" s="1"/>
  <c r="Q256" i="4" s="1"/>
  <c r="P256" i="4"/>
  <c r="R256" i="4"/>
  <c r="S256" i="4"/>
  <c r="O257" i="4" a="1"/>
  <c r="O257" i="4" s="1"/>
  <c r="Q257" i="4" s="1"/>
  <c r="P257" i="4"/>
  <c r="R257" i="4"/>
  <c r="S257" i="4"/>
  <c r="O258" i="4" a="1"/>
  <c r="O258" i="4" s="1"/>
  <c r="Q258" i="4" s="1"/>
  <c r="P258" i="4"/>
  <c r="R258" i="4"/>
  <c r="S258" i="4"/>
  <c r="O259" i="4" a="1"/>
  <c r="O259" i="4" s="1"/>
  <c r="Q259" i="4" s="1"/>
  <c r="P259" i="4"/>
  <c r="R259" i="4"/>
  <c r="S259" i="4"/>
  <c r="O260" i="4" a="1"/>
  <c r="O260" i="4" s="1"/>
  <c r="Q260" i="4" s="1"/>
  <c r="P260" i="4"/>
  <c r="R260" i="4"/>
  <c r="S260" i="4"/>
  <c r="O261" i="4" a="1"/>
  <c r="O261" i="4" s="1"/>
  <c r="Q261" i="4" s="1"/>
  <c r="P261" i="4"/>
  <c r="R261" i="4"/>
  <c r="S261" i="4"/>
  <c r="O262" i="4" a="1"/>
  <c r="O262" i="4" s="1"/>
  <c r="Q262" i="4" s="1"/>
  <c r="P262" i="4"/>
  <c r="R262" i="4"/>
  <c r="S262" i="4"/>
  <c r="O263" i="4" a="1"/>
  <c r="O263" i="4" s="1"/>
  <c r="Q263" i="4" s="1"/>
  <c r="P263" i="4"/>
  <c r="R263" i="4"/>
  <c r="S263" i="4"/>
  <c r="O264" i="4" a="1"/>
  <c r="O264" i="4" s="1"/>
  <c r="Q264" i="4" s="1"/>
  <c r="P264" i="4"/>
  <c r="R264" i="4"/>
  <c r="S264" i="4"/>
  <c r="O265" i="4" a="1"/>
  <c r="O265" i="4" s="1"/>
  <c r="Q265" i="4" s="1"/>
  <c r="P265" i="4"/>
  <c r="R265" i="4"/>
  <c r="S265" i="4"/>
  <c r="O266" i="4" a="1"/>
  <c r="O266" i="4" s="1"/>
  <c r="Q266" i="4" s="1"/>
  <c r="P266" i="4"/>
  <c r="R266" i="4"/>
  <c r="S266" i="4"/>
  <c r="O267" i="4" a="1"/>
  <c r="O267" i="4" s="1"/>
  <c r="Q267" i="4" s="1"/>
  <c r="P267" i="4"/>
  <c r="R267" i="4"/>
  <c r="S267" i="4"/>
  <c r="O268" i="4" a="1"/>
  <c r="O268" i="4" s="1"/>
  <c r="Q268" i="4" s="1"/>
  <c r="P268" i="4"/>
  <c r="R268" i="4"/>
  <c r="S268" i="4"/>
  <c r="O269" i="4" a="1"/>
  <c r="O269" i="4" s="1"/>
  <c r="Q269" i="4" s="1"/>
  <c r="P269" i="4"/>
  <c r="R269" i="4"/>
  <c r="S269" i="4"/>
  <c r="O270" i="4" a="1"/>
  <c r="O270" i="4" s="1"/>
  <c r="Q270" i="4" s="1"/>
  <c r="P270" i="4"/>
  <c r="R270" i="4"/>
  <c r="S270" i="4"/>
  <c r="O271" i="4" a="1"/>
  <c r="O271" i="4" s="1"/>
  <c r="Q271" i="4" s="1"/>
  <c r="P271" i="4"/>
  <c r="R271" i="4"/>
  <c r="S271" i="4"/>
  <c r="O272" i="4" a="1"/>
  <c r="O272" i="4" s="1"/>
  <c r="Q272" i="4" s="1"/>
  <c r="P272" i="4"/>
  <c r="R272" i="4"/>
  <c r="S272" i="4"/>
  <c r="O273" i="4" a="1"/>
  <c r="O273" i="4" s="1"/>
  <c r="Q273" i="4" s="1"/>
  <c r="P273" i="4"/>
  <c r="R273" i="4"/>
  <c r="S273" i="4"/>
  <c r="O274" i="4" a="1"/>
  <c r="O274" i="4" s="1"/>
  <c r="Q274" i="4" s="1"/>
  <c r="P274" i="4"/>
  <c r="R274" i="4"/>
  <c r="S274" i="4"/>
  <c r="O275" i="4" a="1"/>
  <c r="O275" i="4" s="1"/>
  <c r="Q275" i="4" s="1"/>
  <c r="P275" i="4"/>
  <c r="R275" i="4"/>
  <c r="S275" i="4"/>
  <c r="O276" i="4" a="1"/>
  <c r="O276" i="4" s="1"/>
  <c r="Q276" i="4" s="1"/>
  <c r="P276" i="4"/>
  <c r="R276" i="4"/>
  <c r="S276" i="4"/>
  <c r="O277" i="4" a="1"/>
  <c r="O277" i="4" s="1"/>
  <c r="Q277" i="4" s="1"/>
  <c r="P277" i="4"/>
  <c r="R277" i="4"/>
  <c r="S277" i="4"/>
  <c r="O278" i="4" a="1"/>
  <c r="O278" i="4" s="1"/>
  <c r="Q278" i="4" s="1"/>
  <c r="P278" i="4"/>
  <c r="R278" i="4"/>
  <c r="S278" i="4"/>
  <c r="O279" i="4" a="1"/>
  <c r="O279" i="4" s="1"/>
  <c r="Q279" i="4" s="1"/>
  <c r="P279" i="4"/>
  <c r="R279" i="4"/>
  <c r="S279" i="4"/>
  <c r="O280" i="4" a="1"/>
  <c r="O280" i="4" s="1"/>
  <c r="Q280" i="4" s="1"/>
  <c r="P280" i="4"/>
  <c r="R280" i="4"/>
  <c r="S280" i="4"/>
  <c r="O281" i="4" a="1"/>
  <c r="O281" i="4" s="1"/>
  <c r="Q281" i="4" s="1"/>
  <c r="P281" i="4"/>
  <c r="R281" i="4"/>
  <c r="S281" i="4"/>
  <c r="O282" i="4" a="1"/>
  <c r="O282" i="4" s="1"/>
  <c r="Q282" i="4" s="1"/>
  <c r="P282" i="4"/>
  <c r="R282" i="4"/>
  <c r="S282" i="4"/>
  <c r="O283" i="4" a="1"/>
  <c r="O283" i="4" s="1"/>
  <c r="Q283" i="4" s="1"/>
  <c r="P283" i="4"/>
  <c r="R283" i="4"/>
  <c r="S283" i="4"/>
  <c r="O284" i="4" a="1"/>
  <c r="O284" i="4" s="1"/>
  <c r="Q284" i="4" s="1"/>
  <c r="P284" i="4"/>
  <c r="R284" i="4"/>
  <c r="S284" i="4"/>
  <c r="O285" i="4" a="1"/>
  <c r="O285" i="4" s="1"/>
  <c r="Q285" i="4" s="1"/>
  <c r="P285" i="4"/>
  <c r="R285" i="4"/>
  <c r="S285" i="4"/>
  <c r="O286" i="4" a="1"/>
  <c r="O286" i="4" s="1"/>
  <c r="Q286" i="4" s="1"/>
  <c r="P286" i="4"/>
  <c r="R286" i="4"/>
  <c r="S286" i="4"/>
  <c r="O287" i="4" a="1"/>
  <c r="O287" i="4" s="1"/>
  <c r="Q287" i="4" s="1"/>
  <c r="P287" i="4"/>
  <c r="R287" i="4"/>
  <c r="S287" i="4"/>
  <c r="O288" i="4" a="1"/>
  <c r="O288" i="4" s="1"/>
  <c r="Q288" i="4" s="1"/>
  <c r="P288" i="4"/>
  <c r="R288" i="4"/>
  <c r="S288" i="4"/>
  <c r="O289" i="4" a="1"/>
  <c r="O289" i="4" s="1"/>
  <c r="Q289" i="4" s="1"/>
  <c r="P289" i="4"/>
  <c r="R289" i="4"/>
  <c r="S289" i="4"/>
  <c r="O290" i="4" a="1"/>
  <c r="O290" i="4" s="1"/>
  <c r="Q290" i="4" s="1"/>
  <c r="P290" i="4"/>
  <c r="R290" i="4"/>
  <c r="S290" i="4"/>
  <c r="O291" i="4" a="1"/>
  <c r="O291" i="4" s="1"/>
  <c r="Q291" i="4" s="1"/>
  <c r="P291" i="4"/>
  <c r="R291" i="4"/>
  <c r="S291" i="4"/>
  <c r="O292" i="4" a="1"/>
  <c r="O292" i="4" s="1"/>
  <c r="Q292" i="4" s="1"/>
  <c r="P292" i="4"/>
  <c r="R292" i="4"/>
  <c r="S292" i="4"/>
  <c r="O293" i="4" a="1"/>
  <c r="O293" i="4" s="1"/>
  <c r="Q293" i="4" s="1"/>
  <c r="P293" i="4"/>
  <c r="R293" i="4"/>
  <c r="S293" i="4"/>
  <c r="O294" i="4" a="1"/>
  <c r="O294" i="4" s="1"/>
  <c r="Q294" i="4" s="1"/>
  <c r="P294" i="4"/>
  <c r="R294" i="4"/>
  <c r="S294" i="4"/>
  <c r="O295" i="4" a="1"/>
  <c r="O295" i="4" s="1"/>
  <c r="Q295" i="4" s="1"/>
  <c r="P295" i="4"/>
  <c r="R295" i="4"/>
  <c r="S295" i="4"/>
  <c r="O296" i="4" a="1"/>
  <c r="O296" i="4" s="1"/>
  <c r="Q296" i="4" s="1"/>
  <c r="P296" i="4"/>
  <c r="R296" i="4"/>
  <c r="S296" i="4"/>
  <c r="O297" i="4" a="1"/>
  <c r="O297" i="4" s="1"/>
  <c r="Q297" i="4" s="1"/>
  <c r="P297" i="4"/>
  <c r="R297" i="4"/>
  <c r="S297" i="4"/>
  <c r="O298" i="4" a="1"/>
  <c r="O298" i="4" s="1"/>
  <c r="Q298" i="4" s="1"/>
  <c r="P298" i="4"/>
  <c r="R298" i="4"/>
  <c r="S298" i="4"/>
  <c r="O299" i="4" a="1"/>
  <c r="O299" i="4" s="1"/>
  <c r="Q299" i="4" s="1"/>
  <c r="P299" i="4"/>
  <c r="R299" i="4"/>
  <c r="S299" i="4"/>
  <c r="O300" i="4" a="1"/>
  <c r="O300" i="4" s="1"/>
  <c r="Q300" i="4" s="1"/>
  <c r="P300" i="4"/>
  <c r="R300" i="4"/>
  <c r="S300" i="4"/>
  <c r="O301" i="4" a="1"/>
  <c r="O301" i="4" s="1"/>
  <c r="Q301" i="4" s="1"/>
  <c r="P301" i="4"/>
  <c r="R301" i="4"/>
  <c r="S301" i="4"/>
  <c r="O302" i="4" a="1"/>
  <c r="O302" i="4" s="1"/>
  <c r="Q302" i="4" s="1"/>
  <c r="P302" i="4"/>
  <c r="R302" i="4"/>
  <c r="S302" i="4"/>
  <c r="O303" i="4" a="1"/>
  <c r="O303" i="4" s="1"/>
  <c r="Q303" i="4" s="1"/>
  <c r="P303" i="4"/>
  <c r="R303" i="4"/>
  <c r="S303" i="4"/>
  <c r="O304" i="4" a="1"/>
  <c r="O304" i="4" s="1"/>
  <c r="Q304" i="4" s="1"/>
  <c r="P304" i="4"/>
  <c r="R304" i="4"/>
  <c r="S304" i="4"/>
  <c r="O305" i="4" a="1"/>
  <c r="O305" i="4" s="1"/>
  <c r="Q305" i="4" s="1"/>
  <c r="P305" i="4"/>
  <c r="R305" i="4"/>
  <c r="S305" i="4"/>
  <c r="O306" i="4" a="1"/>
  <c r="O306" i="4" s="1"/>
  <c r="Q306" i="4" s="1"/>
  <c r="P306" i="4"/>
  <c r="R306" i="4"/>
  <c r="S306" i="4"/>
  <c r="O307" i="4" a="1"/>
  <c r="O307" i="4" s="1"/>
  <c r="Q307" i="4" s="1"/>
  <c r="P307" i="4"/>
  <c r="R307" i="4"/>
  <c r="S307" i="4"/>
  <c r="O308" i="4" a="1"/>
  <c r="O308" i="4" s="1"/>
  <c r="Q308" i="4" s="1"/>
  <c r="P308" i="4"/>
  <c r="R308" i="4"/>
  <c r="S308" i="4"/>
  <c r="O309" i="4" a="1"/>
  <c r="O309" i="4" s="1"/>
  <c r="Q309" i="4" s="1"/>
  <c r="P309" i="4"/>
  <c r="R309" i="4"/>
  <c r="S309" i="4"/>
  <c r="O310" i="4" a="1"/>
  <c r="O310" i="4" s="1"/>
  <c r="Q310" i="4" s="1"/>
  <c r="P310" i="4"/>
  <c r="R310" i="4"/>
  <c r="S310" i="4"/>
  <c r="O311" i="4" a="1"/>
  <c r="O311" i="4" s="1"/>
  <c r="Q311" i="4" s="1"/>
  <c r="P311" i="4"/>
  <c r="R311" i="4"/>
  <c r="S311" i="4"/>
  <c r="O312" i="4" a="1"/>
  <c r="O312" i="4" s="1"/>
  <c r="Q312" i="4" s="1"/>
  <c r="P312" i="4"/>
  <c r="R312" i="4"/>
  <c r="S312" i="4"/>
  <c r="O313" i="4" a="1"/>
  <c r="O313" i="4" s="1"/>
  <c r="Q313" i="4" s="1"/>
  <c r="P313" i="4"/>
  <c r="R313" i="4"/>
  <c r="S313" i="4"/>
  <c r="O314" i="4" a="1"/>
  <c r="O314" i="4" s="1"/>
  <c r="Q314" i="4" s="1"/>
  <c r="P314" i="4"/>
  <c r="R314" i="4"/>
  <c r="S314" i="4"/>
  <c r="O315" i="4" a="1"/>
  <c r="O315" i="4" s="1"/>
  <c r="Q315" i="4" s="1"/>
  <c r="P315" i="4"/>
  <c r="R315" i="4"/>
  <c r="S315" i="4"/>
  <c r="O316" i="4" a="1"/>
  <c r="O316" i="4" s="1"/>
  <c r="Q316" i="4" s="1"/>
  <c r="P316" i="4"/>
  <c r="R316" i="4"/>
  <c r="S316" i="4"/>
  <c r="O317" i="4" a="1"/>
  <c r="O317" i="4" s="1"/>
  <c r="Q317" i="4" s="1"/>
  <c r="P317" i="4"/>
  <c r="R317" i="4"/>
  <c r="S317" i="4"/>
  <c r="O318" i="4" a="1"/>
  <c r="O318" i="4" s="1"/>
  <c r="Q318" i="4" s="1"/>
  <c r="P318" i="4"/>
  <c r="R318" i="4"/>
  <c r="S318" i="4"/>
  <c r="O319" i="4" a="1"/>
  <c r="O319" i="4" s="1"/>
  <c r="Q319" i="4" s="1"/>
  <c r="P319" i="4"/>
  <c r="R319" i="4"/>
  <c r="S319" i="4"/>
  <c r="O320" i="4" a="1"/>
  <c r="O320" i="4" s="1"/>
  <c r="Q320" i="4" s="1"/>
  <c r="P320" i="4"/>
  <c r="R320" i="4"/>
  <c r="S320" i="4"/>
  <c r="O321" i="4" a="1"/>
  <c r="O321" i="4" s="1"/>
  <c r="Q321" i="4" s="1"/>
  <c r="P321" i="4"/>
  <c r="R321" i="4"/>
  <c r="S321" i="4"/>
  <c r="O322" i="4" a="1"/>
  <c r="O322" i="4" s="1"/>
  <c r="Q322" i="4" s="1"/>
  <c r="P322" i="4"/>
  <c r="R322" i="4"/>
  <c r="S322" i="4"/>
  <c r="O323" i="4" a="1"/>
  <c r="O323" i="4" s="1"/>
  <c r="Q323" i="4" s="1"/>
  <c r="P323" i="4"/>
  <c r="R323" i="4"/>
  <c r="S323" i="4"/>
  <c r="O324" i="4" a="1"/>
  <c r="O324" i="4" s="1"/>
  <c r="Q324" i="4" s="1"/>
  <c r="P324" i="4"/>
  <c r="R324" i="4"/>
  <c r="S324" i="4"/>
  <c r="O325" i="4" a="1"/>
  <c r="O325" i="4" s="1"/>
  <c r="Q325" i="4" s="1"/>
  <c r="P325" i="4"/>
  <c r="R325" i="4"/>
  <c r="S325" i="4"/>
  <c r="O326" i="4" a="1"/>
  <c r="O326" i="4" s="1"/>
  <c r="Q326" i="4" s="1"/>
  <c r="P326" i="4"/>
  <c r="R326" i="4"/>
  <c r="S326" i="4"/>
  <c r="O327" i="4" a="1"/>
  <c r="O327" i="4" s="1"/>
  <c r="Q327" i="4" s="1"/>
  <c r="P327" i="4"/>
  <c r="R327" i="4"/>
  <c r="S327" i="4"/>
  <c r="O328" i="4" a="1"/>
  <c r="O328" i="4" s="1"/>
  <c r="Q328" i="4" s="1"/>
  <c r="P328" i="4"/>
  <c r="R328" i="4"/>
  <c r="S328" i="4"/>
  <c r="O329" i="4" a="1"/>
  <c r="O329" i="4" s="1"/>
  <c r="Q329" i="4" s="1"/>
  <c r="P329" i="4"/>
  <c r="R329" i="4"/>
  <c r="S329" i="4"/>
  <c r="O330" i="4" a="1"/>
  <c r="O330" i="4" s="1"/>
  <c r="Q330" i="4" s="1"/>
  <c r="P330" i="4"/>
  <c r="R330" i="4"/>
  <c r="S330" i="4"/>
  <c r="O331" i="4" a="1"/>
  <c r="O331" i="4" s="1"/>
  <c r="Q331" i="4" s="1"/>
  <c r="P331" i="4"/>
  <c r="R331" i="4"/>
  <c r="S331" i="4"/>
  <c r="O332" i="4" a="1"/>
  <c r="O332" i="4" s="1"/>
  <c r="Q332" i="4" s="1"/>
  <c r="P332" i="4"/>
  <c r="R332" i="4"/>
  <c r="S332" i="4"/>
  <c r="O333" i="4" a="1"/>
  <c r="O333" i="4" s="1"/>
  <c r="Q333" i="4" s="1"/>
  <c r="P333" i="4"/>
  <c r="R333" i="4"/>
  <c r="S333" i="4"/>
  <c r="O334" i="4" a="1"/>
  <c r="O334" i="4" s="1"/>
  <c r="Q334" i="4" s="1"/>
  <c r="P334" i="4"/>
  <c r="R334" i="4"/>
  <c r="S334" i="4"/>
  <c r="O335" i="4" a="1"/>
  <c r="O335" i="4" s="1"/>
  <c r="Q335" i="4" s="1"/>
  <c r="P335" i="4"/>
  <c r="R335" i="4"/>
  <c r="S335" i="4"/>
  <c r="O336" i="4" a="1"/>
  <c r="O336" i="4" s="1"/>
  <c r="Q336" i="4" s="1"/>
  <c r="P336" i="4"/>
  <c r="R336" i="4"/>
  <c r="S336" i="4"/>
  <c r="O337" i="4" a="1"/>
  <c r="O337" i="4" s="1"/>
  <c r="Q337" i="4" s="1"/>
  <c r="P337" i="4"/>
  <c r="R337" i="4"/>
  <c r="S337" i="4"/>
  <c r="O338" i="4" a="1"/>
  <c r="O338" i="4" s="1"/>
  <c r="Q338" i="4" s="1"/>
  <c r="P338" i="4"/>
  <c r="R338" i="4"/>
  <c r="S338" i="4"/>
  <c r="O339" i="4" a="1"/>
  <c r="O339" i="4" s="1"/>
  <c r="Q339" i="4" s="1"/>
  <c r="P339" i="4"/>
  <c r="R339" i="4"/>
  <c r="S339" i="4"/>
  <c r="O340" i="4" a="1"/>
  <c r="O340" i="4" s="1"/>
  <c r="Q340" i="4" s="1"/>
  <c r="P340" i="4"/>
  <c r="R340" i="4"/>
  <c r="S340" i="4"/>
  <c r="O341" i="4" a="1"/>
  <c r="O341" i="4" s="1"/>
  <c r="Q341" i="4" s="1"/>
  <c r="P341" i="4"/>
  <c r="R341" i="4"/>
  <c r="S341" i="4"/>
  <c r="O342" i="4" a="1"/>
  <c r="O342" i="4" s="1"/>
  <c r="Q342" i="4" s="1"/>
  <c r="P342" i="4"/>
  <c r="R342" i="4"/>
  <c r="S342" i="4"/>
  <c r="O343" i="4" a="1"/>
  <c r="O343" i="4" s="1"/>
  <c r="Q343" i="4" s="1"/>
  <c r="P343" i="4"/>
  <c r="R343" i="4"/>
  <c r="S343" i="4"/>
  <c r="O344" i="4" a="1"/>
  <c r="O344" i="4" s="1"/>
  <c r="Q344" i="4" s="1"/>
  <c r="P344" i="4"/>
  <c r="R344" i="4"/>
  <c r="S344" i="4"/>
  <c r="O345" i="4" a="1"/>
  <c r="O345" i="4" s="1"/>
  <c r="Q345" i="4" s="1"/>
  <c r="P345" i="4"/>
  <c r="R345" i="4"/>
  <c r="S345" i="4"/>
  <c r="O346" i="4" a="1"/>
  <c r="O346" i="4" s="1"/>
  <c r="Q346" i="4" s="1"/>
  <c r="P346" i="4"/>
  <c r="R346" i="4"/>
  <c r="S346" i="4"/>
  <c r="O347" i="4" a="1"/>
  <c r="O347" i="4" s="1"/>
  <c r="Q347" i="4" s="1"/>
  <c r="P347" i="4"/>
  <c r="R347" i="4"/>
  <c r="S347" i="4"/>
  <c r="O348" i="4" a="1"/>
  <c r="O348" i="4" s="1"/>
  <c r="Q348" i="4" s="1"/>
  <c r="P348" i="4"/>
  <c r="R348" i="4"/>
  <c r="S348" i="4"/>
  <c r="O349" i="4" a="1"/>
  <c r="O349" i="4" s="1"/>
  <c r="Q349" i="4" s="1"/>
  <c r="P349" i="4"/>
  <c r="R349" i="4"/>
  <c r="S349" i="4"/>
  <c r="O350" i="4" a="1"/>
  <c r="O350" i="4" s="1"/>
  <c r="Q350" i="4" s="1"/>
  <c r="P350" i="4"/>
  <c r="R350" i="4"/>
  <c r="S350" i="4"/>
  <c r="O351" i="4" a="1"/>
  <c r="O351" i="4" s="1"/>
  <c r="Q351" i="4" s="1"/>
  <c r="P351" i="4"/>
  <c r="R351" i="4"/>
  <c r="S351" i="4"/>
  <c r="O352" i="4" a="1"/>
  <c r="O352" i="4" s="1"/>
  <c r="Q352" i="4" s="1"/>
  <c r="P352" i="4"/>
  <c r="R352" i="4"/>
  <c r="S352" i="4"/>
  <c r="O353" i="4" a="1"/>
  <c r="O353" i="4" s="1"/>
  <c r="Q353" i="4" s="1"/>
  <c r="P353" i="4"/>
  <c r="R353" i="4"/>
  <c r="S353" i="4"/>
  <c r="O354" i="4" a="1"/>
  <c r="O354" i="4" s="1"/>
  <c r="Q354" i="4" s="1"/>
  <c r="P354" i="4"/>
  <c r="R354" i="4"/>
  <c r="S354" i="4"/>
  <c r="O355" i="4" a="1"/>
  <c r="O355" i="4" s="1"/>
  <c r="Q355" i="4" s="1"/>
  <c r="P355" i="4"/>
  <c r="R355" i="4"/>
  <c r="S355" i="4"/>
  <c r="O356" i="4" a="1"/>
  <c r="O356" i="4" s="1"/>
  <c r="Q356" i="4" s="1"/>
  <c r="P356" i="4"/>
  <c r="R356" i="4"/>
  <c r="S356" i="4"/>
  <c r="O357" i="4" a="1"/>
  <c r="O357" i="4" s="1"/>
  <c r="Q357" i="4" s="1"/>
  <c r="P357" i="4"/>
  <c r="R357" i="4"/>
  <c r="S357" i="4"/>
  <c r="O358" i="4" a="1"/>
  <c r="O358" i="4" s="1"/>
  <c r="Q358" i="4" s="1"/>
  <c r="P358" i="4"/>
  <c r="R358" i="4"/>
  <c r="S358" i="4"/>
  <c r="O359" i="4" a="1"/>
  <c r="O359" i="4" s="1"/>
  <c r="Q359" i="4" s="1"/>
  <c r="P359" i="4"/>
  <c r="R359" i="4"/>
  <c r="S359" i="4"/>
  <c r="O360" i="4" a="1"/>
  <c r="O360" i="4" s="1"/>
  <c r="Q360" i="4" s="1"/>
  <c r="P360" i="4"/>
  <c r="R360" i="4"/>
  <c r="S360" i="4"/>
  <c r="O361" i="4" a="1"/>
  <c r="O361" i="4" s="1"/>
  <c r="Q361" i="4" s="1"/>
  <c r="P361" i="4"/>
  <c r="R361" i="4"/>
  <c r="S361" i="4"/>
  <c r="O362" i="4" a="1"/>
  <c r="O362" i="4" s="1"/>
  <c r="Q362" i="4" s="1"/>
  <c r="P362" i="4"/>
  <c r="R362" i="4"/>
  <c r="S362" i="4"/>
  <c r="O363" i="4" a="1"/>
  <c r="O363" i="4" s="1"/>
  <c r="Q363" i="4" s="1"/>
  <c r="P363" i="4"/>
  <c r="R363" i="4"/>
  <c r="S363" i="4"/>
  <c r="O364" i="4" a="1"/>
  <c r="O364" i="4" s="1"/>
  <c r="Q364" i="4" s="1"/>
  <c r="P364" i="4"/>
  <c r="R364" i="4"/>
  <c r="S364" i="4"/>
  <c r="O365" i="4" a="1"/>
  <c r="O365" i="4" s="1"/>
  <c r="Q365" i="4" s="1"/>
  <c r="P365" i="4"/>
  <c r="R365" i="4"/>
  <c r="S365" i="4"/>
  <c r="O366" i="4" a="1"/>
  <c r="O366" i="4" s="1"/>
  <c r="Q366" i="4" s="1"/>
  <c r="P366" i="4"/>
  <c r="R366" i="4"/>
  <c r="S366" i="4"/>
  <c r="O367" i="4" a="1"/>
  <c r="O367" i="4" s="1"/>
  <c r="Q367" i="4" s="1"/>
  <c r="P367" i="4"/>
  <c r="R367" i="4"/>
  <c r="S367" i="4"/>
  <c r="O368" i="4" a="1"/>
  <c r="O368" i="4" s="1"/>
  <c r="Q368" i="4" s="1"/>
  <c r="P368" i="4"/>
  <c r="R368" i="4"/>
  <c r="S368" i="4"/>
  <c r="O369" i="4" a="1"/>
  <c r="O369" i="4" s="1"/>
  <c r="Q369" i="4" s="1"/>
  <c r="P369" i="4"/>
  <c r="R369" i="4"/>
  <c r="S369" i="4"/>
  <c r="O370" i="4" a="1"/>
  <c r="O370" i="4" s="1"/>
  <c r="Q370" i="4" s="1"/>
  <c r="P370" i="4"/>
  <c r="R370" i="4"/>
  <c r="S370" i="4"/>
  <c r="O371" i="4" a="1"/>
  <c r="O371" i="4" s="1"/>
  <c r="Q371" i="4" s="1"/>
  <c r="P371" i="4"/>
  <c r="R371" i="4"/>
  <c r="S371" i="4"/>
  <c r="O372" i="4" a="1"/>
  <c r="O372" i="4" s="1"/>
  <c r="Q372" i="4" s="1"/>
  <c r="P372" i="4"/>
  <c r="R372" i="4"/>
  <c r="S372" i="4"/>
  <c r="O373" i="4" a="1"/>
  <c r="O373" i="4" s="1"/>
  <c r="Q373" i="4" s="1"/>
  <c r="P373" i="4"/>
  <c r="R373" i="4"/>
  <c r="S373" i="4"/>
  <c r="O374" i="4" a="1"/>
  <c r="O374" i="4" s="1"/>
  <c r="Q374" i="4" s="1"/>
  <c r="P374" i="4"/>
  <c r="R374" i="4"/>
  <c r="S374" i="4"/>
  <c r="O375" i="4" a="1"/>
  <c r="O375" i="4" s="1"/>
  <c r="Q375" i="4" s="1"/>
  <c r="P375" i="4"/>
  <c r="R375" i="4"/>
  <c r="S375" i="4"/>
  <c r="O376" i="4" a="1"/>
  <c r="O376" i="4" s="1"/>
  <c r="Q376" i="4" s="1"/>
  <c r="P376" i="4"/>
  <c r="R376" i="4"/>
  <c r="S376" i="4"/>
  <c r="O377" i="4" a="1"/>
  <c r="O377" i="4" s="1"/>
  <c r="Q377" i="4" s="1"/>
  <c r="P377" i="4"/>
  <c r="R377" i="4"/>
  <c r="S377" i="4"/>
  <c r="O378" i="4" a="1"/>
  <c r="O378" i="4" s="1"/>
  <c r="Q378" i="4" s="1"/>
  <c r="P378" i="4"/>
  <c r="R378" i="4"/>
  <c r="S378" i="4"/>
  <c r="O379" i="4" a="1"/>
  <c r="O379" i="4" s="1"/>
  <c r="Q379" i="4" s="1"/>
  <c r="P379" i="4"/>
  <c r="R379" i="4"/>
  <c r="S379" i="4"/>
  <c r="O380" i="4" a="1"/>
  <c r="O380" i="4" s="1"/>
  <c r="Q380" i="4" s="1"/>
  <c r="P380" i="4"/>
  <c r="R380" i="4"/>
  <c r="S380" i="4"/>
  <c r="O381" i="4" a="1"/>
  <c r="O381" i="4" s="1"/>
  <c r="Q381" i="4" s="1"/>
  <c r="P381" i="4"/>
  <c r="R381" i="4"/>
  <c r="S381" i="4"/>
  <c r="O382" i="4" a="1"/>
  <c r="O382" i="4" s="1"/>
  <c r="Q382" i="4" s="1"/>
  <c r="P382" i="4"/>
  <c r="R382" i="4"/>
  <c r="S382" i="4"/>
  <c r="O383" i="4" a="1"/>
  <c r="O383" i="4" s="1"/>
  <c r="Q383" i="4" s="1"/>
  <c r="P383" i="4"/>
  <c r="R383" i="4"/>
  <c r="S383" i="4"/>
  <c r="O384" i="4" a="1"/>
  <c r="O384" i="4" s="1"/>
  <c r="Q384" i="4" s="1"/>
  <c r="P384" i="4"/>
  <c r="R384" i="4"/>
  <c r="S384" i="4"/>
  <c r="O385" i="4" a="1"/>
  <c r="O385" i="4" s="1"/>
  <c r="Q385" i="4" s="1"/>
  <c r="P385" i="4"/>
  <c r="R385" i="4"/>
  <c r="S385" i="4"/>
  <c r="O386" i="4" a="1"/>
  <c r="O386" i="4" s="1"/>
  <c r="Q386" i="4" s="1"/>
  <c r="P386" i="4"/>
  <c r="R386" i="4"/>
  <c r="S386" i="4"/>
  <c r="O387" i="4" a="1"/>
  <c r="O387" i="4" s="1"/>
  <c r="Q387" i="4" s="1"/>
  <c r="P387" i="4"/>
  <c r="R387" i="4"/>
  <c r="S387" i="4"/>
  <c r="O388" i="4" a="1"/>
  <c r="O388" i="4" s="1"/>
  <c r="Q388" i="4" s="1"/>
  <c r="P388" i="4"/>
  <c r="R388" i="4"/>
  <c r="S388" i="4"/>
  <c r="O389" i="4" a="1"/>
  <c r="O389" i="4" s="1"/>
  <c r="Q389" i="4" s="1"/>
  <c r="P389" i="4"/>
  <c r="R389" i="4"/>
  <c r="S389" i="4"/>
  <c r="O390" i="4" a="1"/>
  <c r="O390" i="4" s="1"/>
  <c r="Q390" i="4" s="1"/>
  <c r="P390" i="4"/>
  <c r="R390" i="4"/>
  <c r="S390" i="4"/>
  <c r="O391" i="4" a="1"/>
  <c r="O391" i="4" s="1"/>
  <c r="Q391" i="4" s="1"/>
  <c r="P391" i="4"/>
  <c r="R391" i="4"/>
  <c r="S391" i="4"/>
  <c r="O392" i="4" a="1"/>
  <c r="O392" i="4" s="1"/>
  <c r="Q392" i="4" s="1"/>
  <c r="P392" i="4"/>
  <c r="R392" i="4"/>
  <c r="S392" i="4"/>
  <c r="O393" i="4" a="1"/>
  <c r="O393" i="4" s="1"/>
  <c r="Q393" i="4" s="1"/>
  <c r="P393" i="4"/>
  <c r="R393" i="4"/>
  <c r="S393" i="4"/>
  <c r="O394" i="4" a="1"/>
  <c r="O394" i="4" s="1"/>
  <c r="Q394" i="4" s="1"/>
  <c r="P394" i="4"/>
  <c r="R394" i="4"/>
  <c r="S394" i="4"/>
  <c r="O395" i="4" a="1"/>
  <c r="O395" i="4" s="1"/>
  <c r="Q395" i="4" s="1"/>
  <c r="P395" i="4"/>
  <c r="R395" i="4"/>
  <c r="S395" i="4"/>
  <c r="O396" i="4" a="1"/>
  <c r="O396" i="4" s="1"/>
  <c r="Q396" i="4" s="1"/>
  <c r="P396" i="4"/>
  <c r="R396" i="4"/>
  <c r="S396" i="4"/>
  <c r="O397" i="4" a="1"/>
  <c r="O397" i="4" s="1"/>
  <c r="Q397" i="4" s="1"/>
  <c r="P397" i="4"/>
  <c r="R397" i="4"/>
  <c r="S397" i="4"/>
  <c r="O398" i="4" a="1"/>
  <c r="O398" i="4" s="1"/>
  <c r="Q398" i="4" s="1"/>
  <c r="P398" i="4"/>
  <c r="R398" i="4"/>
  <c r="S398" i="4"/>
  <c r="O399" i="4" a="1"/>
  <c r="O399" i="4" s="1"/>
  <c r="Q399" i="4" s="1"/>
  <c r="P399" i="4"/>
  <c r="R399" i="4"/>
  <c r="S399" i="4"/>
  <c r="O400" i="4" a="1"/>
  <c r="O400" i="4" s="1"/>
  <c r="Q400" i="4" s="1"/>
  <c r="P400" i="4"/>
  <c r="R400" i="4"/>
  <c r="S400" i="4"/>
  <c r="O401" i="4" a="1"/>
  <c r="O401" i="4" s="1"/>
  <c r="Q401" i="4" s="1"/>
  <c r="P401" i="4"/>
  <c r="R401" i="4"/>
  <c r="S401" i="4"/>
  <c r="O402" i="4" a="1"/>
  <c r="O402" i="4" s="1"/>
  <c r="Q402" i="4" s="1"/>
  <c r="P402" i="4"/>
  <c r="R402" i="4"/>
  <c r="S402" i="4"/>
  <c r="O403" i="4" a="1"/>
  <c r="O403" i="4" s="1"/>
  <c r="Q403" i="4" s="1"/>
  <c r="P403" i="4"/>
  <c r="R403" i="4"/>
  <c r="S403" i="4"/>
  <c r="O404" i="4" a="1"/>
  <c r="O404" i="4" s="1"/>
  <c r="Q404" i="4" s="1"/>
  <c r="P404" i="4"/>
  <c r="R404" i="4"/>
  <c r="S404" i="4"/>
  <c r="O405" i="4" a="1"/>
  <c r="O405" i="4" s="1"/>
  <c r="P405" i="4"/>
  <c r="Q405" i="4"/>
  <c r="R405" i="4"/>
  <c r="S405" i="4"/>
  <c r="O406" i="4" a="1"/>
  <c r="O406" i="4" s="1"/>
  <c r="Q406" i="4" s="1"/>
  <c r="P406" i="4"/>
  <c r="R406" i="4"/>
  <c r="S406" i="4"/>
  <c r="O407" i="4" a="1"/>
  <c r="O407" i="4" s="1"/>
  <c r="Q407" i="4" s="1"/>
  <c r="P407" i="4"/>
  <c r="R407" i="4"/>
  <c r="S407" i="4"/>
  <c r="O408" i="4" a="1"/>
  <c r="O408" i="4" s="1"/>
  <c r="Q408" i="4" s="1"/>
  <c r="P408" i="4"/>
  <c r="R408" i="4"/>
  <c r="S408" i="4"/>
  <c r="O409" i="4" a="1"/>
  <c r="O409" i="4" s="1"/>
  <c r="Q409" i="4" s="1"/>
  <c r="P409" i="4"/>
  <c r="R409" i="4"/>
  <c r="S409" i="4"/>
  <c r="O410" i="4" a="1"/>
  <c r="O410" i="4" s="1"/>
  <c r="Q410" i="4" s="1"/>
  <c r="P410" i="4"/>
  <c r="R410" i="4"/>
  <c r="S410" i="4"/>
  <c r="O411" i="4" a="1"/>
  <c r="O411" i="4" s="1"/>
  <c r="Q411" i="4" s="1"/>
  <c r="P411" i="4"/>
  <c r="R411" i="4"/>
  <c r="S411" i="4"/>
  <c r="O412" i="4" a="1"/>
  <c r="O412" i="4" s="1"/>
  <c r="Q412" i="4" s="1"/>
  <c r="P412" i="4"/>
  <c r="R412" i="4"/>
  <c r="S412" i="4"/>
  <c r="O413" i="4" a="1"/>
  <c r="O413" i="4" s="1"/>
  <c r="Q413" i="4" s="1"/>
  <c r="P413" i="4"/>
  <c r="R413" i="4"/>
  <c r="S413" i="4"/>
  <c r="O414" i="4" a="1"/>
  <c r="O414" i="4" s="1"/>
  <c r="Q414" i="4" s="1"/>
  <c r="P414" i="4"/>
  <c r="R414" i="4"/>
  <c r="S414" i="4"/>
  <c r="O415" i="4" a="1"/>
  <c r="O415" i="4" s="1"/>
  <c r="Q415" i="4" s="1"/>
  <c r="P415" i="4"/>
  <c r="R415" i="4"/>
  <c r="S415" i="4"/>
  <c r="O416" i="4" a="1"/>
  <c r="O416" i="4" s="1"/>
  <c r="Q416" i="4" s="1"/>
  <c r="P416" i="4"/>
  <c r="R416" i="4"/>
  <c r="S416" i="4"/>
  <c r="O417" i="4" a="1"/>
  <c r="O417" i="4" s="1"/>
  <c r="Q417" i="4" s="1"/>
  <c r="P417" i="4"/>
  <c r="R417" i="4"/>
  <c r="S417" i="4"/>
  <c r="O418" i="4" a="1"/>
  <c r="O418" i="4" s="1"/>
  <c r="Q418" i="4" s="1"/>
  <c r="P418" i="4"/>
  <c r="R418" i="4"/>
  <c r="S418" i="4"/>
  <c r="O419" i="4" a="1"/>
  <c r="O419" i="4" s="1"/>
  <c r="Q419" i="4" s="1"/>
  <c r="P419" i="4"/>
  <c r="R419" i="4"/>
  <c r="S419" i="4"/>
  <c r="O420" i="4" a="1"/>
  <c r="O420" i="4" s="1"/>
  <c r="Q420" i="4" s="1"/>
  <c r="P420" i="4"/>
  <c r="R420" i="4"/>
  <c r="S420" i="4"/>
  <c r="O421" i="4" a="1"/>
  <c r="O421" i="4" s="1"/>
  <c r="Q421" i="4" s="1"/>
  <c r="P421" i="4"/>
  <c r="R421" i="4"/>
  <c r="S421" i="4"/>
  <c r="O422" i="4" a="1"/>
  <c r="O422" i="4" s="1"/>
  <c r="Q422" i="4" s="1"/>
  <c r="P422" i="4"/>
  <c r="R422" i="4"/>
  <c r="S422" i="4"/>
  <c r="O423" i="4" a="1"/>
  <c r="O423" i="4" s="1"/>
  <c r="Q423" i="4" s="1"/>
  <c r="P423" i="4"/>
  <c r="R423" i="4"/>
  <c r="S423" i="4"/>
  <c r="O424" i="4" a="1"/>
  <c r="O424" i="4" s="1"/>
  <c r="Q424" i="4" s="1"/>
  <c r="P424" i="4"/>
  <c r="R424" i="4"/>
  <c r="S424" i="4"/>
  <c r="O425" i="4" a="1"/>
  <c r="O425" i="4" s="1"/>
  <c r="Q425" i="4" s="1"/>
  <c r="P425" i="4"/>
  <c r="R425" i="4"/>
  <c r="S425" i="4"/>
  <c r="O426" i="4" a="1"/>
  <c r="O426" i="4" s="1"/>
  <c r="Q426" i="4" s="1"/>
  <c r="P426" i="4"/>
  <c r="R426" i="4"/>
  <c r="S426" i="4"/>
  <c r="O427" i="4" a="1"/>
  <c r="O427" i="4" s="1"/>
  <c r="Q427" i="4" s="1"/>
  <c r="P427" i="4"/>
  <c r="R427" i="4"/>
  <c r="S427" i="4"/>
  <c r="O428" i="4" a="1"/>
  <c r="O428" i="4" s="1"/>
  <c r="Q428" i="4" s="1"/>
  <c r="P428" i="4"/>
  <c r="R428" i="4"/>
  <c r="S428" i="4"/>
  <c r="O429" i="4" a="1"/>
  <c r="O429" i="4" s="1"/>
  <c r="Q429" i="4" s="1"/>
  <c r="P429" i="4"/>
  <c r="R429" i="4"/>
  <c r="S429" i="4"/>
  <c r="O430" i="4" a="1"/>
  <c r="O430" i="4" s="1"/>
  <c r="Q430" i="4" s="1"/>
  <c r="P430" i="4"/>
  <c r="R430" i="4"/>
  <c r="S430" i="4"/>
  <c r="O431" i="4" a="1"/>
  <c r="O431" i="4" s="1"/>
  <c r="Q431" i="4" s="1"/>
  <c r="P431" i="4"/>
  <c r="R431" i="4"/>
  <c r="S431" i="4"/>
  <c r="O432" i="4" a="1"/>
  <c r="O432" i="4" s="1"/>
  <c r="Q432" i="4" s="1"/>
  <c r="P432" i="4"/>
  <c r="R432" i="4"/>
  <c r="S432" i="4"/>
  <c r="O433" i="4" a="1"/>
  <c r="O433" i="4" s="1"/>
  <c r="Q433" i="4" s="1"/>
  <c r="P433" i="4"/>
  <c r="R433" i="4"/>
  <c r="S433" i="4"/>
  <c r="O434" i="4" a="1"/>
  <c r="O434" i="4" s="1"/>
  <c r="Q434" i="4" s="1"/>
  <c r="P434" i="4"/>
  <c r="R434" i="4"/>
  <c r="S434" i="4"/>
  <c r="O435" i="4" a="1"/>
  <c r="O435" i="4" s="1"/>
  <c r="Q435" i="4" s="1"/>
  <c r="P435" i="4"/>
  <c r="R435" i="4"/>
  <c r="S435" i="4"/>
  <c r="O436" i="4" a="1"/>
  <c r="O436" i="4" s="1"/>
  <c r="Q436" i="4" s="1"/>
  <c r="P436" i="4"/>
  <c r="R436" i="4"/>
  <c r="S436" i="4"/>
  <c r="O437" i="4" a="1"/>
  <c r="O437" i="4" s="1"/>
  <c r="Q437" i="4" s="1"/>
  <c r="P437" i="4"/>
  <c r="R437" i="4"/>
  <c r="S437" i="4"/>
  <c r="O438" i="4" a="1"/>
  <c r="O438" i="4" s="1"/>
  <c r="Q438" i="4" s="1"/>
  <c r="P438" i="4"/>
  <c r="R438" i="4"/>
  <c r="S438" i="4"/>
  <c r="O439" i="4" a="1"/>
  <c r="O439" i="4" s="1"/>
  <c r="Q439" i="4" s="1"/>
  <c r="P439" i="4"/>
  <c r="R439" i="4"/>
  <c r="S439" i="4"/>
  <c r="O440" i="4" a="1"/>
  <c r="O440" i="4" s="1"/>
  <c r="Q440" i="4" s="1"/>
  <c r="P440" i="4"/>
  <c r="R440" i="4"/>
  <c r="S440" i="4"/>
  <c r="O441" i="4" a="1"/>
  <c r="O441" i="4" s="1"/>
  <c r="Q441" i="4" s="1"/>
  <c r="P441" i="4"/>
  <c r="R441" i="4"/>
  <c r="S441" i="4"/>
  <c r="O442" i="4" a="1"/>
  <c r="O442" i="4" s="1"/>
  <c r="Q442" i="4" s="1"/>
  <c r="P442" i="4"/>
  <c r="R442" i="4"/>
  <c r="S442" i="4"/>
  <c r="O443" i="4" a="1"/>
  <c r="O443" i="4" s="1"/>
  <c r="Q443" i="4" s="1"/>
  <c r="P443" i="4"/>
  <c r="R443" i="4"/>
  <c r="S443" i="4"/>
  <c r="O444" i="4" a="1"/>
  <c r="O444" i="4" s="1"/>
  <c r="Q444" i="4" s="1"/>
  <c r="P444" i="4"/>
  <c r="R444" i="4"/>
  <c r="S444" i="4"/>
  <c r="O445" i="4" a="1"/>
  <c r="O445" i="4" s="1"/>
  <c r="Q445" i="4" s="1"/>
  <c r="P445" i="4"/>
  <c r="R445" i="4"/>
  <c r="S445" i="4"/>
  <c r="O446" i="4" a="1"/>
  <c r="O446" i="4" s="1"/>
  <c r="Q446" i="4" s="1"/>
  <c r="P446" i="4"/>
  <c r="R446" i="4"/>
  <c r="S446" i="4"/>
  <c r="O447" i="4" a="1"/>
  <c r="O447" i="4" s="1"/>
  <c r="Q447" i="4" s="1"/>
  <c r="P447" i="4"/>
  <c r="R447" i="4"/>
  <c r="S447" i="4"/>
  <c r="O448" i="4" a="1"/>
  <c r="O448" i="4" s="1"/>
  <c r="Q448" i="4" s="1"/>
  <c r="P448" i="4"/>
  <c r="R448" i="4"/>
  <c r="S448" i="4"/>
  <c r="O449" i="4" a="1"/>
  <c r="O449" i="4" s="1"/>
  <c r="Q449" i="4" s="1"/>
  <c r="P449" i="4"/>
  <c r="R449" i="4"/>
  <c r="S449" i="4"/>
  <c r="O450" i="4" a="1"/>
  <c r="O450" i="4" s="1"/>
  <c r="Q450" i="4" s="1"/>
  <c r="P450" i="4"/>
  <c r="R450" i="4"/>
  <c r="S450" i="4"/>
  <c r="O451" i="4" a="1"/>
  <c r="O451" i="4" s="1"/>
  <c r="Q451" i="4" s="1"/>
  <c r="P451" i="4"/>
  <c r="R451" i="4"/>
  <c r="S451" i="4"/>
  <c r="O452" i="4" a="1"/>
  <c r="O452" i="4" s="1"/>
  <c r="Q452" i="4" s="1"/>
  <c r="P452" i="4"/>
  <c r="R452" i="4"/>
  <c r="S452" i="4"/>
  <c r="O453" i="4" a="1"/>
  <c r="O453" i="4" s="1"/>
  <c r="Q453" i="4" s="1"/>
  <c r="P453" i="4"/>
  <c r="R453" i="4"/>
  <c r="S453" i="4"/>
  <c r="O454" i="4" a="1"/>
  <c r="O454" i="4" s="1"/>
  <c r="Q454" i="4" s="1"/>
  <c r="P454" i="4"/>
  <c r="R454" i="4"/>
  <c r="S454" i="4"/>
  <c r="O455" i="4" a="1"/>
  <c r="O455" i="4" s="1"/>
  <c r="Q455" i="4" s="1"/>
  <c r="P455" i="4"/>
  <c r="R455" i="4"/>
  <c r="S455" i="4"/>
  <c r="O456" i="4" a="1"/>
  <c r="O456" i="4" s="1"/>
  <c r="Q456" i="4" s="1"/>
  <c r="P456" i="4"/>
  <c r="R456" i="4"/>
  <c r="S456" i="4"/>
  <c r="O457" i="4" a="1"/>
  <c r="O457" i="4" s="1"/>
  <c r="Q457" i="4" s="1"/>
  <c r="P457" i="4"/>
  <c r="R457" i="4"/>
  <c r="S457" i="4"/>
  <c r="O458" i="4" a="1"/>
  <c r="O458" i="4" s="1"/>
  <c r="Q458" i="4" s="1"/>
  <c r="P458" i="4"/>
  <c r="R458" i="4"/>
  <c r="S458" i="4"/>
  <c r="O459" i="4" a="1"/>
  <c r="O459" i="4" s="1"/>
  <c r="Q459" i="4" s="1"/>
  <c r="P459" i="4"/>
  <c r="R459" i="4"/>
  <c r="S459" i="4"/>
  <c r="O460" i="4" a="1"/>
  <c r="O460" i="4" s="1"/>
  <c r="Q460" i="4" s="1"/>
  <c r="P460" i="4"/>
  <c r="R460" i="4"/>
  <c r="S460" i="4"/>
  <c r="O461" i="4" a="1"/>
  <c r="O461" i="4" s="1"/>
  <c r="Q461" i="4" s="1"/>
  <c r="P461" i="4"/>
  <c r="R461" i="4"/>
  <c r="S461" i="4"/>
  <c r="O462" i="4" a="1"/>
  <c r="O462" i="4" s="1"/>
  <c r="Q462" i="4" s="1"/>
  <c r="P462" i="4"/>
  <c r="R462" i="4"/>
  <c r="S462" i="4"/>
  <c r="O463" i="4" a="1"/>
  <c r="O463" i="4" s="1"/>
  <c r="Q463" i="4" s="1"/>
  <c r="P463" i="4"/>
  <c r="R463" i="4"/>
  <c r="S463" i="4"/>
  <c r="O464" i="4" a="1"/>
  <c r="O464" i="4" s="1"/>
  <c r="Q464" i="4" s="1"/>
  <c r="P464" i="4"/>
  <c r="R464" i="4"/>
  <c r="S464" i="4"/>
  <c r="O465" i="4" a="1"/>
  <c r="O465" i="4" s="1"/>
  <c r="Q465" i="4" s="1"/>
  <c r="P465" i="4"/>
  <c r="R465" i="4"/>
  <c r="S465" i="4"/>
  <c r="O466" i="4" a="1"/>
  <c r="O466" i="4"/>
  <c r="Q466" i="4" s="1"/>
  <c r="P466" i="4"/>
  <c r="R466" i="4"/>
  <c r="S466" i="4"/>
  <c r="O467" i="4" a="1"/>
  <c r="O467" i="4" s="1"/>
  <c r="Q467" i="4" s="1"/>
  <c r="P467" i="4"/>
  <c r="R467" i="4"/>
  <c r="S467" i="4"/>
  <c r="O468" i="4" a="1"/>
  <c r="O468" i="4" s="1"/>
  <c r="Q468" i="4" s="1"/>
  <c r="P468" i="4"/>
  <c r="R468" i="4"/>
  <c r="S468" i="4"/>
  <c r="O469" i="4" a="1"/>
  <c r="O469" i="4" s="1"/>
  <c r="Q469" i="4" s="1"/>
  <c r="P469" i="4"/>
  <c r="R469" i="4"/>
  <c r="S469" i="4"/>
  <c r="O470" i="4" a="1"/>
  <c r="O470" i="4" s="1"/>
  <c r="Q470" i="4" s="1"/>
  <c r="P470" i="4"/>
  <c r="R470" i="4"/>
  <c r="S470" i="4"/>
  <c r="O471" i="4" a="1"/>
  <c r="O471" i="4" s="1"/>
  <c r="Q471" i="4" s="1"/>
  <c r="P471" i="4"/>
  <c r="R471" i="4"/>
  <c r="S471" i="4"/>
  <c r="O472" i="4" a="1"/>
  <c r="O472" i="4" s="1"/>
  <c r="Q472" i="4" s="1"/>
  <c r="P472" i="4"/>
  <c r="R472" i="4"/>
  <c r="S472" i="4"/>
  <c r="O473" i="4" a="1"/>
  <c r="O473" i="4" s="1"/>
  <c r="Q473" i="4" s="1"/>
  <c r="P473" i="4"/>
  <c r="R473" i="4"/>
  <c r="S473" i="4"/>
  <c r="O474" i="4" a="1"/>
  <c r="O474" i="4" s="1"/>
  <c r="Q474" i="4" s="1"/>
  <c r="P474" i="4"/>
  <c r="R474" i="4"/>
  <c r="S474" i="4"/>
  <c r="O475" i="4" a="1"/>
  <c r="O475" i="4" s="1"/>
  <c r="Q475" i="4" s="1"/>
  <c r="P475" i="4"/>
  <c r="R475" i="4"/>
  <c r="S475" i="4"/>
  <c r="O476" i="4" a="1"/>
  <c r="O476" i="4" s="1"/>
  <c r="Q476" i="4" s="1"/>
  <c r="P476" i="4"/>
  <c r="R476" i="4"/>
  <c r="S476" i="4"/>
  <c r="O477" i="4" a="1"/>
  <c r="O477" i="4"/>
  <c r="Q477" i="4" s="1"/>
  <c r="P477" i="4"/>
  <c r="R477" i="4"/>
  <c r="S477" i="4"/>
  <c r="O478" i="4" a="1"/>
  <c r="O478" i="4" s="1"/>
  <c r="Q478" i="4" s="1"/>
  <c r="P478" i="4"/>
  <c r="R478" i="4"/>
  <c r="S478" i="4"/>
  <c r="O479" i="4" a="1"/>
  <c r="O479" i="4" s="1"/>
  <c r="Q479" i="4" s="1"/>
  <c r="P479" i="4"/>
  <c r="R479" i="4"/>
  <c r="S479" i="4"/>
  <c r="O480" i="4" a="1"/>
  <c r="O480" i="4" s="1"/>
  <c r="Q480" i="4" s="1"/>
  <c r="P480" i="4"/>
  <c r="R480" i="4"/>
  <c r="S480" i="4"/>
  <c r="O481" i="4" a="1"/>
  <c r="O481" i="4" s="1"/>
  <c r="Q481" i="4" s="1"/>
  <c r="P481" i="4"/>
  <c r="R481" i="4"/>
  <c r="S481" i="4"/>
  <c r="O482" i="4" a="1"/>
  <c r="O482" i="4" s="1"/>
  <c r="Q482" i="4" s="1"/>
  <c r="P482" i="4"/>
  <c r="R482" i="4"/>
  <c r="S482" i="4"/>
  <c r="O483" i="4" a="1"/>
  <c r="O483" i="4" s="1"/>
  <c r="Q483" i="4" s="1"/>
  <c r="P483" i="4"/>
  <c r="R483" i="4"/>
  <c r="S483" i="4"/>
  <c r="O484" i="4" a="1"/>
  <c r="O484" i="4" s="1"/>
  <c r="Q484" i="4" s="1"/>
  <c r="P484" i="4"/>
  <c r="R484" i="4"/>
  <c r="S484" i="4"/>
  <c r="O485" i="4" a="1"/>
  <c r="O485" i="4" s="1"/>
  <c r="Q485" i="4" s="1"/>
  <c r="P485" i="4"/>
  <c r="R485" i="4"/>
  <c r="S485" i="4"/>
  <c r="O486" i="4" a="1"/>
  <c r="O486" i="4" s="1"/>
  <c r="Q486" i="4" s="1"/>
  <c r="P486" i="4"/>
  <c r="R486" i="4"/>
  <c r="S486" i="4"/>
  <c r="O487" i="4" a="1"/>
  <c r="O487" i="4" s="1"/>
  <c r="Q487" i="4" s="1"/>
  <c r="P487" i="4"/>
  <c r="R487" i="4"/>
  <c r="S487" i="4"/>
  <c r="O488" i="4" a="1"/>
  <c r="O488" i="4" s="1"/>
  <c r="Q488" i="4" s="1"/>
  <c r="P488" i="4"/>
  <c r="R488" i="4"/>
  <c r="S488" i="4"/>
  <c r="O489" i="4" a="1"/>
  <c r="O489" i="4" s="1"/>
  <c r="Q489" i="4" s="1"/>
  <c r="P489" i="4"/>
  <c r="R489" i="4"/>
  <c r="S489" i="4"/>
  <c r="O490" i="4" a="1"/>
  <c r="O490" i="4" s="1"/>
  <c r="Q490" i="4" s="1"/>
  <c r="P490" i="4"/>
  <c r="R490" i="4"/>
  <c r="S490" i="4"/>
  <c r="O491" i="4" a="1"/>
  <c r="O491" i="4" s="1"/>
  <c r="Q491" i="4" s="1"/>
  <c r="P491" i="4"/>
  <c r="R491" i="4"/>
  <c r="S491" i="4"/>
  <c r="O492" i="4" a="1"/>
  <c r="O492" i="4" s="1"/>
  <c r="Q492" i="4" s="1"/>
  <c r="P492" i="4"/>
  <c r="R492" i="4"/>
  <c r="S492" i="4"/>
  <c r="O493" i="4" a="1"/>
  <c r="O493" i="4" s="1"/>
  <c r="Q493" i="4" s="1"/>
  <c r="P493" i="4"/>
  <c r="R493" i="4"/>
  <c r="S493" i="4"/>
  <c r="O494" i="4" a="1"/>
  <c r="O494" i="4" s="1"/>
  <c r="Q494" i="4" s="1"/>
  <c r="P494" i="4"/>
  <c r="R494" i="4"/>
  <c r="S494" i="4"/>
  <c r="O495" i="4" a="1"/>
  <c r="O495" i="4" s="1"/>
  <c r="Q495" i="4" s="1"/>
  <c r="P495" i="4"/>
  <c r="R495" i="4"/>
  <c r="S495" i="4"/>
  <c r="O496" i="4" a="1"/>
  <c r="O496" i="4" s="1"/>
  <c r="Q496" i="4" s="1"/>
  <c r="P496" i="4"/>
  <c r="R496" i="4"/>
  <c r="S496" i="4"/>
  <c r="O497" i="4" a="1"/>
  <c r="O497" i="4" s="1"/>
  <c r="Q497" i="4" s="1"/>
  <c r="P497" i="4"/>
  <c r="R497" i="4"/>
  <c r="S497" i="4"/>
  <c r="O498" i="4" a="1"/>
  <c r="O498" i="4" s="1"/>
  <c r="Q498" i="4" s="1"/>
  <c r="P498" i="4"/>
  <c r="R498" i="4"/>
  <c r="S498" i="4"/>
  <c r="O499" i="4" a="1"/>
  <c r="O499" i="4" s="1"/>
  <c r="Q499" i="4" s="1"/>
  <c r="P499" i="4"/>
  <c r="R499" i="4"/>
  <c r="S499" i="4"/>
  <c r="O500" i="4" a="1"/>
  <c r="O500" i="4"/>
  <c r="Q500" i="4" s="1"/>
  <c r="P500" i="4"/>
  <c r="R500" i="4"/>
  <c r="S500" i="4"/>
  <c r="O501" i="4" a="1"/>
  <c r="O501" i="4" s="1"/>
  <c r="Q501" i="4" s="1"/>
  <c r="P501" i="4"/>
  <c r="R501" i="4"/>
  <c r="S501" i="4"/>
  <c r="O502" i="4" a="1"/>
  <c r="O502" i="4" s="1"/>
  <c r="Q502" i="4" s="1"/>
  <c r="P502" i="4"/>
  <c r="R502" i="4"/>
  <c r="S502" i="4"/>
  <c r="O503" i="4" a="1"/>
  <c r="O503" i="4" s="1"/>
  <c r="Q503" i="4" s="1"/>
  <c r="P503" i="4"/>
  <c r="R503" i="4"/>
  <c r="S503" i="4"/>
  <c r="O504" i="4" a="1"/>
  <c r="O504" i="4" s="1"/>
  <c r="Q504" i="4" s="1"/>
  <c r="P504" i="4"/>
  <c r="R504" i="4"/>
  <c r="S504" i="4"/>
  <c r="O505" i="4" a="1"/>
  <c r="O505" i="4" s="1"/>
  <c r="Q505" i="4" s="1"/>
  <c r="P505" i="4"/>
  <c r="R505" i="4"/>
  <c r="S505" i="4"/>
  <c r="O506" i="4" a="1"/>
  <c r="O506" i="4" s="1"/>
  <c r="Q506" i="4" s="1"/>
  <c r="P506" i="4"/>
  <c r="R506" i="4"/>
  <c r="S506" i="4"/>
  <c r="O507" i="4" a="1"/>
  <c r="O507" i="4" s="1"/>
  <c r="Q507" i="4" s="1"/>
  <c r="P507" i="4"/>
  <c r="R507" i="4"/>
  <c r="S507" i="4"/>
  <c r="O508" i="4" a="1"/>
  <c r="O508" i="4" s="1"/>
  <c r="Q508" i="4" s="1"/>
  <c r="P508" i="4"/>
  <c r="R508" i="4"/>
  <c r="S508" i="4"/>
  <c r="O509" i="4" a="1"/>
  <c r="O509" i="4" s="1"/>
  <c r="Q509" i="4" s="1"/>
  <c r="P509" i="4"/>
  <c r="R509" i="4"/>
  <c r="S509" i="4"/>
  <c r="O510" i="4" a="1"/>
  <c r="O510" i="4" s="1"/>
  <c r="Q510" i="4" s="1"/>
  <c r="P510" i="4"/>
  <c r="R510" i="4"/>
  <c r="S510" i="4"/>
  <c r="O511" i="4" a="1"/>
  <c r="O511" i="4" s="1"/>
  <c r="Q511" i="4" s="1"/>
  <c r="P511" i="4"/>
  <c r="R511" i="4"/>
  <c r="S511" i="4"/>
  <c r="O512" i="4" a="1"/>
  <c r="O512" i="4" s="1"/>
  <c r="Q512" i="4" s="1"/>
  <c r="P512" i="4"/>
  <c r="R512" i="4"/>
  <c r="S512" i="4"/>
  <c r="O513" i="4" a="1"/>
  <c r="O513" i="4" s="1"/>
  <c r="Q513" i="4" s="1"/>
  <c r="P513" i="4"/>
  <c r="R513" i="4"/>
  <c r="S513" i="4"/>
  <c r="O514" i="4" a="1"/>
  <c r="O514" i="4" s="1"/>
  <c r="Q514" i="4" s="1"/>
  <c r="P514" i="4"/>
  <c r="R514" i="4"/>
  <c r="S514" i="4"/>
  <c r="O515" i="4" a="1"/>
  <c r="O515" i="4" s="1"/>
  <c r="Q515" i="4" s="1"/>
  <c r="P515" i="4"/>
  <c r="R515" i="4"/>
  <c r="S515" i="4"/>
  <c r="O516" i="4" a="1"/>
  <c r="O516" i="4" s="1"/>
  <c r="Q516" i="4" s="1"/>
  <c r="P516" i="4"/>
  <c r="R516" i="4"/>
  <c r="S516" i="4"/>
  <c r="O517" i="4" a="1"/>
  <c r="O517" i="4" s="1"/>
  <c r="Q517" i="4" s="1"/>
  <c r="P517" i="4"/>
  <c r="R517" i="4"/>
  <c r="S517" i="4"/>
  <c r="O518" i="4" a="1"/>
  <c r="O518" i="4" s="1"/>
  <c r="Q518" i="4" s="1"/>
  <c r="P518" i="4"/>
  <c r="R518" i="4"/>
  <c r="S518" i="4"/>
  <c r="O519" i="4" a="1"/>
  <c r="O519" i="4" s="1"/>
  <c r="Q519" i="4" s="1"/>
  <c r="P519" i="4"/>
  <c r="R519" i="4"/>
  <c r="S519" i="4"/>
  <c r="O520" i="4" a="1"/>
  <c r="O520" i="4"/>
  <c r="Q520" i="4" s="1"/>
  <c r="P520" i="4"/>
  <c r="R520" i="4"/>
  <c r="S520" i="4"/>
  <c r="O521" i="4" a="1"/>
  <c r="O521" i="4" s="1"/>
  <c r="Q521" i="4" s="1"/>
  <c r="P521" i="4"/>
  <c r="R521" i="4"/>
  <c r="S521" i="4"/>
  <c r="O522" i="4" a="1"/>
  <c r="O522" i="4" s="1"/>
  <c r="Q522" i="4" s="1"/>
  <c r="P522" i="4"/>
  <c r="R522" i="4"/>
  <c r="S522" i="4"/>
  <c r="O523" i="4" a="1"/>
  <c r="O523" i="4" s="1"/>
  <c r="Q523" i="4" s="1"/>
  <c r="P523" i="4"/>
  <c r="R523" i="4"/>
  <c r="S523" i="4"/>
  <c r="O524" i="4" a="1"/>
  <c r="O524" i="4" s="1"/>
  <c r="Q524" i="4" s="1"/>
  <c r="P524" i="4"/>
  <c r="R524" i="4"/>
  <c r="S524" i="4"/>
  <c r="O525" i="4" a="1"/>
  <c r="O525" i="4" s="1"/>
  <c r="Q525" i="4" s="1"/>
  <c r="P525" i="4"/>
  <c r="R525" i="4"/>
  <c r="S525" i="4"/>
  <c r="O526" i="4" a="1"/>
  <c r="O526" i="4" s="1"/>
  <c r="Q526" i="4" s="1"/>
  <c r="P526" i="4"/>
  <c r="R526" i="4"/>
  <c r="S526" i="4"/>
  <c r="O527" i="4" a="1"/>
  <c r="O527" i="4" s="1"/>
  <c r="Q527" i="4" s="1"/>
  <c r="P527" i="4"/>
  <c r="R527" i="4"/>
  <c r="S527" i="4"/>
  <c r="O528" i="4" a="1"/>
  <c r="O528" i="4" s="1"/>
  <c r="Q528" i="4" s="1"/>
  <c r="P528" i="4"/>
  <c r="R528" i="4"/>
  <c r="S528" i="4"/>
  <c r="O529" i="4" a="1"/>
  <c r="O529" i="4" s="1"/>
  <c r="Q529" i="4" s="1"/>
  <c r="P529" i="4"/>
  <c r="R529" i="4"/>
  <c r="S529" i="4"/>
  <c r="O530" i="4" a="1"/>
  <c r="O530" i="4" s="1"/>
  <c r="Q530" i="4" s="1"/>
  <c r="P530" i="4"/>
  <c r="R530" i="4"/>
  <c r="S530" i="4"/>
  <c r="O531" i="4" a="1"/>
  <c r="O531" i="4" s="1"/>
  <c r="Q531" i="4" s="1"/>
  <c r="P531" i="4"/>
  <c r="R531" i="4"/>
  <c r="S531" i="4"/>
  <c r="O532" i="4" a="1"/>
  <c r="O532" i="4" s="1"/>
  <c r="Q532" i="4" s="1"/>
  <c r="P532" i="4"/>
  <c r="R532" i="4"/>
  <c r="S532" i="4"/>
  <c r="O533" i="4" a="1"/>
  <c r="O533" i="4" s="1"/>
  <c r="Q533" i="4" s="1"/>
  <c r="P533" i="4"/>
  <c r="R533" i="4"/>
  <c r="S533" i="4"/>
  <c r="O534" i="4" a="1"/>
  <c r="O534" i="4" s="1"/>
  <c r="Q534" i="4" s="1"/>
  <c r="P534" i="4"/>
  <c r="R534" i="4"/>
  <c r="S534" i="4"/>
  <c r="O535" i="4" a="1"/>
  <c r="O535" i="4" s="1"/>
  <c r="Q535" i="4" s="1"/>
  <c r="P535" i="4"/>
  <c r="R535" i="4"/>
  <c r="S535" i="4"/>
  <c r="O536" i="4" a="1"/>
  <c r="O536" i="4" s="1"/>
  <c r="Q536" i="4" s="1"/>
  <c r="P536" i="4"/>
  <c r="R536" i="4"/>
  <c r="S536" i="4"/>
  <c r="O537" i="4" a="1"/>
  <c r="O537" i="4" s="1"/>
  <c r="Q537" i="4" s="1"/>
  <c r="P537" i="4"/>
  <c r="R537" i="4"/>
  <c r="S537" i="4"/>
  <c r="O538" i="4" a="1"/>
  <c r="O538" i="4" s="1"/>
  <c r="Q538" i="4" s="1"/>
  <c r="P538" i="4"/>
  <c r="R538" i="4"/>
  <c r="S538" i="4"/>
  <c r="O539" i="4" a="1"/>
  <c r="O539" i="4" s="1"/>
  <c r="Q539" i="4" s="1"/>
  <c r="P539" i="4"/>
  <c r="R539" i="4"/>
  <c r="S539" i="4"/>
  <c r="O540" i="4" a="1"/>
  <c r="O540" i="4" s="1"/>
  <c r="Q540" i="4" s="1"/>
  <c r="P540" i="4"/>
  <c r="R540" i="4"/>
  <c r="S540" i="4"/>
  <c r="O541" i="4" a="1"/>
  <c r="O541" i="4" s="1"/>
  <c r="Q541" i="4" s="1"/>
  <c r="P541" i="4"/>
  <c r="R541" i="4"/>
  <c r="S541" i="4"/>
  <c r="O542" i="4" a="1"/>
  <c r="O542" i="4" s="1"/>
  <c r="Q542" i="4" s="1"/>
  <c r="P542" i="4"/>
  <c r="R542" i="4"/>
  <c r="S542" i="4"/>
  <c r="O543" i="4" a="1"/>
  <c r="O543" i="4" s="1"/>
  <c r="Q543" i="4" s="1"/>
  <c r="P543" i="4"/>
  <c r="R543" i="4"/>
  <c r="S543" i="4"/>
  <c r="O544" i="4" a="1"/>
  <c r="O544" i="4" s="1"/>
  <c r="Q544" i="4" s="1"/>
  <c r="P544" i="4"/>
  <c r="R544" i="4"/>
  <c r="S544" i="4"/>
  <c r="O545" i="4" a="1"/>
  <c r="O545" i="4"/>
  <c r="Q545" i="4" s="1"/>
  <c r="P545" i="4"/>
  <c r="R545" i="4"/>
  <c r="S545" i="4"/>
  <c r="O546" i="4" a="1"/>
  <c r="O546" i="4" s="1"/>
  <c r="Q546" i="4" s="1"/>
  <c r="P546" i="4"/>
  <c r="R546" i="4"/>
  <c r="S546" i="4"/>
  <c r="O547" i="4" a="1"/>
  <c r="O547" i="4" s="1"/>
  <c r="Q547" i="4" s="1"/>
  <c r="P547" i="4"/>
  <c r="R547" i="4"/>
  <c r="S547" i="4"/>
  <c r="O548" i="4" a="1"/>
  <c r="O548" i="4" s="1"/>
  <c r="Q548" i="4" s="1"/>
  <c r="P548" i="4"/>
  <c r="R548" i="4"/>
  <c r="S548" i="4"/>
  <c r="O549" i="4" a="1"/>
  <c r="O549" i="4" s="1"/>
  <c r="Q549" i="4" s="1"/>
  <c r="P549" i="4"/>
  <c r="R549" i="4"/>
  <c r="S549" i="4"/>
  <c r="O550" i="4" a="1"/>
  <c r="O550" i="4" s="1"/>
  <c r="Q550" i="4" s="1"/>
  <c r="P550" i="4"/>
  <c r="R550" i="4"/>
  <c r="S550" i="4"/>
  <c r="O551" i="4" a="1"/>
  <c r="O551" i="4" s="1"/>
  <c r="Q551" i="4" s="1"/>
  <c r="P551" i="4"/>
  <c r="R551" i="4"/>
  <c r="S551" i="4"/>
  <c r="O552" i="4" a="1"/>
  <c r="O552" i="4"/>
  <c r="Q552" i="4" s="1"/>
  <c r="P552" i="4"/>
  <c r="R552" i="4"/>
  <c r="S552" i="4"/>
  <c r="O553" i="4" a="1"/>
  <c r="O553" i="4" s="1"/>
  <c r="Q553" i="4" s="1"/>
  <c r="P553" i="4"/>
  <c r="R553" i="4"/>
  <c r="S553" i="4"/>
  <c r="O554" i="4" a="1"/>
  <c r="O554" i="4" s="1"/>
  <c r="Q554" i="4" s="1"/>
  <c r="P554" i="4"/>
  <c r="R554" i="4"/>
  <c r="S554" i="4"/>
  <c r="O555" i="4" a="1"/>
  <c r="O555" i="4" s="1"/>
  <c r="Q555" i="4" s="1"/>
  <c r="P555" i="4"/>
  <c r="R555" i="4"/>
  <c r="S555" i="4"/>
  <c r="O556" i="4" a="1"/>
  <c r="O556" i="4" s="1"/>
  <c r="Q556" i="4" s="1"/>
  <c r="P556" i="4"/>
  <c r="R556" i="4"/>
  <c r="S556" i="4"/>
  <c r="O557" i="4" a="1"/>
  <c r="O557" i="4" s="1"/>
  <c r="Q557" i="4" s="1"/>
  <c r="P557" i="4"/>
  <c r="R557" i="4"/>
  <c r="S557" i="4"/>
  <c r="O558" i="4" a="1"/>
  <c r="O558" i="4" s="1"/>
  <c r="Q558" i="4" s="1"/>
  <c r="P558" i="4"/>
  <c r="R558" i="4"/>
  <c r="S558" i="4"/>
  <c r="O559" i="4" a="1"/>
  <c r="O559" i="4" s="1"/>
  <c r="Q559" i="4" s="1"/>
  <c r="P559" i="4"/>
  <c r="R559" i="4"/>
  <c r="S559" i="4"/>
  <c r="O560" i="4" a="1"/>
  <c r="O560" i="4" s="1"/>
  <c r="Q560" i="4" s="1"/>
  <c r="P560" i="4"/>
  <c r="R560" i="4"/>
  <c r="S560" i="4"/>
  <c r="O561" i="4" a="1"/>
  <c r="O561" i="4" s="1"/>
  <c r="Q561" i="4" s="1"/>
  <c r="P561" i="4"/>
  <c r="R561" i="4"/>
  <c r="S561" i="4"/>
  <c r="O562" i="4" a="1"/>
  <c r="O562" i="4" s="1"/>
  <c r="Q562" i="4" s="1"/>
  <c r="P562" i="4"/>
  <c r="R562" i="4"/>
  <c r="S562" i="4"/>
  <c r="O563" i="4" a="1"/>
  <c r="O563" i="4" s="1"/>
  <c r="Q563" i="4" s="1"/>
  <c r="P563" i="4"/>
  <c r="R563" i="4"/>
  <c r="S563" i="4"/>
  <c r="O564" i="4" a="1"/>
  <c r="O564" i="4" s="1"/>
  <c r="Q564" i="4" s="1"/>
  <c r="P564" i="4"/>
  <c r="R564" i="4"/>
  <c r="S564" i="4"/>
  <c r="O565" i="4" a="1"/>
  <c r="O565" i="4" s="1"/>
  <c r="Q565" i="4" s="1"/>
  <c r="P565" i="4"/>
  <c r="R565" i="4"/>
  <c r="S565" i="4"/>
  <c r="O566" i="4" a="1"/>
  <c r="O566" i="4" s="1"/>
  <c r="Q566" i="4" s="1"/>
  <c r="P566" i="4"/>
  <c r="R566" i="4"/>
  <c r="S566" i="4"/>
  <c r="O567" i="4" a="1"/>
  <c r="O567" i="4" s="1"/>
  <c r="Q567" i="4" s="1"/>
  <c r="P567" i="4"/>
  <c r="R567" i="4"/>
  <c r="S567" i="4"/>
  <c r="O568" i="4" a="1"/>
  <c r="O568" i="4" s="1"/>
  <c r="Q568" i="4" s="1"/>
  <c r="P568" i="4"/>
  <c r="R568" i="4"/>
  <c r="S568" i="4"/>
  <c r="O569" i="4" a="1"/>
  <c r="O569" i="4" s="1"/>
  <c r="Q569" i="4" s="1"/>
  <c r="P569" i="4"/>
  <c r="R569" i="4"/>
  <c r="S569" i="4"/>
  <c r="O570" i="4" a="1"/>
  <c r="O570" i="4" s="1"/>
  <c r="Q570" i="4" s="1"/>
  <c r="P570" i="4"/>
  <c r="R570" i="4"/>
  <c r="S570" i="4"/>
  <c r="O571" i="4" a="1"/>
  <c r="O571" i="4" s="1"/>
  <c r="Q571" i="4" s="1"/>
  <c r="P571" i="4"/>
  <c r="R571" i="4"/>
  <c r="S571" i="4"/>
  <c r="O572" i="4" a="1"/>
  <c r="O572" i="4" s="1"/>
  <c r="Q572" i="4" s="1"/>
  <c r="P572" i="4"/>
  <c r="R572" i="4"/>
  <c r="S572" i="4"/>
  <c r="O573" i="4" a="1"/>
  <c r="O573" i="4"/>
  <c r="Q573" i="4" s="1"/>
  <c r="P573" i="4"/>
  <c r="R573" i="4"/>
  <c r="S573" i="4"/>
  <c r="O574" i="4" a="1"/>
  <c r="O574" i="4" s="1"/>
  <c r="Q574" i="4" s="1"/>
  <c r="P574" i="4"/>
  <c r="R574" i="4"/>
  <c r="S574" i="4"/>
  <c r="O575" i="4" a="1"/>
  <c r="O575" i="4" s="1"/>
  <c r="Q575" i="4" s="1"/>
  <c r="P575" i="4"/>
  <c r="R575" i="4"/>
  <c r="S575" i="4"/>
  <c r="O576" i="4" a="1"/>
  <c r="O576" i="4"/>
  <c r="P576" i="4"/>
  <c r="Q576" i="4"/>
  <c r="R576" i="4"/>
  <c r="S576" i="4"/>
  <c r="O577" i="4" a="1"/>
  <c r="O577" i="4" s="1"/>
  <c r="Q577" i="4" s="1"/>
  <c r="P577" i="4"/>
  <c r="R577" i="4"/>
  <c r="S577" i="4"/>
  <c r="O578" i="4" a="1"/>
  <c r="O578" i="4" s="1"/>
  <c r="Q578" i="4" s="1"/>
  <c r="P578" i="4"/>
  <c r="R578" i="4"/>
  <c r="S578" i="4"/>
  <c r="O579" i="4" a="1"/>
  <c r="O579" i="4" s="1"/>
  <c r="Q579" i="4" s="1"/>
  <c r="P579" i="4"/>
  <c r="R579" i="4"/>
  <c r="S579" i="4"/>
  <c r="O580" i="4" a="1"/>
  <c r="O580" i="4" s="1"/>
  <c r="Q580" i="4" s="1"/>
  <c r="P580" i="4"/>
  <c r="R580" i="4"/>
  <c r="S580" i="4"/>
  <c r="O581" i="4" a="1"/>
  <c r="O581" i="4" s="1"/>
  <c r="Q581" i="4" s="1"/>
  <c r="P581" i="4"/>
  <c r="R581" i="4"/>
  <c r="S581" i="4"/>
  <c r="O582" i="4" a="1"/>
  <c r="O582" i="4" s="1"/>
  <c r="Q582" i="4" s="1"/>
  <c r="P582" i="4"/>
  <c r="R582" i="4"/>
  <c r="S582" i="4"/>
  <c r="O583" i="4" a="1"/>
  <c r="O583" i="4"/>
  <c r="Q583" i="4" s="1"/>
  <c r="P583" i="4"/>
  <c r="R583" i="4"/>
  <c r="S583" i="4"/>
  <c r="O584" i="4" a="1"/>
  <c r="O584" i="4" s="1"/>
  <c r="Q584" i="4" s="1"/>
  <c r="P584" i="4"/>
  <c r="R584" i="4"/>
  <c r="S584" i="4"/>
  <c r="O585" i="4" a="1"/>
  <c r="O585" i="4" s="1"/>
  <c r="Q585" i="4" s="1"/>
  <c r="P585" i="4"/>
  <c r="R585" i="4"/>
  <c r="S585" i="4"/>
  <c r="O586" i="4" a="1"/>
  <c r="O586" i="4" s="1"/>
  <c r="Q586" i="4" s="1"/>
  <c r="P586" i="4"/>
  <c r="R586" i="4"/>
  <c r="S586" i="4"/>
  <c r="O587" i="4" a="1"/>
  <c r="O587" i="4" s="1"/>
  <c r="Q587" i="4" s="1"/>
  <c r="P587" i="4"/>
  <c r="R587" i="4"/>
  <c r="S587" i="4"/>
  <c r="O588" i="4" a="1"/>
  <c r="O588" i="4" s="1"/>
  <c r="Q588" i="4" s="1"/>
  <c r="P588" i="4"/>
  <c r="R588" i="4"/>
  <c r="S588" i="4"/>
  <c r="O589" i="4" a="1"/>
  <c r="O589" i="4" s="1"/>
  <c r="Q589" i="4" s="1"/>
  <c r="P589" i="4"/>
  <c r="R589" i="4"/>
  <c r="S589" i="4"/>
  <c r="O590" i="4" a="1"/>
  <c r="O590" i="4" s="1"/>
  <c r="Q590" i="4" s="1"/>
  <c r="P590" i="4"/>
  <c r="R590" i="4"/>
  <c r="S590" i="4"/>
  <c r="O591" i="4" a="1"/>
  <c r="O591" i="4" s="1"/>
  <c r="Q591" i="4" s="1"/>
  <c r="P591" i="4"/>
  <c r="R591" i="4"/>
  <c r="S591" i="4"/>
  <c r="O592" i="4" a="1"/>
  <c r="O592" i="4" s="1"/>
  <c r="Q592" i="4" s="1"/>
  <c r="P592" i="4"/>
  <c r="R592" i="4"/>
  <c r="S592" i="4"/>
  <c r="O593" i="4" a="1"/>
  <c r="O593" i="4" s="1"/>
  <c r="Q593" i="4" s="1"/>
  <c r="P593" i="4"/>
  <c r="R593" i="4"/>
  <c r="S593" i="4"/>
  <c r="O28" i="4" a="1"/>
  <c r="O28" i="4" s="1"/>
  <c r="Q28" i="4" s="1"/>
  <c r="O3" i="4" a="1"/>
  <c r="O3" i="4" s="1"/>
  <c r="Q3" i="4" s="1"/>
  <c r="O4" i="4" a="1"/>
  <c r="O4" i="4" s="1"/>
  <c r="Q4" i="4" s="1"/>
  <c r="O5" i="4" a="1"/>
  <c r="O5" i="4" s="1"/>
  <c r="Q5" i="4" s="1"/>
  <c r="O6" i="4" a="1"/>
  <c r="O6" i="4" s="1"/>
  <c r="Q6" i="4" s="1"/>
  <c r="O7" i="4" a="1"/>
  <c r="O7" i="4" s="1"/>
  <c r="Q7" i="4" s="1"/>
  <c r="O8" i="4" a="1"/>
  <c r="O8" i="4" s="1"/>
  <c r="Q8" i="4" s="1"/>
  <c r="O9" i="4" a="1"/>
  <c r="O9" i="4" s="1"/>
  <c r="Q9" i="4" s="1"/>
  <c r="O10" i="4" a="1"/>
  <c r="O10" i="4" s="1"/>
  <c r="Q10" i="4" s="1"/>
  <c r="O11" i="4" a="1"/>
  <c r="O11" i="4" s="1"/>
  <c r="Q11" i="4" s="1"/>
  <c r="O12" i="4" a="1"/>
  <c r="O12" i="4" s="1"/>
  <c r="Q12" i="4" s="1"/>
  <c r="O13" i="4" a="1"/>
  <c r="O13" i="4" s="1"/>
  <c r="Q13" i="4" s="1"/>
  <c r="O14" i="4" a="1"/>
  <c r="O14" i="4" s="1"/>
  <c r="Q14" i="4" s="1"/>
  <c r="O15" i="4" a="1"/>
  <c r="O15" i="4" s="1"/>
  <c r="Q15" i="4" s="1"/>
  <c r="O16" i="4" a="1"/>
  <c r="O16" i="4" s="1"/>
  <c r="Q16" i="4" s="1"/>
  <c r="O17" i="4" a="1"/>
  <c r="O17" i="4" s="1"/>
  <c r="Q17" i="4" s="1"/>
  <c r="O18" i="4" a="1"/>
  <c r="O18" i="4" s="1"/>
  <c r="Q18" i="4" s="1"/>
  <c r="O19" i="4" a="1"/>
  <c r="O19" i="4" s="1"/>
  <c r="Q19" i="4" s="1"/>
  <c r="O20" i="4" a="1"/>
  <c r="O20" i="4" s="1"/>
  <c r="Q20" i="4" s="1"/>
  <c r="O21" i="4" a="1"/>
  <c r="O21" i="4" s="1"/>
  <c r="Q21" i="4" s="1"/>
  <c r="O22" i="4" a="1"/>
  <c r="O22" i="4" s="1"/>
  <c r="Q22" i="4" s="1"/>
  <c r="O23" i="4" a="1"/>
  <c r="O23" i="4" s="1"/>
  <c r="Q23" i="4" s="1"/>
  <c r="O24" i="4" a="1"/>
  <c r="O24" i="4" s="1"/>
  <c r="Q24" i="4" s="1"/>
  <c r="O25" i="4" a="1"/>
  <c r="O25" i="4" s="1"/>
  <c r="Q25" i="4" s="1"/>
  <c r="O26" i="4" a="1"/>
  <c r="O26" i="4" s="1"/>
  <c r="Q26" i="4" s="1"/>
  <c r="O27" i="4" a="1"/>
  <c r="O27" i="4" s="1"/>
  <c r="Q27" i="4" s="1"/>
  <c r="O29" i="4" a="1"/>
  <c r="O29" i="4" s="1"/>
  <c r="Q29" i="4" s="1"/>
  <c r="O30" i="4" a="1"/>
  <c r="O30" i="4" s="1"/>
  <c r="Q30" i="4" s="1"/>
  <c r="O31" i="4" a="1"/>
  <c r="O31" i="4" s="1"/>
  <c r="Q31" i="4" s="1"/>
  <c r="O32" i="4" a="1"/>
  <c r="O32" i="4" s="1"/>
  <c r="Q32" i="4" s="1"/>
  <c r="O33" i="4" a="1"/>
  <c r="O33" i="4" s="1"/>
  <c r="Q33" i="4" s="1"/>
  <c r="O34" i="4" a="1"/>
  <c r="O34" i="4" s="1"/>
  <c r="Q34" i="4" s="1"/>
  <c r="O35" i="4" a="1"/>
  <c r="O35" i="4" s="1"/>
  <c r="Q35" i="4" s="1"/>
  <c r="O36" i="4" a="1"/>
  <c r="O36" i="4" s="1"/>
  <c r="Q36" i="4" s="1"/>
  <c r="O37" i="4" a="1"/>
  <c r="O37" i="4" s="1"/>
  <c r="Q37" i="4" s="1"/>
  <c r="O38" i="4" a="1"/>
  <c r="O38" i="4" s="1"/>
  <c r="Q38" i="4" s="1"/>
  <c r="O39" i="4" a="1"/>
  <c r="O39" i="4" s="1"/>
  <c r="Q39" i="4" s="1"/>
  <c r="O40" i="4" a="1"/>
  <c r="O40" i="4" s="1"/>
  <c r="Q40" i="4" s="1"/>
  <c r="O41" i="4" a="1"/>
  <c r="O41" i="4" s="1"/>
  <c r="Q41" i="4" s="1"/>
  <c r="O42" i="4" a="1"/>
  <c r="O42" i="4" s="1"/>
  <c r="Q42" i="4" s="1"/>
  <c r="O43" i="4" a="1"/>
  <c r="O43" i="4" s="1"/>
  <c r="Q43" i="4" s="1"/>
  <c r="O44" i="4" a="1"/>
  <c r="O44" i="4" s="1"/>
  <c r="Q44" i="4" s="1"/>
  <c r="O45" i="4" a="1"/>
  <c r="O45" i="4" s="1"/>
  <c r="Q45" i="4" s="1"/>
  <c r="O46" i="4" a="1"/>
  <c r="O46" i="4" s="1"/>
  <c r="Q46" i="4" s="1"/>
  <c r="O47" i="4" a="1"/>
  <c r="O47" i="4" s="1"/>
  <c r="Q47" i="4" s="1"/>
  <c r="O48" i="4" a="1"/>
  <c r="O48" i="4" s="1"/>
  <c r="Q48" i="4" s="1"/>
  <c r="O49" i="4" a="1"/>
  <c r="O49" i="4" s="1"/>
  <c r="Q49" i="4" s="1"/>
  <c r="O50" i="4" a="1"/>
  <c r="O50" i="4" s="1"/>
  <c r="Q50" i="4" s="1"/>
  <c r="O51" i="4" a="1"/>
  <c r="O51" i="4" s="1"/>
  <c r="Q51" i="4" s="1"/>
  <c r="O52" i="4" a="1"/>
  <c r="O52" i="4" s="1"/>
  <c r="Q52" i="4" s="1"/>
  <c r="O53" i="4" a="1"/>
  <c r="O53" i="4" s="1"/>
  <c r="Q53" i="4" s="1"/>
  <c r="O54" i="4" a="1"/>
  <c r="O54" i="4" s="1"/>
  <c r="Q54" i="4" s="1"/>
  <c r="O55" i="4" a="1"/>
  <c r="O55" i="4" s="1"/>
  <c r="Q55" i="4" s="1"/>
  <c r="O56" i="4" a="1"/>
  <c r="O56" i="4" s="1"/>
  <c r="Q56" i="4" s="1"/>
  <c r="O57" i="4" a="1"/>
  <c r="O57" i="4" s="1"/>
  <c r="Q57" i="4" s="1"/>
  <c r="O58" i="4" a="1"/>
  <c r="O58" i="4" s="1"/>
  <c r="Q58" i="4" s="1"/>
  <c r="O59" i="4" a="1"/>
  <c r="O59" i="4" s="1"/>
  <c r="Q59" i="4" s="1"/>
  <c r="O60" i="4" a="1"/>
  <c r="O60" i="4" s="1"/>
  <c r="Q60" i="4" s="1"/>
  <c r="O61" i="4" a="1"/>
  <c r="O61" i="4" s="1"/>
  <c r="Q61" i="4" s="1"/>
  <c r="O62" i="4" a="1"/>
  <c r="O62" i="4" s="1"/>
  <c r="Q62" i="4" s="1"/>
  <c r="O63" i="4" a="1"/>
  <c r="O63" i="4" s="1"/>
  <c r="Q63" i="4" s="1"/>
  <c r="O64" i="4" a="1"/>
  <c r="O64" i="4" s="1"/>
  <c r="Q64" i="4" s="1"/>
  <c r="O65" i="4" a="1"/>
  <c r="O65" i="4" s="1"/>
  <c r="Q65" i="4" s="1"/>
  <c r="O66" i="4" a="1"/>
  <c r="O66" i="4" s="1"/>
  <c r="Q66" i="4" s="1"/>
  <c r="O67" i="4" a="1"/>
  <c r="O67" i="4" s="1"/>
  <c r="Q67" i="4" s="1"/>
  <c r="O68" i="4" a="1"/>
  <c r="O68" i="4" s="1"/>
  <c r="Q68" i="4" s="1"/>
  <c r="O69" i="4" a="1"/>
  <c r="O69" i="4" s="1"/>
  <c r="Q69" i="4" s="1"/>
  <c r="O70" i="4" a="1"/>
  <c r="O70" i="4" s="1"/>
  <c r="Q70" i="4" s="1"/>
  <c r="O71" i="4" a="1"/>
  <c r="O71" i="4" s="1"/>
  <c r="Q71" i="4" s="1"/>
  <c r="O72" i="4" a="1"/>
  <c r="O72" i="4" s="1"/>
  <c r="Q72" i="4" s="1"/>
  <c r="O73" i="4" a="1"/>
  <c r="O73" i="4" s="1"/>
  <c r="Q73" i="4" s="1"/>
  <c r="O74" i="4" a="1"/>
  <c r="O74" i="4" s="1"/>
  <c r="Q74" i="4" s="1"/>
  <c r="O75" i="4" a="1"/>
  <c r="O75" i="4" s="1"/>
  <c r="Q75" i="4" s="1"/>
  <c r="O76" i="4" a="1"/>
  <c r="O76" i="4" s="1"/>
  <c r="Q76" i="4" s="1"/>
  <c r="O77" i="4" a="1"/>
  <c r="O77" i="4" s="1"/>
  <c r="Q77" i="4" s="1"/>
  <c r="O78" i="4" a="1"/>
  <c r="O78" i="4" s="1"/>
  <c r="Q78" i="4" s="1"/>
  <c r="O79" i="4" a="1"/>
  <c r="O79" i="4" s="1"/>
  <c r="Q79" i="4" s="1"/>
  <c r="O80" i="4" a="1"/>
  <c r="O80" i="4" s="1"/>
  <c r="Q80" i="4" s="1"/>
  <c r="O81" i="4" a="1"/>
  <c r="O81" i="4" s="1"/>
  <c r="Q81" i="4" s="1"/>
  <c r="O82" i="4" a="1"/>
  <c r="O82" i="4" s="1"/>
  <c r="Q82" i="4" s="1"/>
  <c r="O83" i="4" a="1"/>
  <c r="O83" i="4" s="1"/>
  <c r="Q83" i="4" s="1"/>
  <c r="O84" i="4" a="1"/>
  <c r="O84" i="4" s="1"/>
  <c r="Q84" i="4" s="1"/>
  <c r="O85" i="4" a="1"/>
  <c r="O85" i="4" s="1"/>
  <c r="Q85" i="4" s="1"/>
  <c r="O86" i="4" a="1"/>
  <c r="O86" i="4" s="1"/>
  <c r="Q86" i="4" s="1"/>
  <c r="O87" i="4" a="1"/>
  <c r="O87" i="4" s="1"/>
  <c r="Q87" i="4" s="1"/>
  <c r="O88" i="4" a="1"/>
  <c r="O88" i="4" s="1"/>
  <c r="Q88" i="4" s="1"/>
  <c r="O89" i="4" a="1"/>
  <c r="O89" i="4" s="1"/>
  <c r="Q89" i="4" s="1"/>
  <c r="O90" i="4" a="1"/>
  <c r="O90" i="4" s="1"/>
  <c r="Q90" i="4" s="1"/>
  <c r="O91" i="4" a="1"/>
  <c r="O91" i="4" s="1"/>
  <c r="Q91" i="4" s="1"/>
  <c r="O92" i="4" a="1"/>
  <c r="O92" i="4" s="1"/>
  <c r="Q92" i="4" s="1"/>
  <c r="O93" i="4" a="1"/>
  <c r="O93" i="4" s="1"/>
  <c r="Q93" i="4" s="1"/>
  <c r="O94" i="4" a="1"/>
  <c r="O94" i="4" s="1"/>
  <c r="Q94" i="4" s="1"/>
  <c r="O95" i="4" a="1"/>
  <c r="O95" i="4" s="1"/>
  <c r="Q95" i="4" s="1"/>
  <c r="O96" i="4" a="1"/>
  <c r="O96" i="4" s="1"/>
  <c r="Q96" i="4" s="1"/>
  <c r="O97" i="4" a="1"/>
  <c r="O97" i="4" s="1"/>
  <c r="Q97" i="4" s="1"/>
  <c r="O98" i="4" a="1"/>
  <c r="O98" i="4" s="1"/>
  <c r="Q98" i="4" s="1"/>
  <c r="O99" i="4" a="1"/>
  <c r="O99" i="4" s="1"/>
  <c r="Q99" i="4" s="1"/>
  <c r="O100" i="4" a="1"/>
  <c r="O100" i="4" s="1"/>
  <c r="Q100" i="4" s="1"/>
  <c r="O101" i="4" a="1"/>
  <c r="O101" i="4" s="1"/>
  <c r="Q101" i="4" s="1"/>
  <c r="O102" i="4" a="1"/>
  <c r="O102" i="4" s="1"/>
  <c r="Q102" i="4" s="1"/>
  <c r="O103" i="4" a="1"/>
  <c r="O103" i="4" s="1"/>
  <c r="Q103" i="4" s="1"/>
  <c r="O104" i="4" a="1"/>
  <c r="O104" i="4" s="1"/>
  <c r="Q104" i="4" s="1"/>
  <c r="O105" i="4" a="1"/>
  <c r="O105" i="4" s="1"/>
  <c r="Q105" i="4" s="1"/>
  <c r="O106" i="4" a="1"/>
  <c r="O106" i="4" s="1"/>
  <c r="Q106" i="4" s="1"/>
  <c r="O107" i="4" a="1"/>
  <c r="O107" i="4" s="1"/>
  <c r="Q107" i="4" s="1"/>
  <c r="O108" i="4" a="1"/>
  <c r="O108" i="4" s="1"/>
  <c r="Q108" i="4" s="1"/>
  <c r="O109" i="4" a="1"/>
  <c r="O109" i="4" s="1"/>
  <c r="Q109" i="4" s="1"/>
  <c r="O110" i="4" a="1"/>
  <c r="O110" i="4" s="1"/>
  <c r="Q110" i="4" s="1"/>
  <c r="O111" i="4" a="1"/>
  <c r="O111" i="4" s="1"/>
  <c r="Q111" i="4" s="1"/>
  <c r="O112" i="4" a="1"/>
  <c r="O112" i="4" s="1"/>
  <c r="Q112" i="4" s="1"/>
  <c r="O113" i="4" a="1"/>
  <c r="O113" i="4" s="1"/>
  <c r="Q113" i="4" s="1"/>
  <c r="O114" i="4" a="1"/>
  <c r="O114" i="4" s="1"/>
  <c r="Q114" i="4" s="1"/>
  <c r="O115" i="4" a="1"/>
  <c r="O115" i="4" s="1"/>
  <c r="Q115" i="4" s="1"/>
  <c r="O116" i="4" a="1"/>
  <c r="O116" i="4" s="1"/>
  <c r="Q116" i="4" s="1"/>
  <c r="O117" i="4" a="1"/>
  <c r="O117" i="4" s="1"/>
  <c r="Q117" i="4" s="1"/>
  <c r="O118" i="4" a="1"/>
  <c r="O118" i="4" s="1"/>
  <c r="Q118" i="4" s="1"/>
  <c r="O119" i="4" a="1"/>
  <c r="O119" i="4" s="1"/>
  <c r="Q119" i="4" s="1"/>
  <c r="O120" i="4" a="1"/>
  <c r="O120" i="4" s="1"/>
  <c r="Q120" i="4" s="1"/>
  <c r="O121" i="4" a="1"/>
  <c r="O121" i="4" s="1"/>
  <c r="Q121" i="4" s="1"/>
  <c r="O122" i="4" a="1"/>
  <c r="O122" i="4" s="1"/>
  <c r="Q122" i="4" s="1"/>
  <c r="O123" i="4" a="1"/>
  <c r="O123" i="4" s="1"/>
  <c r="Q123" i="4" s="1"/>
  <c r="O124" i="4" a="1"/>
  <c r="O124" i="4" s="1"/>
  <c r="Q124" i="4" s="1"/>
  <c r="O125" i="4" a="1"/>
  <c r="O125" i="4" s="1"/>
  <c r="Q125" i="4" s="1"/>
  <c r="O126" i="4" a="1"/>
  <c r="O126" i="4" s="1"/>
  <c r="Q126" i="4" s="1"/>
  <c r="O127" i="4" a="1"/>
  <c r="O127" i="4" s="1"/>
  <c r="Q127" i="4" s="1"/>
  <c r="O128" i="4" a="1"/>
  <c r="O128" i="4" s="1"/>
  <c r="Q128" i="4" s="1"/>
  <c r="O129" i="4" a="1"/>
  <c r="O129" i="4" s="1"/>
  <c r="Q129" i="4" s="1"/>
  <c r="O130" i="4" a="1"/>
  <c r="O130" i="4" s="1"/>
  <c r="Q130" i="4" s="1"/>
  <c r="O131" i="4" a="1"/>
  <c r="O131" i="4" s="1"/>
  <c r="Q131" i="4" s="1"/>
  <c r="O132" i="4" a="1"/>
  <c r="O132" i="4" s="1"/>
  <c r="Q132" i="4" s="1"/>
  <c r="O133" i="4" a="1"/>
  <c r="O133" i="4" s="1"/>
  <c r="Q133" i="4" s="1"/>
  <c r="O134" i="4" a="1"/>
  <c r="O134" i="4" s="1"/>
  <c r="Q134" i="4" s="1"/>
  <c r="O135" i="4" a="1"/>
  <c r="O135" i="4" s="1"/>
  <c r="Q135" i="4" s="1"/>
  <c r="O136" i="4" a="1"/>
  <c r="O136" i="4" s="1"/>
  <c r="Q136" i="4" s="1"/>
  <c r="O137" i="4" a="1"/>
  <c r="O137" i="4" s="1"/>
  <c r="Q137" i="4" s="1"/>
  <c r="O138" i="4" a="1"/>
  <c r="O138" i="4" s="1"/>
  <c r="Q138" i="4" s="1"/>
  <c r="O139" i="4" a="1"/>
  <c r="O139" i="4" s="1"/>
  <c r="Q139" i="4" s="1"/>
  <c r="O140" i="4" a="1"/>
  <c r="O140" i="4" s="1"/>
  <c r="Q140" i="4" s="1"/>
  <c r="O141" i="4" a="1"/>
  <c r="O141" i="4" s="1"/>
  <c r="Q141" i="4" s="1"/>
  <c r="O142" i="4" a="1"/>
  <c r="O142" i="4" s="1"/>
  <c r="Q142" i="4" s="1"/>
  <c r="O143" i="4" a="1"/>
  <c r="O143" i="4" s="1"/>
  <c r="Q143" i="4" s="1"/>
  <c r="O144" i="4" a="1"/>
  <c r="O144" i="4" s="1"/>
  <c r="Q144" i="4" s="1"/>
  <c r="O145" i="4" a="1"/>
  <c r="O145" i="4" s="1"/>
  <c r="Q145" i="4" s="1"/>
  <c r="O146" i="4" a="1"/>
  <c r="O146" i="4" s="1"/>
  <c r="Q146" i="4" s="1"/>
  <c r="O147" i="4" a="1"/>
  <c r="O147" i="4" s="1"/>
  <c r="Q147" i="4" s="1"/>
  <c r="O148" i="4" a="1"/>
  <c r="O148" i="4" s="1"/>
  <c r="Q148" i="4" s="1"/>
  <c r="O149" i="4" a="1"/>
  <c r="O149" i="4" s="1"/>
  <c r="Q149" i="4" s="1"/>
  <c r="O150" i="4" a="1"/>
  <c r="O150" i="4" s="1"/>
  <c r="Q150" i="4" s="1"/>
  <c r="O151" i="4" a="1"/>
  <c r="O151" i="4" s="1"/>
  <c r="Q151" i="4" s="1"/>
  <c r="O152" i="4" a="1"/>
  <c r="O152" i="4" s="1"/>
  <c r="Q152" i="4" s="1"/>
  <c r="O153" i="4" a="1"/>
  <c r="O153" i="4" s="1"/>
  <c r="Q153" i="4" s="1"/>
  <c r="O154" i="4" a="1"/>
  <c r="O154" i="4" s="1"/>
  <c r="Q154" i="4" s="1"/>
  <c r="O155" i="4" a="1"/>
  <c r="O155" i="4" s="1"/>
  <c r="Q155" i="4" s="1"/>
  <c r="O156" i="4" a="1"/>
  <c r="O156" i="4" s="1"/>
  <c r="Q156" i="4" s="1"/>
  <c r="O157" i="4" a="1"/>
  <c r="O157" i="4" s="1"/>
  <c r="Q157" i="4" s="1"/>
  <c r="O158" i="4" a="1"/>
  <c r="O158" i="4" s="1"/>
  <c r="Q158" i="4" s="1"/>
  <c r="O159" i="4" a="1"/>
  <c r="O159" i="4" s="1"/>
  <c r="Q159" i="4" s="1"/>
  <c r="O160" i="4" a="1"/>
  <c r="O160" i="4" s="1"/>
  <c r="Q160" i="4" s="1"/>
  <c r="O161" i="4" a="1"/>
  <c r="O161" i="4" s="1"/>
  <c r="Q161" i="4" s="1"/>
  <c r="O162" i="4" a="1"/>
  <c r="O162" i="4" s="1"/>
  <c r="Q162" i="4" s="1"/>
  <c r="O163" i="4" a="1"/>
  <c r="O163" i="4" s="1"/>
  <c r="Q163" i="4" s="1"/>
  <c r="O164" i="4" a="1"/>
  <c r="O164" i="4" s="1"/>
  <c r="Q164" i="4" s="1"/>
  <c r="O165" i="4" a="1"/>
  <c r="O165" i="4" s="1"/>
  <c r="Q165" i="4" s="1"/>
  <c r="O166" i="4" a="1"/>
  <c r="O166" i="4" s="1"/>
  <c r="Q166" i="4" s="1"/>
  <c r="O167" i="4" a="1"/>
  <c r="O167" i="4" s="1"/>
  <c r="Q167" i="4" s="1"/>
  <c r="O168" i="4" a="1"/>
  <c r="O168" i="4" s="1"/>
  <c r="Q168" i="4" s="1"/>
  <c r="O169" i="4" a="1"/>
  <c r="O169" i="4" s="1"/>
  <c r="Q169" i="4" s="1"/>
  <c r="O170" i="4" a="1"/>
  <c r="O170" i="4" s="1"/>
  <c r="Q170" i="4" s="1"/>
  <c r="O171" i="4" a="1"/>
  <c r="O171" i="4" s="1"/>
  <c r="Q171" i="4" s="1"/>
  <c r="O172" i="4" a="1"/>
  <c r="O172" i="4" s="1"/>
  <c r="Q172" i="4" s="1"/>
  <c r="O173" i="4" a="1"/>
  <c r="O173" i="4" s="1"/>
  <c r="Q173" i="4" s="1"/>
  <c r="O174" i="4" a="1"/>
  <c r="O174" i="4" s="1"/>
  <c r="Q174" i="4" s="1"/>
  <c r="O175" i="4" a="1"/>
  <c r="O175" i="4" s="1"/>
  <c r="Q175" i="4" s="1"/>
  <c r="O176" i="4" a="1"/>
  <c r="O176" i="4" s="1"/>
  <c r="Q176" i="4" s="1"/>
  <c r="O177" i="4" a="1"/>
  <c r="O177" i="4" s="1"/>
  <c r="Q177" i="4" s="1"/>
  <c r="O178" i="4" a="1"/>
  <c r="O178" i="4" s="1"/>
  <c r="Q178" i="4" s="1"/>
  <c r="O179" i="4" a="1"/>
  <c r="O179" i="4" s="1"/>
  <c r="Q179" i="4" s="1"/>
  <c r="O180" i="4" a="1"/>
  <c r="O180" i="4" s="1"/>
  <c r="Q180" i="4" s="1"/>
  <c r="O181" i="4" a="1"/>
  <c r="O181" i="4" s="1"/>
  <c r="Q181" i="4" s="1"/>
  <c r="O182" i="4" a="1"/>
  <c r="O182" i="4" s="1"/>
  <c r="Q182" i="4" s="1"/>
  <c r="O183" i="4" a="1"/>
  <c r="O183" i="4" s="1"/>
  <c r="Q183" i="4" s="1"/>
  <c r="O184" i="4" a="1"/>
  <c r="O184" i="4" s="1"/>
  <c r="Q184" i="4" s="1"/>
  <c r="O185" i="4" a="1"/>
  <c r="O185" i="4" s="1"/>
  <c r="Q185" i="4" s="1"/>
  <c r="O186" i="4" a="1"/>
  <c r="O186" i="4" s="1"/>
  <c r="Q186" i="4" s="1"/>
  <c r="O187" i="4" a="1"/>
  <c r="O187" i="4" s="1"/>
  <c r="Q187" i="4" s="1"/>
  <c r="O188" i="4" a="1"/>
  <c r="O188" i="4" s="1"/>
  <c r="Q188" i="4" s="1"/>
  <c r="O189" i="4" a="1"/>
  <c r="O189" i="4"/>
  <c r="Q189" i="4" s="1"/>
  <c r="O190" i="4" a="1"/>
  <c r="O190" i="4" s="1"/>
  <c r="Q190" i="4" s="1"/>
  <c r="O191" i="4" a="1"/>
  <c r="O191" i="4" s="1"/>
  <c r="Q191" i="4" s="1"/>
  <c r="O192" i="4" a="1"/>
  <c r="O192" i="4" s="1"/>
  <c r="Q192" i="4" s="1"/>
  <c r="O193" i="4" a="1"/>
  <c r="O193" i="4" s="1"/>
  <c r="Q193" i="4" s="1"/>
  <c r="O194" i="4" a="1"/>
  <c r="O194" i="4" s="1"/>
  <c r="Q194" i="4" s="1"/>
  <c r="O195" i="4" a="1"/>
  <c r="O195" i="4" s="1"/>
  <c r="Q195" i="4" s="1"/>
  <c r="O196" i="4" a="1"/>
  <c r="O196" i="4" s="1"/>
  <c r="Q196" i="4" s="1"/>
  <c r="O197" i="4" a="1"/>
  <c r="O197" i="4" s="1"/>
  <c r="Q197" i="4" s="1"/>
  <c r="O198" i="4" a="1"/>
  <c r="O198" i="4" s="1"/>
  <c r="Q198" i="4" s="1"/>
  <c r="O199" i="4" a="1"/>
  <c r="O199" i="4" s="1"/>
  <c r="Q199" i="4" s="1"/>
  <c r="O200" i="4" a="1"/>
  <c r="O200" i="4" s="1"/>
  <c r="Q200" i="4" s="1"/>
  <c r="O201" i="4" a="1"/>
  <c r="O201" i="4" s="1"/>
  <c r="Q201" i="4" s="1"/>
  <c r="O202" i="4" a="1"/>
  <c r="O202" i="4" s="1"/>
  <c r="Q202" i="4" s="1"/>
  <c r="O203" i="4" a="1"/>
  <c r="O203" i="4" s="1"/>
  <c r="Q203" i="4" s="1"/>
  <c r="O204" i="4" a="1"/>
  <c r="O204" i="4" s="1"/>
  <c r="Q204" i="4" s="1"/>
  <c r="O205" i="4" a="1"/>
  <c r="O205" i="4" s="1"/>
  <c r="Q205" i="4" s="1"/>
  <c r="O206" i="4" a="1"/>
  <c r="O206" i="4" s="1"/>
  <c r="Q206" i="4" s="1"/>
  <c r="O207" i="4" a="1"/>
  <c r="O207" i="4" s="1"/>
  <c r="Q207" i="4" s="1"/>
  <c r="O2" i="4" a="1"/>
  <c r="O2" i="4" s="1"/>
  <c r="Q2" i="4" s="1"/>
  <c r="P2" i="4"/>
  <c r="R2" i="4"/>
  <c r="P3" i="4"/>
  <c r="R3" i="4"/>
  <c r="S3" i="4"/>
  <c r="P4" i="4"/>
  <c r="R4" i="4"/>
  <c r="S4" i="4"/>
  <c r="P5" i="4"/>
  <c r="R5" i="4"/>
  <c r="S5" i="4"/>
  <c r="P6" i="4"/>
  <c r="R6" i="4"/>
  <c r="S6" i="4"/>
  <c r="P7" i="4"/>
  <c r="R7" i="4"/>
  <c r="S7" i="4"/>
  <c r="P8" i="4"/>
  <c r="R8" i="4"/>
  <c r="S8" i="4"/>
  <c r="P9" i="4"/>
  <c r="R9" i="4"/>
  <c r="S9" i="4"/>
  <c r="P10" i="4"/>
  <c r="R10" i="4"/>
  <c r="S10" i="4"/>
  <c r="P11" i="4"/>
  <c r="R11" i="4"/>
  <c r="S11" i="4"/>
  <c r="P12" i="4"/>
  <c r="R12" i="4"/>
  <c r="S12" i="4"/>
  <c r="P13" i="4"/>
  <c r="R13" i="4"/>
  <c r="S13" i="4"/>
  <c r="P14" i="4"/>
  <c r="R14" i="4"/>
  <c r="S14" i="4"/>
  <c r="P15" i="4"/>
  <c r="R15" i="4"/>
  <c r="S15" i="4"/>
  <c r="P16" i="4"/>
  <c r="R16" i="4"/>
  <c r="S16" i="4"/>
  <c r="P17" i="4"/>
  <c r="R17" i="4"/>
  <c r="S17" i="4"/>
  <c r="P18" i="4"/>
  <c r="R18" i="4"/>
  <c r="S18" i="4"/>
  <c r="P19" i="4"/>
  <c r="R19" i="4"/>
  <c r="S19" i="4"/>
  <c r="P20" i="4"/>
  <c r="R20" i="4"/>
  <c r="S20" i="4"/>
  <c r="P21" i="4"/>
  <c r="R21" i="4"/>
  <c r="S21" i="4"/>
  <c r="P22" i="4"/>
  <c r="R22" i="4"/>
  <c r="S22" i="4"/>
  <c r="P23" i="4"/>
  <c r="R23" i="4"/>
  <c r="S23" i="4"/>
  <c r="P24" i="4"/>
  <c r="R24" i="4"/>
  <c r="S24" i="4"/>
  <c r="P25" i="4"/>
  <c r="R25" i="4"/>
  <c r="S25" i="4"/>
  <c r="P26" i="4"/>
  <c r="R26" i="4"/>
  <c r="S26" i="4"/>
  <c r="P27" i="4"/>
  <c r="R27" i="4"/>
  <c r="S27" i="4"/>
  <c r="P28" i="4"/>
  <c r="R28" i="4"/>
  <c r="S28" i="4"/>
  <c r="P29" i="4"/>
  <c r="R29" i="4"/>
  <c r="S29" i="4"/>
  <c r="P30" i="4"/>
  <c r="R30" i="4"/>
  <c r="S30" i="4"/>
  <c r="P31" i="4"/>
  <c r="R31" i="4"/>
  <c r="S31" i="4"/>
  <c r="P32" i="4"/>
  <c r="R32" i="4"/>
  <c r="S32" i="4"/>
  <c r="P33" i="4"/>
  <c r="R33" i="4"/>
  <c r="S33" i="4"/>
  <c r="P34" i="4"/>
  <c r="R34" i="4"/>
  <c r="S34" i="4"/>
  <c r="P35" i="4"/>
  <c r="R35" i="4"/>
  <c r="S35" i="4"/>
  <c r="P36" i="4"/>
  <c r="R36" i="4"/>
  <c r="S36" i="4"/>
  <c r="P37" i="4"/>
  <c r="R37" i="4"/>
  <c r="S37" i="4"/>
  <c r="P38" i="4"/>
  <c r="R38" i="4"/>
  <c r="S38" i="4"/>
  <c r="P39" i="4"/>
  <c r="R39" i="4"/>
  <c r="S39" i="4"/>
  <c r="P40" i="4"/>
  <c r="R40" i="4"/>
  <c r="S40" i="4"/>
  <c r="P41" i="4"/>
  <c r="R41" i="4"/>
  <c r="S41" i="4"/>
  <c r="P42" i="4"/>
  <c r="R42" i="4"/>
  <c r="S42" i="4"/>
  <c r="P43" i="4"/>
  <c r="R43" i="4"/>
  <c r="S43" i="4"/>
  <c r="P44" i="4"/>
  <c r="R44" i="4"/>
  <c r="S44" i="4"/>
  <c r="P45" i="4"/>
  <c r="R45" i="4"/>
  <c r="S45" i="4"/>
  <c r="P46" i="4"/>
  <c r="R46" i="4"/>
  <c r="S46" i="4"/>
  <c r="P47" i="4"/>
  <c r="R47" i="4"/>
  <c r="S47" i="4"/>
  <c r="P48" i="4"/>
  <c r="R48" i="4"/>
  <c r="S48" i="4"/>
  <c r="P49" i="4"/>
  <c r="R49" i="4"/>
  <c r="S49" i="4"/>
  <c r="P50" i="4"/>
  <c r="R50" i="4"/>
  <c r="S50" i="4"/>
  <c r="P51" i="4"/>
  <c r="R51" i="4"/>
  <c r="S51" i="4"/>
  <c r="P52" i="4"/>
  <c r="R52" i="4"/>
  <c r="S52" i="4"/>
  <c r="P53" i="4"/>
  <c r="R53" i="4"/>
  <c r="S53" i="4"/>
  <c r="P54" i="4"/>
  <c r="R54" i="4"/>
  <c r="S54" i="4"/>
  <c r="P55" i="4"/>
  <c r="R55" i="4"/>
  <c r="S55" i="4"/>
  <c r="P56" i="4"/>
  <c r="R56" i="4"/>
  <c r="S56" i="4"/>
  <c r="P57" i="4"/>
  <c r="R57" i="4"/>
  <c r="S57" i="4"/>
  <c r="P58" i="4"/>
  <c r="R58" i="4"/>
  <c r="S58" i="4"/>
  <c r="P59" i="4"/>
  <c r="R59" i="4"/>
  <c r="S59" i="4"/>
  <c r="P60" i="4"/>
  <c r="R60" i="4"/>
  <c r="S60" i="4"/>
  <c r="P61" i="4"/>
  <c r="R61" i="4"/>
  <c r="S61" i="4"/>
  <c r="P62" i="4"/>
  <c r="R62" i="4"/>
  <c r="S62" i="4"/>
  <c r="P63" i="4"/>
  <c r="R63" i="4"/>
  <c r="S63" i="4"/>
  <c r="P64" i="4"/>
  <c r="R64" i="4"/>
  <c r="S64" i="4"/>
  <c r="P65" i="4"/>
  <c r="R65" i="4"/>
  <c r="S65" i="4"/>
  <c r="P66" i="4"/>
  <c r="R66" i="4"/>
  <c r="S66" i="4"/>
  <c r="P67" i="4"/>
  <c r="R67" i="4"/>
  <c r="S67" i="4"/>
  <c r="P68" i="4"/>
  <c r="R68" i="4"/>
  <c r="S68" i="4"/>
  <c r="P69" i="4"/>
  <c r="R69" i="4"/>
  <c r="S69" i="4"/>
  <c r="P70" i="4"/>
  <c r="R70" i="4"/>
  <c r="S70" i="4"/>
  <c r="P71" i="4"/>
  <c r="R71" i="4"/>
  <c r="S71" i="4"/>
  <c r="P72" i="4"/>
  <c r="R72" i="4"/>
  <c r="S72" i="4"/>
  <c r="P73" i="4"/>
  <c r="R73" i="4"/>
  <c r="S73" i="4"/>
  <c r="P74" i="4"/>
  <c r="R74" i="4"/>
  <c r="S74" i="4"/>
  <c r="P75" i="4"/>
  <c r="R75" i="4"/>
  <c r="S75" i="4"/>
  <c r="P76" i="4"/>
  <c r="R76" i="4"/>
  <c r="S76" i="4"/>
  <c r="P77" i="4"/>
  <c r="R77" i="4"/>
  <c r="S77" i="4"/>
  <c r="P78" i="4"/>
  <c r="R78" i="4"/>
  <c r="S78" i="4"/>
  <c r="P79" i="4"/>
  <c r="R79" i="4"/>
  <c r="S79" i="4"/>
  <c r="P80" i="4"/>
  <c r="R80" i="4"/>
  <c r="S80" i="4"/>
  <c r="P81" i="4"/>
  <c r="R81" i="4"/>
  <c r="S81" i="4"/>
  <c r="P82" i="4"/>
  <c r="R82" i="4"/>
  <c r="S82" i="4"/>
  <c r="P83" i="4"/>
  <c r="R83" i="4"/>
  <c r="S83" i="4"/>
  <c r="P84" i="4"/>
  <c r="R84" i="4"/>
  <c r="S84" i="4"/>
  <c r="P85" i="4"/>
  <c r="R85" i="4"/>
  <c r="S85" i="4"/>
  <c r="P86" i="4"/>
  <c r="R86" i="4"/>
  <c r="S86" i="4"/>
  <c r="P87" i="4"/>
  <c r="R87" i="4"/>
  <c r="S87" i="4"/>
  <c r="P88" i="4"/>
  <c r="R88" i="4"/>
  <c r="S88" i="4"/>
  <c r="P89" i="4"/>
  <c r="R89" i="4"/>
  <c r="S89" i="4"/>
  <c r="P90" i="4"/>
  <c r="R90" i="4"/>
  <c r="S90" i="4"/>
  <c r="P91" i="4"/>
  <c r="R91" i="4"/>
  <c r="S91" i="4"/>
  <c r="P92" i="4"/>
  <c r="R92" i="4"/>
  <c r="S92" i="4"/>
  <c r="P93" i="4"/>
  <c r="R93" i="4"/>
  <c r="S93" i="4"/>
  <c r="P94" i="4"/>
  <c r="R94" i="4"/>
  <c r="S94" i="4"/>
  <c r="P95" i="4"/>
  <c r="R95" i="4"/>
  <c r="S95" i="4"/>
  <c r="P96" i="4"/>
  <c r="R96" i="4"/>
  <c r="S96" i="4"/>
  <c r="P97" i="4"/>
  <c r="R97" i="4"/>
  <c r="S97" i="4"/>
  <c r="P98" i="4"/>
  <c r="R98" i="4"/>
  <c r="S98" i="4"/>
  <c r="P99" i="4"/>
  <c r="R99" i="4"/>
  <c r="S99" i="4"/>
  <c r="P100" i="4"/>
  <c r="R100" i="4"/>
  <c r="S100" i="4"/>
  <c r="P101" i="4"/>
  <c r="R101" i="4"/>
  <c r="S101" i="4"/>
  <c r="P102" i="4"/>
  <c r="R102" i="4"/>
  <c r="S102" i="4"/>
  <c r="P103" i="4"/>
  <c r="R103" i="4"/>
  <c r="S103" i="4"/>
  <c r="P104" i="4"/>
  <c r="R104" i="4"/>
  <c r="S104" i="4"/>
  <c r="P105" i="4"/>
  <c r="R105" i="4"/>
  <c r="S105" i="4"/>
  <c r="P106" i="4"/>
  <c r="R106" i="4"/>
  <c r="S106" i="4"/>
  <c r="P107" i="4"/>
  <c r="R107" i="4"/>
  <c r="S107" i="4"/>
  <c r="P108" i="4"/>
  <c r="R108" i="4"/>
  <c r="S108" i="4"/>
  <c r="P109" i="4"/>
  <c r="R109" i="4"/>
  <c r="S109" i="4"/>
  <c r="P110" i="4"/>
  <c r="R110" i="4"/>
  <c r="S110" i="4"/>
  <c r="P111" i="4"/>
  <c r="R111" i="4"/>
  <c r="S111" i="4"/>
  <c r="P112" i="4"/>
  <c r="R112" i="4"/>
  <c r="S112" i="4"/>
  <c r="P113" i="4"/>
  <c r="R113" i="4"/>
  <c r="S113" i="4"/>
  <c r="P114" i="4"/>
  <c r="R114" i="4"/>
  <c r="S114" i="4"/>
  <c r="P115" i="4"/>
  <c r="R115" i="4"/>
  <c r="S115" i="4"/>
  <c r="P116" i="4"/>
  <c r="R116" i="4"/>
  <c r="S116" i="4"/>
  <c r="P117" i="4"/>
  <c r="R117" i="4"/>
  <c r="S117" i="4"/>
  <c r="P118" i="4"/>
  <c r="R118" i="4"/>
  <c r="S118" i="4"/>
  <c r="P119" i="4"/>
  <c r="R119" i="4"/>
  <c r="S119" i="4"/>
  <c r="P120" i="4"/>
  <c r="R120" i="4"/>
  <c r="S120" i="4"/>
  <c r="P121" i="4"/>
  <c r="R121" i="4"/>
  <c r="S121" i="4"/>
  <c r="P122" i="4"/>
  <c r="R122" i="4"/>
  <c r="S122" i="4"/>
  <c r="P123" i="4"/>
  <c r="R123" i="4"/>
  <c r="S123" i="4"/>
  <c r="P124" i="4"/>
  <c r="R124" i="4"/>
  <c r="S124" i="4"/>
  <c r="P125" i="4"/>
  <c r="R125" i="4"/>
  <c r="S125" i="4"/>
  <c r="P126" i="4"/>
  <c r="R126" i="4"/>
  <c r="S126" i="4"/>
  <c r="P127" i="4"/>
  <c r="R127" i="4"/>
  <c r="S127" i="4"/>
  <c r="P128" i="4"/>
  <c r="R128" i="4"/>
  <c r="S128" i="4"/>
  <c r="P129" i="4"/>
  <c r="R129" i="4"/>
  <c r="S129" i="4"/>
  <c r="P130" i="4"/>
  <c r="R130" i="4"/>
  <c r="S130" i="4"/>
  <c r="P131" i="4"/>
  <c r="R131" i="4"/>
  <c r="S131" i="4"/>
  <c r="P132" i="4"/>
  <c r="R132" i="4"/>
  <c r="S132" i="4"/>
  <c r="P133" i="4"/>
  <c r="R133" i="4"/>
  <c r="S133" i="4"/>
  <c r="P134" i="4"/>
  <c r="R134" i="4"/>
  <c r="S134" i="4"/>
  <c r="P135" i="4"/>
  <c r="R135" i="4"/>
  <c r="S135" i="4"/>
  <c r="P136" i="4"/>
  <c r="R136" i="4"/>
  <c r="S136" i="4"/>
  <c r="P137" i="4"/>
  <c r="R137" i="4"/>
  <c r="S137" i="4"/>
  <c r="P138" i="4"/>
  <c r="R138" i="4"/>
  <c r="S138" i="4"/>
  <c r="P139" i="4"/>
  <c r="R139" i="4"/>
  <c r="S139" i="4"/>
  <c r="P140" i="4"/>
  <c r="R140" i="4"/>
  <c r="S140" i="4"/>
  <c r="P141" i="4"/>
  <c r="R141" i="4"/>
  <c r="S141" i="4"/>
  <c r="P142" i="4"/>
  <c r="R142" i="4"/>
  <c r="S142" i="4"/>
  <c r="P143" i="4"/>
  <c r="R143" i="4"/>
  <c r="S143" i="4"/>
  <c r="P144" i="4"/>
  <c r="R144" i="4"/>
  <c r="S144" i="4"/>
  <c r="P145" i="4"/>
  <c r="R145" i="4"/>
  <c r="S145" i="4"/>
  <c r="P146" i="4"/>
  <c r="R146" i="4"/>
  <c r="S146" i="4"/>
  <c r="P147" i="4"/>
  <c r="R147" i="4"/>
  <c r="S147" i="4"/>
  <c r="P148" i="4"/>
  <c r="R148" i="4"/>
  <c r="S148" i="4"/>
  <c r="P149" i="4"/>
  <c r="R149" i="4"/>
  <c r="S149" i="4"/>
  <c r="P150" i="4"/>
  <c r="R150" i="4"/>
  <c r="S150" i="4"/>
  <c r="P151" i="4"/>
  <c r="R151" i="4"/>
  <c r="S151" i="4"/>
  <c r="P152" i="4"/>
  <c r="R152" i="4"/>
  <c r="S152" i="4"/>
  <c r="P153" i="4"/>
  <c r="R153" i="4"/>
  <c r="S153" i="4"/>
  <c r="P154" i="4"/>
  <c r="R154" i="4"/>
  <c r="S154" i="4"/>
  <c r="P155" i="4"/>
  <c r="R155" i="4"/>
  <c r="S155" i="4"/>
  <c r="P156" i="4"/>
  <c r="R156" i="4"/>
  <c r="S156" i="4"/>
  <c r="P157" i="4"/>
  <c r="R157" i="4"/>
  <c r="S157" i="4"/>
  <c r="P158" i="4"/>
  <c r="R158" i="4"/>
  <c r="S158" i="4"/>
  <c r="P159" i="4"/>
  <c r="R159" i="4"/>
  <c r="S159" i="4"/>
  <c r="P160" i="4"/>
  <c r="R160" i="4"/>
  <c r="S160" i="4"/>
  <c r="P161" i="4"/>
  <c r="R161" i="4"/>
  <c r="S161" i="4"/>
  <c r="P162" i="4"/>
  <c r="R162" i="4"/>
  <c r="S162" i="4"/>
  <c r="P163" i="4"/>
  <c r="R163" i="4"/>
  <c r="S163" i="4"/>
  <c r="P164" i="4"/>
  <c r="R164" i="4"/>
  <c r="S164" i="4"/>
  <c r="P165" i="4"/>
  <c r="R165" i="4"/>
  <c r="S165" i="4"/>
  <c r="P166" i="4"/>
  <c r="R166" i="4"/>
  <c r="S166" i="4"/>
  <c r="P167" i="4"/>
  <c r="R167" i="4"/>
  <c r="S167" i="4"/>
  <c r="P168" i="4"/>
  <c r="R168" i="4"/>
  <c r="S168" i="4"/>
  <c r="P169" i="4"/>
  <c r="R169" i="4"/>
  <c r="S169" i="4"/>
  <c r="P170" i="4"/>
  <c r="R170" i="4"/>
  <c r="S170" i="4"/>
  <c r="P171" i="4"/>
  <c r="R171" i="4"/>
  <c r="S171" i="4"/>
  <c r="P172" i="4"/>
  <c r="R172" i="4"/>
  <c r="S172" i="4"/>
  <c r="P173" i="4"/>
  <c r="R173" i="4"/>
  <c r="S173" i="4"/>
  <c r="P174" i="4"/>
  <c r="R174" i="4"/>
  <c r="S174" i="4"/>
  <c r="P175" i="4"/>
  <c r="R175" i="4"/>
  <c r="S175" i="4"/>
  <c r="P176" i="4"/>
  <c r="R176" i="4"/>
  <c r="S176" i="4"/>
  <c r="P177" i="4"/>
  <c r="R177" i="4"/>
  <c r="S177" i="4"/>
  <c r="P178" i="4"/>
  <c r="R178" i="4"/>
  <c r="S178" i="4"/>
  <c r="P179" i="4"/>
  <c r="R179" i="4"/>
  <c r="S179" i="4"/>
  <c r="P180" i="4"/>
  <c r="R180" i="4"/>
  <c r="S180" i="4"/>
  <c r="P181" i="4"/>
  <c r="R181" i="4"/>
  <c r="S181" i="4"/>
  <c r="P182" i="4"/>
  <c r="R182" i="4"/>
  <c r="S182" i="4"/>
  <c r="P183" i="4"/>
  <c r="R183" i="4"/>
  <c r="S183" i="4"/>
  <c r="P184" i="4"/>
  <c r="R184" i="4"/>
  <c r="S184" i="4"/>
  <c r="P185" i="4"/>
  <c r="R185" i="4"/>
  <c r="S185" i="4"/>
  <c r="P186" i="4"/>
  <c r="R186" i="4"/>
  <c r="S186" i="4"/>
  <c r="P187" i="4"/>
  <c r="R187" i="4"/>
  <c r="S187" i="4"/>
  <c r="P188" i="4"/>
  <c r="R188" i="4"/>
  <c r="S188" i="4"/>
  <c r="P189" i="4"/>
  <c r="R189" i="4"/>
  <c r="S189" i="4"/>
  <c r="P190" i="4"/>
  <c r="R190" i="4"/>
  <c r="S190" i="4"/>
  <c r="P191" i="4"/>
  <c r="R191" i="4"/>
  <c r="S191" i="4"/>
  <c r="P192" i="4"/>
  <c r="R192" i="4"/>
  <c r="S192" i="4"/>
  <c r="P193" i="4"/>
  <c r="R193" i="4"/>
  <c r="S193" i="4"/>
  <c r="P194" i="4"/>
  <c r="R194" i="4"/>
  <c r="S194" i="4"/>
  <c r="P195" i="4"/>
  <c r="R195" i="4"/>
  <c r="S195" i="4"/>
  <c r="P196" i="4"/>
  <c r="R196" i="4"/>
  <c r="S196" i="4"/>
  <c r="P197" i="4"/>
  <c r="R197" i="4"/>
  <c r="S197" i="4"/>
  <c r="P198" i="4"/>
  <c r="R198" i="4"/>
  <c r="S198" i="4"/>
  <c r="P199" i="4"/>
  <c r="R199" i="4"/>
  <c r="S199" i="4"/>
  <c r="P200" i="4"/>
  <c r="R200" i="4"/>
  <c r="S200" i="4"/>
  <c r="P201" i="4"/>
  <c r="R201" i="4"/>
  <c r="S201" i="4"/>
  <c r="P202" i="4"/>
  <c r="R202" i="4"/>
  <c r="S202" i="4"/>
  <c r="P203" i="4"/>
  <c r="R203" i="4"/>
  <c r="S203" i="4"/>
  <c r="P204" i="4"/>
  <c r="R204" i="4"/>
  <c r="S204" i="4"/>
  <c r="P205" i="4"/>
  <c r="R205" i="4"/>
  <c r="S205" i="4"/>
  <c r="P206" i="4"/>
  <c r="R206" i="4"/>
  <c r="S206" i="4"/>
  <c r="P207" i="4"/>
  <c r="R207" i="4"/>
  <c r="S207" i="4"/>
  <c r="S2" i="4"/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2" i="1"/>
  <c r="C3" i="1" a="1"/>
  <c r="C3" i="1" s="1"/>
  <c r="C4" i="1" a="1"/>
  <c r="C4" i="1" s="1"/>
  <c r="C5" i="1" a="1"/>
  <c r="C5" i="1" s="1"/>
  <c r="C6" i="1" a="1"/>
  <c r="C6" i="1" s="1"/>
  <c r="C7" i="1" a="1"/>
  <c r="C7" i="1" s="1"/>
  <c r="C8" i="1" a="1"/>
  <c r="C8" i="1" s="1"/>
  <c r="C9" i="1" a="1"/>
  <c r="C9" i="1" s="1"/>
  <c r="C10" i="1" a="1"/>
  <c r="C10" i="1" s="1"/>
  <c r="C11" i="1" a="1"/>
  <c r="C11" i="1" s="1"/>
  <c r="C12" i="1" a="1"/>
  <c r="C12" i="1" s="1"/>
  <c r="C13" i="1" a="1"/>
  <c r="C13" i="1" s="1"/>
  <c r="C14" i="1" a="1"/>
  <c r="C14" i="1" s="1"/>
  <c r="C15" i="1" a="1"/>
  <c r="C15" i="1" s="1"/>
  <c r="C16" i="1" a="1"/>
  <c r="C16" i="1" s="1"/>
  <c r="C17" i="1" a="1"/>
  <c r="C17" i="1" s="1"/>
  <c r="C18" i="1" a="1"/>
  <c r="C18" i="1" s="1"/>
  <c r="C19" i="1" a="1"/>
  <c r="C19" i="1" s="1"/>
  <c r="C20" i="1" a="1"/>
  <c r="C20" i="1" s="1"/>
  <c r="C21" i="1" a="1"/>
  <c r="C21" i="1" s="1"/>
  <c r="C22" i="1" a="1"/>
  <c r="C22" i="1" s="1"/>
  <c r="C23" i="1" a="1"/>
  <c r="C23" i="1" s="1"/>
  <c r="C24" i="1" a="1"/>
  <c r="C24" i="1" s="1"/>
  <c r="C25" i="1" a="1"/>
  <c r="C25" i="1" s="1"/>
  <c r="C26" i="1" a="1"/>
  <c r="C26" i="1" s="1"/>
  <c r="C27" i="1" a="1"/>
  <c r="C27" i="1" s="1"/>
  <c r="C28" i="1" a="1"/>
  <c r="C28" i="1" s="1"/>
  <c r="C29" i="1" a="1"/>
  <c r="C29" i="1"/>
  <c r="C30" i="1" a="1"/>
  <c r="C30" i="1" s="1"/>
  <c r="C31" i="1" a="1"/>
  <c r="C31" i="1" s="1"/>
  <c r="C32" i="1" a="1"/>
  <c r="C32" i="1" s="1"/>
  <c r="C33" i="1" a="1"/>
  <c r="C33" i="1" s="1"/>
  <c r="C34" i="1" a="1"/>
  <c r="C34" i="1" s="1"/>
  <c r="C35" i="1" a="1"/>
  <c r="C35" i="1" s="1"/>
  <c r="C36" i="1" a="1"/>
  <c r="C36" i="1" s="1"/>
  <c r="C37" i="1" a="1"/>
  <c r="C37" i="1" s="1"/>
  <c r="C38" i="1" a="1"/>
  <c r="C38" i="1" s="1"/>
  <c r="C39" i="1" a="1"/>
  <c r="C39" i="1" s="1"/>
  <c r="C40" i="1" a="1"/>
  <c r="C40" i="1" s="1"/>
  <c r="C41" i="1" a="1"/>
  <c r="C41" i="1" s="1"/>
  <c r="C42" i="1" a="1"/>
  <c r="C42" i="1" s="1"/>
  <c r="C43" i="1" a="1"/>
  <c r="C43" i="1" s="1"/>
  <c r="C44" i="1" a="1"/>
  <c r="C44" i="1" s="1"/>
  <c r="C45" i="1" a="1"/>
  <c r="C45" i="1" s="1"/>
  <c r="C46" i="1" a="1"/>
  <c r="C46" i="1" s="1"/>
  <c r="C47" i="1" a="1"/>
  <c r="C47" i="1" s="1"/>
  <c r="C48" i="1" a="1"/>
  <c r="C48" i="1" s="1"/>
  <c r="C49" i="1" a="1"/>
  <c r="C49" i="1" s="1"/>
  <c r="C50" i="1" a="1"/>
  <c r="C50" i="1" s="1"/>
  <c r="C51" i="1" a="1"/>
  <c r="C51" i="1" s="1"/>
  <c r="C52" i="1" a="1"/>
  <c r="C52" i="1" s="1"/>
  <c r="C53" i="1" a="1"/>
  <c r="C53" i="1" s="1"/>
  <c r="C54" i="1" a="1"/>
  <c r="C54" i="1" s="1"/>
  <c r="C55" i="1" a="1"/>
  <c r="C55" i="1" s="1"/>
  <c r="C56" i="1" a="1"/>
  <c r="C56" i="1" s="1"/>
  <c r="C57" i="1" a="1"/>
  <c r="C57" i="1" s="1"/>
  <c r="C58" i="1" a="1"/>
  <c r="C58" i="1" s="1"/>
  <c r="C59" i="1" a="1"/>
  <c r="C59" i="1" s="1"/>
  <c r="C60" i="1" a="1"/>
  <c r="C60" i="1" s="1"/>
  <c r="C61" i="1" a="1"/>
  <c r="C61" i="1" s="1"/>
  <c r="C62" i="1" a="1"/>
  <c r="C62" i="1" s="1"/>
  <c r="C63" i="1" a="1"/>
  <c r="C63" i="1" s="1"/>
  <c r="C64" i="1" a="1"/>
  <c r="C64" i="1" s="1"/>
  <c r="C65" i="1" a="1"/>
  <c r="C65" i="1" s="1"/>
  <c r="C66" i="1" a="1"/>
  <c r="C66" i="1" s="1"/>
  <c r="C67" i="1" a="1"/>
  <c r="C67" i="1" s="1"/>
  <c r="C68" i="1" a="1"/>
  <c r="C68" i="1" s="1"/>
  <c r="C69" i="1" a="1"/>
  <c r="C69" i="1"/>
  <c r="C70" i="1" a="1"/>
  <c r="C70" i="1" s="1"/>
  <c r="C71" i="1" a="1"/>
  <c r="C71" i="1" s="1"/>
  <c r="C72" i="1" a="1"/>
  <c r="C72" i="1" s="1"/>
  <c r="C73" i="1" a="1"/>
  <c r="C73" i="1" s="1"/>
  <c r="C74" i="1" a="1"/>
  <c r="C74" i="1" s="1"/>
  <c r="C75" i="1" a="1"/>
  <c r="C75" i="1" s="1"/>
  <c r="C76" i="1" a="1"/>
  <c r="C76" i="1" s="1"/>
  <c r="C77" i="1" a="1"/>
  <c r="C77" i="1" s="1"/>
  <c r="C78" i="1" a="1"/>
  <c r="C78" i="1" s="1"/>
  <c r="C79" i="1" a="1"/>
  <c r="C79" i="1" s="1"/>
  <c r="C80" i="1" a="1"/>
  <c r="C80" i="1" s="1"/>
  <c r="C81" i="1" a="1"/>
  <c r="C81" i="1" s="1"/>
  <c r="C82" i="1" a="1"/>
  <c r="C82" i="1" s="1"/>
  <c r="C83" i="1" a="1"/>
  <c r="C83" i="1" s="1"/>
  <c r="C84" i="1" a="1"/>
  <c r="C84" i="1" s="1"/>
  <c r="C85" i="1" a="1"/>
  <c r="C85" i="1" s="1"/>
  <c r="C86" i="1" a="1"/>
  <c r="C86" i="1" s="1"/>
  <c r="C87" i="1" a="1"/>
  <c r="C87" i="1" s="1"/>
  <c r="C88" i="1" a="1"/>
  <c r="C88" i="1" s="1"/>
  <c r="C89" i="1" a="1"/>
  <c r="C89" i="1" s="1"/>
  <c r="C90" i="1" a="1"/>
  <c r="C90" i="1" s="1"/>
  <c r="C91" i="1" a="1"/>
  <c r="C91" i="1"/>
  <c r="C92" i="1" a="1"/>
  <c r="C92" i="1" s="1"/>
  <c r="C93" i="1" a="1"/>
  <c r="C93" i="1" s="1"/>
  <c r="C94" i="1" a="1"/>
  <c r="C94" i="1" s="1"/>
  <c r="C95" i="1" a="1"/>
  <c r="C95" i="1" s="1"/>
  <c r="C96" i="1" a="1"/>
  <c r="C96" i="1" s="1"/>
  <c r="C97" i="1" a="1"/>
  <c r="C97" i="1" s="1"/>
  <c r="C98" i="1" a="1"/>
  <c r="C98" i="1" s="1"/>
  <c r="C99" i="1" a="1"/>
  <c r="C99" i="1" s="1"/>
  <c r="C100" i="1" a="1"/>
  <c r="C100" i="1" s="1"/>
  <c r="C101" i="1" a="1"/>
  <c r="C101" i="1" s="1"/>
  <c r="C102" i="1" a="1"/>
  <c r="C102" i="1" s="1"/>
  <c r="C103" i="1" a="1"/>
  <c r="C103" i="1" s="1"/>
  <c r="C104" i="1" a="1"/>
  <c r="C104" i="1" s="1"/>
  <c r="C105" i="1" a="1"/>
  <c r="C105" i="1" s="1"/>
  <c r="C106" i="1" a="1"/>
  <c r="C106" i="1" s="1"/>
  <c r="C107" i="1" a="1"/>
  <c r="C107" i="1" s="1"/>
  <c r="C108" i="1" a="1"/>
  <c r="C108" i="1" s="1"/>
  <c r="C109" i="1" a="1"/>
  <c r="C109" i="1" s="1"/>
  <c r="C110" i="1" a="1"/>
  <c r="C110" i="1" s="1"/>
  <c r="C111" i="1" a="1"/>
  <c r="C111" i="1" s="1"/>
  <c r="C112" i="1" a="1"/>
  <c r="C112" i="1" s="1"/>
  <c r="C113" i="1" a="1"/>
  <c r="C113" i="1" s="1"/>
  <c r="C114" i="1" a="1"/>
  <c r="C114" i="1" s="1"/>
  <c r="C115" i="1" a="1"/>
  <c r="C115" i="1" s="1"/>
  <c r="C116" i="1" a="1"/>
  <c r="C116" i="1" s="1"/>
  <c r="C117" i="1" a="1"/>
  <c r="C117" i="1" s="1"/>
  <c r="C118" i="1" a="1"/>
  <c r="C118" i="1" s="1"/>
  <c r="C119" i="1" a="1"/>
  <c r="C119" i="1" s="1"/>
  <c r="C120" i="1" a="1"/>
  <c r="C120" i="1" s="1"/>
  <c r="C121" i="1" a="1"/>
  <c r="C121" i="1" s="1"/>
  <c r="C122" i="1" a="1"/>
  <c r="C122" i="1" s="1"/>
  <c r="C123" i="1" a="1"/>
  <c r="C123" i="1" s="1"/>
  <c r="C124" i="1" a="1"/>
  <c r="C124" i="1" s="1"/>
  <c r="C125" i="1" a="1"/>
  <c r="C125" i="1" s="1"/>
  <c r="C126" i="1" a="1"/>
  <c r="C126" i="1" s="1"/>
  <c r="C127" i="1" a="1"/>
  <c r="C127" i="1" s="1"/>
  <c r="C128" i="1" a="1"/>
  <c r="C128" i="1"/>
  <c r="C129" i="1" a="1"/>
  <c r="C129" i="1" s="1"/>
  <c r="C130" i="1" a="1"/>
  <c r="C130" i="1" s="1"/>
  <c r="C131" i="1" a="1"/>
  <c r="C131" i="1" s="1"/>
  <c r="C132" i="1" a="1"/>
  <c r="C132" i="1" s="1"/>
  <c r="C133" i="1" a="1"/>
  <c r="C133" i="1" s="1"/>
  <c r="C134" i="1" a="1"/>
  <c r="C134" i="1" s="1"/>
  <c r="C135" i="1" a="1"/>
  <c r="C135" i="1" s="1"/>
  <c r="C136" i="1" a="1"/>
  <c r="C136" i="1" s="1"/>
  <c r="C137" i="1" a="1"/>
  <c r="C137" i="1" s="1"/>
  <c r="C138" i="1" a="1"/>
  <c r="C138" i="1" s="1"/>
  <c r="C139" i="1" a="1"/>
  <c r="C139" i="1" s="1"/>
  <c r="C140" i="1" a="1"/>
  <c r="C140" i="1" s="1"/>
  <c r="C141" i="1" a="1"/>
  <c r="C141" i="1" s="1"/>
  <c r="C142" i="1" a="1"/>
  <c r="C142" i="1" s="1"/>
  <c r="C143" i="1" a="1"/>
  <c r="C143" i="1" s="1"/>
  <c r="C144" i="1" a="1"/>
  <c r="C144" i="1" s="1"/>
  <c r="C145" i="1" a="1"/>
  <c r="C145" i="1" s="1"/>
  <c r="C146" i="1" a="1"/>
  <c r="C146" i="1"/>
  <c r="C147" i="1" a="1"/>
  <c r="C147" i="1" s="1"/>
  <c r="C148" i="1" a="1"/>
  <c r="C148" i="1" s="1"/>
  <c r="C149" i="1" a="1"/>
  <c r="C149" i="1" s="1"/>
  <c r="C150" i="1" a="1"/>
  <c r="C150" i="1" s="1"/>
  <c r="C151" i="1" a="1"/>
  <c r="C151" i="1" s="1"/>
  <c r="C152" i="1" a="1"/>
  <c r="C152" i="1" s="1"/>
  <c r="C153" i="1" a="1"/>
  <c r="C153" i="1" s="1"/>
  <c r="C154" i="1" a="1"/>
  <c r="C154" i="1" s="1"/>
  <c r="C155" i="1" a="1"/>
  <c r="C155" i="1" s="1"/>
  <c r="C156" i="1" a="1"/>
  <c r="C156" i="1"/>
  <c r="C157" i="1" a="1"/>
  <c r="C157" i="1" s="1"/>
  <c r="C158" i="1" a="1"/>
  <c r="C158" i="1" s="1"/>
  <c r="C159" i="1" a="1"/>
  <c r="C159" i="1" s="1"/>
  <c r="C160" i="1" a="1"/>
  <c r="C160" i="1" s="1"/>
  <c r="C161" i="1" a="1"/>
  <c r="C161" i="1" s="1"/>
  <c r="C162" i="1" a="1"/>
  <c r="C162" i="1" s="1"/>
  <c r="C163" i="1" a="1"/>
  <c r="C163" i="1" s="1"/>
  <c r="C164" i="1" a="1"/>
  <c r="C164" i="1" s="1"/>
  <c r="C165" i="1" a="1"/>
  <c r="C165" i="1" s="1"/>
  <c r="C166" i="1" a="1"/>
  <c r="C166" i="1" s="1"/>
  <c r="C167" i="1" a="1"/>
  <c r="C167" i="1" s="1"/>
  <c r="C168" i="1" a="1"/>
  <c r="C168" i="1" s="1"/>
  <c r="C169" i="1" a="1"/>
  <c r="C169" i="1" s="1"/>
  <c r="C170" i="1" a="1"/>
  <c r="C170" i="1"/>
  <c r="C171" i="1" a="1"/>
  <c r="C171" i="1" s="1"/>
  <c r="C172" i="1" a="1"/>
  <c r="C172" i="1" s="1"/>
  <c r="C173" i="1" a="1"/>
  <c r="C173" i="1" s="1"/>
  <c r="C174" i="1" a="1"/>
  <c r="C174" i="1" s="1"/>
  <c r="C175" i="1" a="1"/>
  <c r="C175" i="1" s="1"/>
  <c r="C176" i="1" a="1"/>
  <c r="C176" i="1" s="1"/>
  <c r="C177" i="1" a="1"/>
  <c r="C177" i="1" s="1"/>
  <c r="C178" i="1" a="1"/>
  <c r="C178" i="1" s="1"/>
  <c r="C179" i="1" a="1"/>
  <c r="C179" i="1" s="1"/>
  <c r="C180" i="1" a="1"/>
  <c r="C180" i="1" s="1"/>
  <c r="C181" i="1" a="1"/>
  <c r="C181" i="1" s="1"/>
  <c r="C182" i="1" a="1"/>
  <c r="C182" i="1" s="1"/>
  <c r="C183" i="1" a="1"/>
  <c r="C183" i="1" s="1"/>
  <c r="C184" i="1" a="1"/>
  <c r="C184" i="1" s="1"/>
  <c r="C185" i="1" a="1"/>
  <c r="C185" i="1" s="1"/>
  <c r="C186" i="1" a="1"/>
  <c r="C186" i="1" s="1"/>
  <c r="C187" i="1" a="1"/>
  <c r="C187" i="1" s="1"/>
  <c r="C188" i="1" a="1"/>
  <c r="C188" i="1" s="1"/>
  <c r="C189" i="1" a="1"/>
  <c r="C189" i="1" s="1"/>
  <c r="C190" i="1" a="1"/>
  <c r="C190" i="1" s="1"/>
  <c r="C191" i="1" a="1"/>
  <c r="C191" i="1" s="1"/>
  <c r="C192" i="1" a="1"/>
  <c r="C192" i="1" s="1"/>
  <c r="C193" i="1" a="1"/>
  <c r="C193" i="1" s="1"/>
  <c r="C194" i="1" a="1"/>
  <c r="C194" i="1" s="1"/>
  <c r="C195" i="1" a="1"/>
  <c r="C195" i="1"/>
  <c r="C196" i="1" a="1"/>
  <c r="C196" i="1" s="1"/>
  <c r="C197" i="1" a="1"/>
  <c r="C197" i="1" s="1"/>
  <c r="C198" i="1" a="1"/>
  <c r="C198" i="1" s="1"/>
  <c r="C199" i="1" a="1"/>
  <c r="C199" i="1" s="1"/>
  <c r="C200" i="1" a="1"/>
  <c r="C200" i="1" s="1"/>
  <c r="C201" i="1" a="1"/>
  <c r="C201" i="1" s="1"/>
  <c r="C202" i="1" a="1"/>
  <c r="C202" i="1" s="1"/>
  <c r="C203" i="1" a="1"/>
  <c r="C203" i="1" s="1"/>
  <c r="C204" i="1" a="1"/>
  <c r="C204" i="1" s="1"/>
  <c r="C205" i="1" a="1"/>
  <c r="C205" i="1" s="1"/>
  <c r="C206" i="1" a="1"/>
  <c r="C206" i="1" s="1"/>
  <c r="C207" i="1" a="1"/>
  <c r="C207" i="1" s="1"/>
  <c r="C208" i="1" a="1"/>
  <c r="C208" i="1" s="1"/>
  <c r="C209" i="1" a="1"/>
  <c r="C209" i="1" s="1"/>
  <c r="C210" i="1" a="1"/>
  <c r="C210" i="1" s="1"/>
  <c r="C211" i="1" a="1"/>
  <c r="C211" i="1" s="1"/>
  <c r="C212" i="1" a="1"/>
  <c r="C212" i="1" s="1"/>
  <c r="C213" i="1" a="1"/>
  <c r="C213" i="1" s="1"/>
  <c r="C214" i="1" a="1"/>
  <c r="C214" i="1" s="1"/>
  <c r="C215" i="1" a="1"/>
  <c r="C215" i="1" s="1"/>
  <c r="C216" i="1" a="1"/>
  <c r="C216" i="1" s="1"/>
  <c r="C217" i="1" a="1"/>
  <c r="C217" i="1" s="1"/>
  <c r="C218" i="1" a="1"/>
  <c r="C218" i="1" s="1"/>
  <c r="C219" i="1" a="1"/>
  <c r="C219" i="1" s="1"/>
  <c r="C220" i="1" a="1"/>
  <c r="C220" i="1" s="1"/>
  <c r="C221" i="1" a="1"/>
  <c r="C221" i="1" s="1"/>
  <c r="C222" i="1" a="1"/>
  <c r="C222" i="1" s="1"/>
  <c r="C223" i="1" a="1"/>
  <c r="C223" i="1" s="1"/>
  <c r="C224" i="1" a="1"/>
  <c r="C224" i="1" s="1"/>
  <c r="C225" i="1" a="1"/>
  <c r="C225" i="1" s="1"/>
  <c r="C226" i="1" a="1"/>
  <c r="C226" i="1" s="1"/>
  <c r="C227" i="1" a="1"/>
  <c r="C227" i="1" s="1"/>
  <c r="C228" i="1" a="1"/>
  <c r="C228" i="1" s="1"/>
  <c r="C229" i="1" a="1"/>
  <c r="C229" i="1" s="1"/>
  <c r="C230" i="1" a="1"/>
  <c r="C230" i="1" s="1"/>
  <c r="C231" i="1" a="1"/>
  <c r="C231" i="1" s="1"/>
  <c r="C232" i="1" a="1"/>
  <c r="C232" i="1" s="1"/>
  <c r="C233" i="1" a="1"/>
  <c r="C233" i="1"/>
  <c r="C234" i="1" a="1"/>
  <c r="C234" i="1" s="1"/>
  <c r="C235" i="1" a="1"/>
  <c r="C235" i="1" s="1"/>
  <c r="C236" i="1" a="1"/>
  <c r="C236" i="1" s="1"/>
  <c r="C237" i="1" a="1"/>
  <c r="C237" i="1" s="1"/>
  <c r="C238" i="1" a="1"/>
  <c r="C238" i="1" s="1"/>
  <c r="C239" i="1" a="1"/>
  <c r="C239" i="1" s="1"/>
  <c r="C240" i="1" a="1"/>
  <c r="C240" i="1" s="1"/>
  <c r="C241" i="1" a="1"/>
  <c r="C241" i="1" s="1"/>
  <c r="C242" i="1" a="1"/>
  <c r="C242" i="1" s="1"/>
  <c r="C243" i="1" a="1"/>
  <c r="C243" i="1" s="1"/>
  <c r="C244" i="1" a="1"/>
  <c r="C244" i="1" s="1"/>
  <c r="C245" i="1" a="1"/>
  <c r="C245" i="1" s="1"/>
  <c r="C246" i="1" a="1"/>
  <c r="C246" i="1" s="1"/>
  <c r="C247" i="1" a="1"/>
  <c r="C247" i="1" s="1"/>
  <c r="C248" i="1" a="1"/>
  <c r="C248" i="1" s="1"/>
  <c r="C249" i="1" a="1"/>
  <c r="C249" i="1" s="1"/>
  <c r="C250" i="1" a="1"/>
  <c r="C250" i="1" s="1"/>
  <c r="C251" i="1" a="1"/>
  <c r="C251" i="1" s="1"/>
  <c r="C252" i="1" a="1"/>
  <c r="C252" i="1" s="1"/>
  <c r="C253" i="1" a="1"/>
  <c r="C253" i="1"/>
  <c r="C254" i="1" a="1"/>
  <c r="C254" i="1" s="1"/>
  <c r="C255" i="1" a="1"/>
  <c r="C255" i="1" s="1"/>
  <c r="C256" i="1" a="1"/>
  <c r="C256" i="1" s="1"/>
  <c r="C257" i="1" a="1"/>
  <c r="C257" i="1" s="1"/>
  <c r="C258" i="1" a="1"/>
  <c r="C258" i="1" s="1"/>
  <c r="C259" i="1" a="1"/>
  <c r="C259" i="1"/>
  <c r="C260" i="1" a="1"/>
  <c r="C260" i="1" s="1"/>
  <c r="C261" i="1" a="1"/>
  <c r="C261" i="1" s="1"/>
  <c r="C262" i="1" a="1"/>
  <c r="C262" i="1" s="1"/>
  <c r="C263" i="1" a="1"/>
  <c r="C263" i="1" s="1"/>
  <c r="C264" i="1" a="1"/>
  <c r="C264" i="1" s="1"/>
  <c r="C265" i="1" a="1"/>
  <c r="C265" i="1" s="1"/>
  <c r="C266" i="1" a="1"/>
  <c r="C266" i="1" s="1"/>
  <c r="C267" i="1" a="1"/>
  <c r="C267" i="1" s="1"/>
  <c r="C268" i="1" a="1"/>
  <c r="C268" i="1" s="1"/>
  <c r="C269" i="1" a="1"/>
  <c r="C269" i="1" s="1"/>
  <c r="C270" i="1" a="1"/>
  <c r="C270" i="1" s="1"/>
  <c r="C271" i="1" a="1"/>
  <c r="C271" i="1" s="1"/>
  <c r="C272" i="1" a="1"/>
  <c r="C272" i="1" s="1"/>
  <c r="C273" i="1" a="1"/>
  <c r="C273" i="1" s="1"/>
  <c r="C274" i="1" a="1"/>
  <c r="C274" i="1" s="1"/>
  <c r="C275" i="1" a="1"/>
  <c r="C275" i="1" s="1"/>
  <c r="C276" i="1" a="1"/>
  <c r="C276" i="1" s="1"/>
  <c r="C277" i="1" a="1"/>
  <c r="C277" i="1" s="1"/>
  <c r="C278" i="1" a="1"/>
  <c r="C278" i="1" s="1"/>
  <c r="C279" i="1" a="1"/>
  <c r="C279" i="1" s="1"/>
  <c r="C280" i="1" a="1"/>
  <c r="C280" i="1" s="1"/>
  <c r="C281" i="1" a="1"/>
  <c r="C281" i="1" s="1"/>
  <c r="C282" i="1" a="1"/>
  <c r="C282" i="1" s="1"/>
  <c r="C283" i="1" a="1"/>
  <c r="C283" i="1" s="1"/>
  <c r="C284" i="1" a="1"/>
  <c r="C284" i="1" s="1"/>
  <c r="C285" i="1" a="1"/>
  <c r="C285" i="1" s="1"/>
  <c r="C286" i="1" a="1"/>
  <c r="C286" i="1"/>
  <c r="C287" i="1" a="1"/>
  <c r="C287" i="1"/>
  <c r="C288" i="1" a="1"/>
  <c r="C288" i="1" s="1"/>
  <c r="C289" i="1" a="1"/>
  <c r="C289" i="1" s="1"/>
  <c r="C290" i="1" a="1"/>
  <c r="C290" i="1" s="1"/>
  <c r="C291" i="1" a="1"/>
  <c r="C291" i="1" s="1"/>
  <c r="C292" i="1" a="1"/>
  <c r="C292" i="1" s="1"/>
  <c r="C293" i="1" a="1"/>
  <c r="C293" i="1" s="1"/>
  <c r="C294" i="1" a="1"/>
  <c r="C294" i="1" s="1"/>
  <c r="C295" i="1" a="1"/>
  <c r="C295" i="1" s="1"/>
  <c r="C296" i="1" a="1"/>
  <c r="C296" i="1" s="1"/>
  <c r="C297" i="1" a="1"/>
  <c r="C297" i="1" s="1"/>
  <c r="C298" i="1" a="1"/>
  <c r="C298" i="1" s="1"/>
  <c r="C299" i="1" a="1"/>
  <c r="C299" i="1" s="1"/>
  <c r="C300" i="1" a="1"/>
  <c r="C300" i="1" s="1"/>
  <c r="C301" i="1" a="1"/>
  <c r="C301" i="1" s="1"/>
  <c r="C302" i="1" a="1"/>
  <c r="C302" i="1" s="1"/>
  <c r="C303" i="1" a="1"/>
  <c r="C303" i="1" s="1"/>
  <c r="C304" i="1" a="1"/>
  <c r="C304" i="1" s="1"/>
  <c r="C305" i="1" a="1"/>
  <c r="C305" i="1" s="1"/>
  <c r="C306" i="1" a="1"/>
  <c r="C306" i="1" s="1"/>
  <c r="C307" i="1" a="1"/>
  <c r="C307" i="1" s="1"/>
  <c r="C308" i="1" a="1"/>
  <c r="C308" i="1"/>
  <c r="C309" i="1" a="1"/>
  <c r="C309" i="1" s="1"/>
  <c r="C310" i="1" a="1"/>
  <c r="C310" i="1" s="1"/>
  <c r="C311" i="1" a="1"/>
  <c r="C311" i="1" s="1"/>
  <c r="C312" i="1" a="1"/>
  <c r="C312" i="1" s="1"/>
  <c r="C313" i="1" a="1"/>
  <c r="C313" i="1" s="1"/>
  <c r="C314" i="1" a="1"/>
  <c r="C314" i="1" s="1"/>
  <c r="C315" i="1" a="1"/>
  <c r="C315" i="1" s="1"/>
  <c r="C316" i="1" a="1"/>
  <c r="C316" i="1" s="1"/>
  <c r="C317" i="1" a="1"/>
  <c r="C317" i="1" s="1"/>
  <c r="C318" i="1" a="1"/>
  <c r="C318" i="1" s="1"/>
  <c r="C319" i="1" a="1"/>
  <c r="C319" i="1" s="1"/>
  <c r="C320" i="1" a="1"/>
  <c r="C320" i="1" s="1"/>
  <c r="C321" i="1" a="1"/>
  <c r="C321" i="1" s="1"/>
  <c r="C322" i="1" a="1"/>
  <c r="C322" i="1" s="1"/>
  <c r="C323" i="1" a="1"/>
  <c r="C323" i="1" s="1"/>
  <c r="C324" i="1" a="1"/>
  <c r="C324" i="1" s="1"/>
  <c r="C325" i="1" a="1"/>
  <c r="C325" i="1" s="1"/>
  <c r="C326" i="1" a="1"/>
  <c r="C326" i="1" s="1"/>
  <c r="C327" i="1" a="1"/>
  <c r="C327" i="1" s="1"/>
  <c r="C328" i="1" a="1"/>
  <c r="C328" i="1" s="1"/>
  <c r="C329" i="1" a="1"/>
  <c r="C329" i="1" s="1"/>
  <c r="C330" i="1" a="1"/>
  <c r="C330" i="1" s="1"/>
  <c r="C331" i="1" a="1"/>
  <c r="C331" i="1" s="1"/>
  <c r="C332" i="1" a="1"/>
  <c r="C332" i="1" s="1"/>
  <c r="C333" i="1" a="1"/>
  <c r="C333" i="1" s="1"/>
  <c r="C334" i="1" a="1"/>
  <c r="C334" i="1" s="1"/>
  <c r="C335" i="1" a="1"/>
  <c r="C335" i="1" s="1"/>
  <c r="C336" i="1" a="1"/>
  <c r="C336" i="1" s="1"/>
  <c r="C337" i="1" a="1"/>
  <c r="C337" i="1" s="1"/>
  <c r="C338" i="1" a="1"/>
  <c r="C338" i="1" s="1"/>
  <c r="C339" i="1" a="1"/>
  <c r="C339" i="1" s="1"/>
  <c r="C340" i="1" a="1"/>
  <c r="C340" i="1" s="1"/>
  <c r="C341" i="1" a="1"/>
  <c r="C341" i="1" s="1"/>
  <c r="C342" i="1" a="1"/>
  <c r="C342" i="1" s="1"/>
  <c r="C343" i="1" a="1"/>
  <c r="C343" i="1" s="1"/>
  <c r="C344" i="1" a="1"/>
  <c r="C344" i="1" s="1"/>
  <c r="C345" i="1" a="1"/>
  <c r="C345" i="1" s="1"/>
  <c r="C346" i="1" a="1"/>
  <c r="C346" i="1" s="1"/>
  <c r="C347" i="1" a="1"/>
  <c r="C347" i="1" s="1"/>
  <c r="C348" i="1" a="1"/>
  <c r="C348" i="1" s="1"/>
  <c r="C349" i="1" a="1"/>
  <c r="C349" i="1" s="1"/>
  <c r="C350" i="1" a="1"/>
  <c r="C350" i="1" s="1"/>
  <c r="C351" i="1" a="1"/>
  <c r="C351" i="1" s="1"/>
  <c r="C352" i="1" a="1"/>
  <c r="C352" i="1" s="1"/>
  <c r="C353" i="1" a="1"/>
  <c r="C353" i="1" s="1"/>
  <c r="C354" i="1" a="1"/>
  <c r="C354" i="1" s="1"/>
  <c r="C355" i="1" a="1"/>
  <c r="C355" i="1" s="1"/>
  <c r="C356" i="1" a="1"/>
  <c r="C356" i="1" s="1"/>
  <c r="C357" i="1" a="1"/>
  <c r="C357" i="1" s="1"/>
  <c r="C358" i="1" a="1"/>
  <c r="C358" i="1" s="1"/>
  <c r="C359" i="1" a="1"/>
  <c r="C359" i="1" s="1"/>
  <c r="C360" i="1" a="1"/>
  <c r="C360" i="1" s="1"/>
  <c r="C361" i="1" a="1"/>
  <c r="C361" i="1"/>
  <c r="C362" i="1" a="1"/>
  <c r="C362" i="1" s="1"/>
  <c r="C363" i="1" a="1"/>
  <c r="C363" i="1" s="1"/>
  <c r="C364" i="1" a="1"/>
  <c r="C364" i="1" s="1"/>
  <c r="C365" i="1" a="1"/>
  <c r="C365" i="1" s="1"/>
  <c r="C366" i="1" a="1"/>
  <c r="C366" i="1" s="1"/>
  <c r="C367" i="1" a="1"/>
  <c r="C367" i="1" s="1"/>
  <c r="C368" i="1" a="1"/>
  <c r="C368" i="1" s="1"/>
  <c r="C369" i="1" a="1"/>
  <c r="C369" i="1" s="1"/>
  <c r="C370" i="1" a="1"/>
  <c r="C370" i="1" s="1"/>
  <c r="C371" i="1" a="1"/>
  <c r="C371" i="1" s="1"/>
  <c r="C372" i="1" a="1"/>
  <c r="C372" i="1"/>
  <c r="C373" i="1" a="1"/>
  <c r="C373" i="1" s="1"/>
  <c r="C374" i="1" a="1"/>
  <c r="C374" i="1" s="1"/>
  <c r="C375" i="1" a="1"/>
  <c r="C375" i="1" s="1"/>
  <c r="C376" i="1" a="1"/>
  <c r="C376" i="1" s="1"/>
  <c r="C377" i="1" a="1"/>
  <c r="C377" i="1" s="1"/>
  <c r="C378" i="1" a="1"/>
  <c r="C378" i="1" s="1"/>
  <c r="C379" i="1" a="1"/>
  <c r="C379" i="1" s="1"/>
  <c r="C380" i="1" a="1"/>
  <c r="C380" i="1" s="1"/>
  <c r="C381" i="1" a="1"/>
  <c r="C381" i="1" s="1"/>
  <c r="C382" i="1" a="1"/>
  <c r="C382" i="1" s="1"/>
  <c r="C383" i="1" a="1"/>
  <c r="C383" i="1" s="1"/>
  <c r="C384" i="1" a="1"/>
  <c r="C384" i="1" s="1"/>
  <c r="C385" i="1" a="1"/>
  <c r="C385" i="1" s="1"/>
  <c r="C386" i="1" a="1"/>
  <c r="C386" i="1" s="1"/>
  <c r="C387" i="1" a="1"/>
  <c r="C387" i="1" s="1"/>
  <c r="C388" i="1" a="1"/>
  <c r="C388" i="1" s="1"/>
  <c r="C389" i="1" a="1"/>
  <c r="C389" i="1" s="1"/>
  <c r="C390" i="1" a="1"/>
  <c r="C390" i="1" s="1"/>
  <c r="C391" i="1" a="1"/>
  <c r="C391" i="1" s="1"/>
  <c r="C392" i="1" a="1"/>
  <c r="C392" i="1" s="1"/>
  <c r="C393" i="1" a="1"/>
  <c r="C393" i="1" s="1"/>
  <c r="C394" i="1" a="1"/>
  <c r="C394" i="1" s="1"/>
  <c r="C395" i="1" a="1"/>
  <c r="C395" i="1" s="1"/>
  <c r="C396" i="1" a="1"/>
  <c r="C396" i="1" s="1"/>
  <c r="C397" i="1" a="1"/>
  <c r="C397" i="1" s="1"/>
  <c r="C398" i="1" a="1"/>
  <c r="C398" i="1" s="1"/>
  <c r="C399" i="1" a="1"/>
  <c r="C399" i="1" s="1"/>
  <c r="C400" i="1" a="1"/>
  <c r="C400" i="1" s="1"/>
  <c r="C401" i="1" a="1"/>
  <c r="C401" i="1" s="1"/>
  <c r="C402" i="1" a="1"/>
  <c r="C402" i="1" s="1"/>
  <c r="C403" i="1" a="1"/>
  <c r="C403" i="1"/>
  <c r="C404" i="1" a="1"/>
  <c r="C404" i="1" s="1"/>
  <c r="C405" i="1" a="1"/>
  <c r="C405" i="1" s="1"/>
  <c r="C406" i="1" a="1"/>
  <c r="C406" i="1"/>
  <c r="C407" i="1" a="1"/>
  <c r="C407" i="1" s="1"/>
  <c r="C408" i="1" a="1"/>
  <c r="C408" i="1" s="1"/>
  <c r="C409" i="1" a="1"/>
  <c r="C409" i="1" s="1"/>
  <c r="C410" i="1" a="1"/>
  <c r="C410" i="1" s="1"/>
  <c r="C411" i="1" a="1"/>
  <c r="C411" i="1" s="1"/>
  <c r="C412" i="1" a="1"/>
  <c r="C412" i="1" s="1"/>
  <c r="C413" i="1" a="1"/>
  <c r="C413" i="1" s="1"/>
  <c r="C414" i="1" a="1"/>
  <c r="C414" i="1" s="1"/>
  <c r="C415" i="1" a="1"/>
  <c r="C415" i="1" s="1"/>
  <c r="C416" i="1" a="1"/>
  <c r="C416" i="1" s="1"/>
  <c r="C417" i="1" a="1"/>
  <c r="C417" i="1" s="1"/>
  <c r="C418" i="1" a="1"/>
  <c r="C418" i="1" s="1"/>
  <c r="C419" i="1" a="1"/>
  <c r="C419" i="1" s="1"/>
  <c r="C420" i="1" a="1"/>
  <c r="C420" i="1" s="1"/>
  <c r="C421" i="1" a="1"/>
  <c r="C421" i="1" s="1"/>
  <c r="C422" i="1" a="1"/>
  <c r="C422" i="1" s="1"/>
  <c r="C423" i="1" a="1"/>
  <c r="C423" i="1" s="1"/>
  <c r="C424" i="1" a="1"/>
  <c r="C424" i="1" s="1"/>
  <c r="C425" i="1" a="1"/>
  <c r="C425" i="1" s="1"/>
  <c r="C426" i="1" a="1"/>
  <c r="C426" i="1" s="1"/>
  <c r="C427" i="1" a="1"/>
  <c r="C427" i="1" s="1"/>
  <c r="C428" i="1" a="1"/>
  <c r="C428" i="1" s="1"/>
  <c r="C429" i="1" a="1"/>
  <c r="C429" i="1" s="1"/>
  <c r="C430" i="1" a="1"/>
  <c r="C430" i="1" s="1"/>
  <c r="C431" i="1" a="1"/>
  <c r="C431" i="1" s="1"/>
  <c r="C432" i="1" a="1"/>
  <c r="C432" i="1" s="1"/>
  <c r="C433" i="1" a="1"/>
  <c r="C433" i="1" s="1"/>
  <c r="C434" i="1" a="1"/>
  <c r="C434" i="1" s="1"/>
  <c r="C435" i="1" a="1"/>
  <c r="C435" i="1" s="1"/>
  <c r="C436" i="1" a="1"/>
  <c r="C436" i="1" s="1"/>
  <c r="C437" i="1" a="1"/>
  <c r="C437" i="1" s="1"/>
  <c r="C438" i="1" a="1"/>
  <c r="C438" i="1" s="1"/>
  <c r="C439" i="1" a="1"/>
  <c r="C439" i="1" s="1"/>
  <c r="C440" i="1" a="1"/>
  <c r="C440" i="1" s="1"/>
  <c r="C441" i="1" a="1"/>
  <c r="C441" i="1" s="1"/>
  <c r="C442" i="1" a="1"/>
  <c r="C442" i="1" s="1"/>
  <c r="C443" i="1" a="1"/>
  <c r="C443" i="1" s="1"/>
  <c r="C444" i="1" a="1"/>
  <c r="C444" i="1" s="1"/>
  <c r="C445" i="1" a="1"/>
  <c r="C445" i="1" s="1"/>
  <c r="C446" i="1" a="1"/>
  <c r="C446" i="1" s="1"/>
  <c r="C447" i="1" a="1"/>
  <c r="C447" i="1" s="1"/>
  <c r="C448" i="1" a="1"/>
  <c r="C448" i="1" s="1"/>
  <c r="C449" i="1" a="1"/>
  <c r="C449" i="1" s="1"/>
  <c r="C450" i="1" a="1"/>
  <c r="C450" i="1" s="1"/>
  <c r="C451" i="1" a="1"/>
  <c r="C451" i="1" s="1"/>
  <c r="C452" i="1" a="1"/>
  <c r="C452" i="1" s="1"/>
  <c r="C453" i="1" a="1"/>
  <c r="C453" i="1" s="1"/>
  <c r="C454" i="1" a="1"/>
  <c r="C454" i="1" s="1"/>
  <c r="C455" i="1" a="1"/>
  <c r="C455" i="1" s="1"/>
  <c r="C456" i="1" a="1"/>
  <c r="C456" i="1" s="1"/>
  <c r="C457" i="1" a="1"/>
  <c r="C457" i="1" s="1"/>
  <c r="C458" i="1" a="1"/>
  <c r="C458" i="1" s="1"/>
  <c r="C459" i="1" a="1"/>
  <c r="C459" i="1" s="1"/>
  <c r="C460" i="1" a="1"/>
  <c r="C460" i="1" s="1"/>
  <c r="C461" i="1" a="1"/>
  <c r="C461" i="1" s="1"/>
  <c r="C462" i="1" a="1"/>
  <c r="C462" i="1" s="1"/>
  <c r="C463" i="1" a="1"/>
  <c r="C463" i="1" s="1"/>
  <c r="C464" i="1" a="1"/>
  <c r="C464" i="1" s="1"/>
  <c r="C465" i="1" a="1"/>
  <c r="C465" i="1" s="1"/>
  <c r="C466" i="1" a="1"/>
  <c r="C466" i="1" s="1"/>
  <c r="C467" i="1" a="1"/>
  <c r="C467" i="1" s="1"/>
  <c r="C468" i="1" a="1"/>
  <c r="C468" i="1" s="1"/>
  <c r="C469" i="1" a="1"/>
  <c r="C469" i="1" s="1"/>
  <c r="C470" i="1" a="1"/>
  <c r="C470" i="1" s="1"/>
  <c r="C471" i="1" a="1"/>
  <c r="C471" i="1" s="1"/>
  <c r="C472" i="1" a="1"/>
  <c r="C472" i="1" s="1"/>
  <c r="C473" i="1" a="1"/>
  <c r="C473" i="1" s="1"/>
  <c r="C474" i="1" a="1"/>
  <c r="C474" i="1" s="1"/>
  <c r="C475" i="1" a="1"/>
  <c r="C475" i="1" s="1"/>
  <c r="C476" i="1" a="1"/>
  <c r="C476" i="1" s="1"/>
  <c r="C477" i="1" a="1"/>
  <c r="C477" i="1" s="1"/>
  <c r="C478" i="1" a="1"/>
  <c r="C478" i="1" s="1"/>
  <c r="C479" i="1" a="1"/>
  <c r="C479" i="1" s="1"/>
  <c r="C480" i="1" a="1"/>
  <c r="C480" i="1" s="1"/>
  <c r="C481" i="1" a="1"/>
  <c r="C481" i="1" s="1"/>
  <c r="C482" i="1" a="1"/>
  <c r="C482" i="1" s="1"/>
  <c r="C483" i="1" a="1"/>
  <c r="C483" i="1" s="1"/>
  <c r="C484" i="1" a="1"/>
  <c r="C484" i="1"/>
  <c r="C485" i="1" a="1"/>
  <c r="C485" i="1" s="1"/>
  <c r="C486" i="1" a="1"/>
  <c r="C486" i="1" s="1"/>
  <c r="C487" i="1" a="1"/>
  <c r="C487" i="1" s="1"/>
  <c r="C488" i="1" a="1"/>
  <c r="C488" i="1" s="1"/>
  <c r="C489" i="1" a="1"/>
  <c r="C489" i="1" s="1"/>
  <c r="C490" i="1" a="1"/>
  <c r="C490" i="1" s="1"/>
  <c r="C491" i="1" a="1"/>
  <c r="C491" i="1" s="1"/>
  <c r="C492" i="1" a="1"/>
  <c r="C492" i="1" s="1"/>
  <c r="C493" i="1" a="1"/>
  <c r="C493" i="1" s="1"/>
  <c r="C494" i="1" a="1"/>
  <c r="C494" i="1" s="1"/>
  <c r="C495" i="1" a="1"/>
  <c r="C495" i="1" s="1"/>
  <c r="C496" i="1" a="1"/>
  <c r="C496" i="1" s="1"/>
  <c r="C497" i="1" a="1"/>
  <c r="C497" i="1"/>
  <c r="C498" i="1" a="1"/>
  <c r="C498" i="1" s="1"/>
  <c r="C499" i="1" a="1"/>
  <c r="C499" i="1" s="1"/>
  <c r="C500" i="1" a="1"/>
  <c r="C500" i="1" s="1"/>
  <c r="C501" i="1" a="1"/>
  <c r="C501" i="1" s="1"/>
  <c r="C502" i="1" a="1"/>
  <c r="C502" i="1" s="1"/>
  <c r="C503" i="1" a="1"/>
  <c r="C503" i="1" s="1"/>
  <c r="C504" i="1" a="1"/>
  <c r="C504" i="1" s="1"/>
  <c r="C505" i="1" a="1"/>
  <c r="C505" i="1" s="1"/>
  <c r="C506" i="1" a="1"/>
  <c r="C506" i="1" s="1"/>
  <c r="C507" i="1" a="1"/>
  <c r="C507" i="1" s="1"/>
  <c r="C508" i="1" a="1"/>
  <c r="C508" i="1" s="1"/>
  <c r="C509" i="1" a="1"/>
  <c r="C509" i="1" s="1"/>
  <c r="C510" i="1" a="1"/>
  <c r="C510" i="1" s="1"/>
  <c r="C511" i="1" a="1"/>
  <c r="C511" i="1" s="1"/>
  <c r="C512" i="1" a="1"/>
  <c r="C512" i="1" s="1"/>
  <c r="C513" i="1" a="1"/>
  <c r="C513" i="1" s="1"/>
  <c r="C514" i="1" a="1"/>
  <c r="C514" i="1" s="1"/>
  <c r="C515" i="1" a="1"/>
  <c r="C515" i="1" s="1"/>
  <c r="C516" i="1" a="1"/>
  <c r="C516" i="1" s="1"/>
  <c r="C517" i="1" a="1"/>
  <c r="C517" i="1" s="1"/>
  <c r="C518" i="1" a="1"/>
  <c r="C518" i="1" s="1"/>
  <c r="C519" i="1" a="1"/>
  <c r="C519" i="1" s="1"/>
  <c r="C520" i="1" a="1"/>
  <c r="C520" i="1" s="1"/>
  <c r="C521" i="1" a="1"/>
  <c r="C521" i="1" s="1"/>
  <c r="C522" i="1" a="1"/>
  <c r="C522" i="1" s="1"/>
  <c r="C523" i="1" a="1"/>
  <c r="C523" i="1" s="1"/>
  <c r="C524" i="1" a="1"/>
  <c r="C524" i="1" s="1"/>
  <c r="C525" i="1" a="1"/>
  <c r="C525" i="1" s="1"/>
  <c r="C526" i="1" a="1"/>
  <c r="C526" i="1" s="1"/>
  <c r="C527" i="1" a="1"/>
  <c r="C527" i="1"/>
  <c r="C528" i="1" a="1"/>
  <c r="C528" i="1" s="1"/>
  <c r="C529" i="1" a="1"/>
  <c r="C529" i="1" s="1"/>
  <c r="C530" i="1" a="1"/>
  <c r="C530" i="1" s="1"/>
  <c r="C531" i="1" a="1"/>
  <c r="C531" i="1" s="1"/>
  <c r="C532" i="1" a="1"/>
  <c r="C532" i="1" s="1"/>
  <c r="C533" i="1" a="1"/>
  <c r="C533" i="1" s="1"/>
  <c r="C534" i="1" a="1"/>
  <c r="C534" i="1" s="1"/>
  <c r="C535" i="1" a="1"/>
  <c r="C535" i="1" s="1"/>
  <c r="C536" i="1" a="1"/>
  <c r="C536" i="1" s="1"/>
  <c r="C537" i="1" a="1"/>
  <c r="C537" i="1" s="1"/>
  <c r="C538" i="1" a="1"/>
  <c r="C538" i="1" s="1"/>
  <c r="C539" i="1" a="1"/>
  <c r="C539" i="1" s="1"/>
  <c r="C540" i="1" a="1"/>
  <c r="C540" i="1" s="1"/>
  <c r="C541" i="1" a="1"/>
  <c r="C541" i="1" s="1"/>
  <c r="C542" i="1" a="1"/>
  <c r="C542" i="1" s="1"/>
  <c r="C543" i="1" a="1"/>
  <c r="C543" i="1" s="1"/>
  <c r="C544" i="1" a="1"/>
  <c r="C544" i="1" s="1"/>
  <c r="C545" i="1" a="1"/>
  <c r="C545" i="1" s="1"/>
  <c r="C546" i="1" a="1"/>
  <c r="C546" i="1" s="1"/>
  <c r="C547" i="1" a="1"/>
  <c r="C547" i="1" s="1"/>
  <c r="C548" i="1" a="1"/>
  <c r="C548" i="1" s="1"/>
  <c r="C549" i="1" a="1"/>
  <c r="C549" i="1" s="1"/>
  <c r="C550" i="1" a="1"/>
  <c r="C550" i="1" s="1"/>
  <c r="C551" i="1" a="1"/>
  <c r="C551" i="1" s="1"/>
  <c r="C552" i="1" a="1"/>
  <c r="C552" i="1" s="1"/>
  <c r="C553" i="1" a="1"/>
  <c r="C553" i="1" s="1"/>
  <c r="C554" i="1" a="1"/>
  <c r="C554" i="1" s="1"/>
  <c r="C555" i="1" a="1"/>
  <c r="C555" i="1" s="1"/>
  <c r="C556" i="1" a="1"/>
  <c r="C556" i="1" s="1"/>
  <c r="C557" i="1" a="1"/>
  <c r="C557" i="1" s="1"/>
  <c r="C558" i="1" a="1"/>
  <c r="C558" i="1" s="1"/>
  <c r="C559" i="1" a="1"/>
  <c r="C559" i="1" s="1"/>
  <c r="C560" i="1" a="1"/>
  <c r="C560" i="1" s="1"/>
  <c r="C561" i="1" a="1"/>
  <c r="C561" i="1" s="1"/>
  <c r="C562" i="1" a="1"/>
  <c r="C562" i="1" s="1"/>
  <c r="C563" i="1" a="1"/>
  <c r="C563" i="1" s="1"/>
  <c r="C564" i="1" a="1"/>
  <c r="C564" i="1" s="1"/>
  <c r="C565" i="1" a="1"/>
  <c r="C565" i="1" s="1"/>
  <c r="C566" i="1" a="1"/>
  <c r="C566" i="1" s="1"/>
  <c r="C567" i="1" a="1"/>
  <c r="C567" i="1" s="1"/>
  <c r="C568" i="1" a="1"/>
  <c r="C568" i="1" s="1"/>
  <c r="C569" i="1" a="1"/>
  <c r="C569" i="1" s="1"/>
  <c r="C570" i="1" a="1"/>
  <c r="C570" i="1" s="1"/>
  <c r="C571" i="1" a="1"/>
  <c r="C571" i="1" s="1"/>
  <c r="C572" i="1" a="1"/>
  <c r="C572" i="1" s="1"/>
  <c r="C573" i="1" a="1"/>
  <c r="C573" i="1"/>
  <c r="C574" i="1" a="1"/>
  <c r="C574" i="1" s="1"/>
  <c r="C575" i="1" a="1"/>
  <c r="C575" i="1" s="1"/>
  <c r="C576" i="1" a="1"/>
  <c r="C576" i="1" s="1"/>
  <c r="C577" i="1" a="1"/>
  <c r="C577" i="1" s="1"/>
  <c r="C578" i="1" a="1"/>
  <c r="C578" i="1" s="1"/>
  <c r="C579" i="1" a="1"/>
  <c r="C579" i="1" s="1"/>
  <c r="C580" i="1" a="1"/>
  <c r="C580" i="1" s="1"/>
  <c r="C581" i="1" a="1"/>
  <c r="C581" i="1"/>
  <c r="C582" i="1" a="1"/>
  <c r="C582" i="1" s="1"/>
  <c r="C583" i="1" a="1"/>
  <c r="C583" i="1" s="1"/>
  <c r="C584" i="1" a="1"/>
  <c r="C584" i="1" s="1"/>
  <c r="C585" i="1" a="1"/>
  <c r="C585" i="1" s="1"/>
  <c r="C586" i="1" a="1"/>
  <c r="C586" i="1" s="1"/>
  <c r="C587" i="1" a="1"/>
  <c r="C587" i="1" s="1"/>
  <c r="C588" i="1" a="1"/>
  <c r="C588" i="1" s="1"/>
  <c r="C589" i="1" a="1"/>
  <c r="C589" i="1" s="1"/>
  <c r="C590" i="1" a="1"/>
  <c r="C590" i="1" s="1"/>
  <c r="C591" i="1" a="1"/>
  <c r="C591" i="1" s="1"/>
  <c r="C592" i="1" a="1"/>
  <c r="C592" i="1" s="1"/>
  <c r="C593" i="1" a="1"/>
  <c r="C593" i="1" s="1"/>
  <c r="C594" i="1" a="1"/>
  <c r="C594" i="1" s="1"/>
  <c r="C595" i="1" a="1"/>
  <c r="C595" i="1" s="1"/>
  <c r="C596" i="1" a="1"/>
  <c r="C596" i="1" s="1"/>
  <c r="C597" i="1" a="1"/>
  <c r="C597" i="1" s="1"/>
  <c r="C598" i="1" a="1"/>
  <c r="C598" i="1" s="1"/>
  <c r="C599" i="1" a="1"/>
  <c r="C599" i="1" s="1"/>
  <c r="C600" i="1" a="1"/>
  <c r="C600" i="1" s="1"/>
  <c r="C601" i="1" a="1"/>
  <c r="C601" i="1" s="1"/>
  <c r="C602" i="1" a="1"/>
  <c r="C602" i="1" s="1"/>
  <c r="C603" i="1" a="1"/>
  <c r="C603" i="1" s="1"/>
  <c r="C604" i="1" a="1"/>
  <c r="C604" i="1"/>
  <c r="C605" i="1" a="1"/>
  <c r="C605" i="1" s="1"/>
  <c r="C606" i="1" a="1"/>
  <c r="C606" i="1" s="1"/>
  <c r="C607" i="1" a="1"/>
  <c r="C607" i="1" s="1"/>
  <c r="C608" i="1" a="1"/>
  <c r="C608" i="1" s="1"/>
  <c r="C609" i="1" a="1"/>
  <c r="C609" i="1" s="1"/>
  <c r="C610" i="1" a="1"/>
  <c r="C610" i="1" s="1"/>
  <c r="C611" i="1" a="1"/>
  <c r="C611" i="1"/>
  <c r="C612" i="1" a="1"/>
  <c r="C612" i="1" s="1"/>
  <c r="C613" i="1" a="1"/>
  <c r="C613" i="1" s="1"/>
  <c r="C614" i="1" a="1"/>
  <c r="C614" i="1" s="1"/>
  <c r="C615" i="1" a="1"/>
  <c r="C615" i="1" s="1"/>
  <c r="C616" i="1" a="1"/>
  <c r="C616" i="1" s="1"/>
  <c r="C617" i="1" a="1"/>
  <c r="C617" i="1"/>
  <c r="C618" i="1" a="1"/>
  <c r="C618" i="1"/>
  <c r="C619" i="1" a="1"/>
  <c r="C619" i="1" s="1"/>
  <c r="C620" i="1" a="1"/>
  <c r="C620" i="1" s="1"/>
  <c r="C621" i="1" a="1"/>
  <c r="C621" i="1" s="1"/>
  <c r="C622" i="1" a="1"/>
  <c r="C622" i="1" s="1"/>
  <c r="C623" i="1" a="1"/>
  <c r="C623" i="1" s="1"/>
  <c r="C624" i="1" a="1"/>
  <c r="C624" i="1" s="1"/>
  <c r="C625" i="1" a="1"/>
  <c r="C625" i="1" s="1"/>
  <c r="C626" i="1" a="1"/>
  <c r="C626" i="1" s="1"/>
  <c r="C627" i="1" a="1"/>
  <c r="C627" i="1" s="1"/>
  <c r="C628" i="1" a="1"/>
  <c r="C628" i="1" s="1"/>
  <c r="C629" i="1" a="1"/>
  <c r="C629" i="1" s="1"/>
  <c r="C630" i="1" a="1"/>
  <c r="C630" i="1" s="1"/>
  <c r="C631" i="1" a="1"/>
  <c r="C631" i="1"/>
  <c r="C632" i="1" a="1"/>
  <c r="C632" i="1" s="1"/>
  <c r="C633" i="1" a="1"/>
  <c r="C633" i="1" s="1"/>
  <c r="C634" i="1" a="1"/>
  <c r="C634" i="1" s="1"/>
  <c r="C635" i="1" a="1"/>
  <c r="C635" i="1" s="1"/>
  <c r="C636" i="1" a="1"/>
  <c r="C636" i="1" s="1"/>
  <c r="C637" i="1" a="1"/>
  <c r="C637" i="1" s="1"/>
  <c r="C638" i="1" a="1"/>
  <c r="C638" i="1" s="1"/>
  <c r="C639" i="1" a="1"/>
  <c r="C639" i="1" s="1"/>
  <c r="C640" i="1" a="1"/>
  <c r="C640" i="1" s="1"/>
  <c r="C641" i="1" a="1"/>
  <c r="C641" i="1" s="1"/>
  <c r="C642" i="1" a="1"/>
  <c r="C642" i="1" s="1"/>
  <c r="C643" i="1" a="1"/>
  <c r="C643" i="1" s="1"/>
  <c r="C644" i="1" a="1"/>
  <c r="C644" i="1"/>
  <c r="C645" i="1" a="1"/>
  <c r="C645" i="1" s="1"/>
  <c r="C646" i="1" a="1"/>
  <c r="C646" i="1" s="1"/>
  <c r="C647" i="1" a="1"/>
  <c r="C647" i="1" s="1"/>
  <c r="C648" i="1" a="1"/>
  <c r="C648" i="1" s="1"/>
  <c r="C649" i="1" a="1"/>
  <c r="C649" i="1" s="1"/>
  <c r="C650" i="1" a="1"/>
  <c r="C650" i="1" s="1"/>
  <c r="C651" i="1" a="1"/>
  <c r="C651" i="1" s="1"/>
  <c r="C652" i="1" a="1"/>
  <c r="C652" i="1" s="1"/>
  <c r="C653" i="1" a="1"/>
  <c r="C653" i="1" s="1"/>
  <c r="C654" i="1" a="1"/>
  <c r="C654" i="1"/>
  <c r="C655" i="1" a="1"/>
  <c r="C655" i="1" s="1"/>
  <c r="C656" i="1" a="1"/>
  <c r="C656" i="1" s="1"/>
  <c r="C657" i="1" a="1"/>
  <c r="C657" i="1" s="1"/>
  <c r="C658" i="1" a="1"/>
  <c r="C658" i="1" s="1"/>
  <c r="C659" i="1" a="1"/>
  <c r="C659" i="1" s="1"/>
  <c r="C660" i="1" a="1"/>
  <c r="C660" i="1" s="1"/>
  <c r="C661" i="1" a="1"/>
  <c r="C661" i="1" s="1"/>
  <c r="C662" i="1" a="1"/>
  <c r="C662" i="1" s="1"/>
  <c r="C663" i="1" a="1"/>
  <c r="C663" i="1" s="1"/>
  <c r="C664" i="1" a="1"/>
  <c r="C664" i="1" s="1"/>
  <c r="C665" i="1" a="1"/>
  <c r="C665" i="1" s="1"/>
  <c r="C666" i="1" a="1"/>
  <c r="C666" i="1" s="1"/>
  <c r="C667" i="1" a="1"/>
  <c r="C667" i="1" s="1"/>
  <c r="C668" i="1" a="1"/>
  <c r="C668" i="1" s="1"/>
  <c r="C669" i="1" a="1"/>
  <c r="C669" i="1" s="1"/>
  <c r="C670" i="1" a="1"/>
  <c r="C670" i="1" s="1"/>
  <c r="C671" i="1" a="1"/>
  <c r="C671" i="1" s="1"/>
  <c r="C672" i="1" a="1"/>
  <c r="C672" i="1" s="1"/>
  <c r="C673" i="1" a="1"/>
  <c r="C673" i="1" s="1"/>
  <c r="C674" i="1" a="1"/>
  <c r="C674" i="1" s="1"/>
  <c r="C675" i="1" a="1"/>
  <c r="C675" i="1"/>
  <c r="C676" i="1" a="1"/>
  <c r="C676" i="1" s="1"/>
  <c r="C677" i="1" a="1"/>
  <c r="C677" i="1" s="1"/>
  <c r="C678" i="1" a="1"/>
  <c r="C678" i="1" s="1"/>
  <c r="C679" i="1" a="1"/>
  <c r="C679" i="1" s="1"/>
  <c r="C680" i="1" a="1"/>
  <c r="C680" i="1" s="1"/>
  <c r="C681" i="1" a="1"/>
  <c r="C681" i="1" s="1"/>
  <c r="C682" i="1" a="1"/>
  <c r="C682" i="1" s="1"/>
  <c r="C683" i="1" a="1"/>
  <c r="C683" i="1" s="1"/>
  <c r="C684" i="1" a="1"/>
  <c r="C684" i="1" s="1"/>
  <c r="C685" i="1" a="1"/>
  <c r="C685" i="1" s="1"/>
  <c r="C686" i="1" a="1"/>
  <c r="C686" i="1" s="1"/>
  <c r="C687" i="1" a="1"/>
  <c r="C687" i="1" s="1"/>
  <c r="C688" i="1" a="1"/>
  <c r="C688" i="1" s="1"/>
  <c r="C689" i="1" a="1"/>
  <c r="C689" i="1" s="1"/>
  <c r="C690" i="1" a="1"/>
  <c r="C690" i="1" s="1"/>
  <c r="C691" i="1" a="1"/>
  <c r="C691" i="1" s="1"/>
  <c r="C692" i="1" a="1"/>
  <c r="C692" i="1" s="1"/>
  <c r="C693" i="1" a="1"/>
  <c r="C693" i="1"/>
  <c r="C694" i="1" a="1"/>
  <c r="C694" i="1" s="1"/>
  <c r="C695" i="1" a="1"/>
  <c r="C695" i="1" s="1"/>
  <c r="C696" i="1" a="1"/>
  <c r="C696" i="1" s="1"/>
  <c r="C2" i="1" a="1"/>
  <c r="C2" i="1" s="1"/>
  <c r="E2" i="1" l="1"/>
  <c r="F2" i="1" a="1"/>
  <c r="F2" i="1" s="1"/>
  <c r="E4" i="1" l="1"/>
  <c r="E6" i="1"/>
  <c r="E7" i="1"/>
  <c r="E8" i="1"/>
  <c r="E9" i="1"/>
  <c r="E10" i="1"/>
  <c r="E5" i="1"/>
  <c r="E11" i="1"/>
  <c r="E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<sst xmlns="http://schemas.openxmlformats.org/spreadsheetml/2006/main" count="6066" uniqueCount="263">
  <si>
    <t>収穫物</t>
  </si>
  <si>
    <t>収穫量(g)</t>
  </si>
  <si>
    <t>ベビーリーフ　グリーンオーク</t>
  </si>
  <si>
    <t>加工品　ベビーリーフ</t>
  </si>
  <si>
    <t>ベビーリーフ　ピノグリーン</t>
  </si>
  <si>
    <t>グリーンオーク</t>
  </si>
  <si>
    <t>ロロロッサ</t>
  </si>
  <si>
    <t>レッドオーク</t>
  </si>
  <si>
    <t>イチゴ</t>
  </si>
  <si>
    <t>ベビーリーフ　ロロロッサ</t>
  </si>
  <si>
    <t>加工品　イチゴ</t>
  </si>
  <si>
    <t>ベビーリーフ　レッドオーク</t>
  </si>
  <si>
    <t>ブロッコリースプラウト</t>
  </si>
  <si>
    <t>縮緬ケール</t>
  </si>
  <si>
    <t>ベビーリーフ　アマランサス</t>
  </si>
  <si>
    <t>ピノグリーン</t>
  </si>
  <si>
    <t>アマランサス</t>
  </si>
  <si>
    <t>ベビーリーフ（加工品）</t>
  </si>
  <si>
    <t>ロロロッサ</t>
    <phoneticPr fontId="1"/>
  </si>
  <si>
    <t>正規化</t>
    <rPh sb="0" eb="3">
      <t>セイキカ</t>
    </rPh>
    <phoneticPr fontId="1"/>
  </si>
  <si>
    <t>，無しの値</t>
    <rPh sb="1" eb="2">
      <t>ナ</t>
    </rPh>
    <rPh sb="4" eb="5">
      <t>アタイ</t>
    </rPh>
    <phoneticPr fontId="1"/>
  </si>
  <si>
    <t>合計値</t>
    <rPh sb="0" eb="3">
      <t>ゴウケイチ</t>
    </rPh>
    <phoneticPr fontId="1"/>
  </si>
  <si>
    <t>品種</t>
    <rPh sb="0" eb="2">
      <t>ヒンシュ</t>
    </rPh>
    <phoneticPr fontId="1"/>
  </si>
  <si>
    <t>愛川</t>
  </si>
  <si>
    <t>－</t>
  </si>
  <si>
    <t>日本ファブテック株式会社</t>
  </si>
  <si>
    <t>日建リース工業（株）営業本部【愛川】</t>
  </si>
  <si>
    <t>東レ株式会社</t>
  </si>
  <si>
    <t>牧野フライス精機株式会社</t>
  </si>
  <si>
    <t>ミニトマト</t>
  </si>
  <si>
    <t>M（キーワード）</t>
  </si>
  <si>
    <t>N（正規化社名）</t>
  </si>
  <si>
    <t>牧野</t>
  </si>
  <si>
    <t>日本ファブテック</t>
  </si>
  <si>
    <t>東レ</t>
  </si>
  <si>
    <t>ロレアル</t>
  </si>
  <si>
    <t>サンセイランディ</t>
  </si>
  <si>
    <t>昭和女子</t>
  </si>
  <si>
    <t>バリュエンス</t>
  </si>
  <si>
    <t>マルテー</t>
  </si>
  <si>
    <t>ソリトン</t>
  </si>
  <si>
    <t>ケイアイ</t>
  </si>
  <si>
    <t>岡部</t>
  </si>
  <si>
    <t>三和</t>
  </si>
  <si>
    <t>慈誠会</t>
  </si>
  <si>
    <t>富士機械</t>
  </si>
  <si>
    <t>サンテレホン</t>
  </si>
  <si>
    <t>NAITO</t>
  </si>
  <si>
    <t>日建</t>
  </si>
  <si>
    <t>アドビ</t>
    <phoneticPr fontId="1"/>
  </si>
  <si>
    <t>キュービー</t>
    <phoneticPr fontId="1"/>
  </si>
  <si>
    <t>ＮａＩＴＯ</t>
  </si>
  <si>
    <t>冨士機材</t>
  </si>
  <si>
    <t>生データ</t>
    <rPh sb="0" eb="1">
      <t>ナマ</t>
    </rPh>
    <phoneticPr fontId="1"/>
  </si>
  <si>
    <t>必要列取り出し</t>
    <rPh sb="0" eb="3">
      <t>ヒツヨウレツ</t>
    </rPh>
    <rPh sb="3" eb="4">
      <t>ト</t>
    </rPh>
    <rPh sb="5" eb="6">
      <t>ダ</t>
    </rPh>
    <phoneticPr fontId="1"/>
  </si>
  <si>
    <t>正規化後データ</t>
    <rPh sb="0" eb="4">
      <t>セイキカゴ</t>
    </rPh>
    <phoneticPr fontId="1"/>
  </si>
  <si>
    <t>株式会社サンセイランディック</t>
  </si>
  <si>
    <t>キュービーネット株式会社【愛川】</t>
  </si>
  <si>
    <t>医療法人社団慈誠会</t>
  </si>
  <si>
    <t>三和エナジー株式会社</t>
  </si>
  <si>
    <t>サンテレホン株式会社</t>
  </si>
  <si>
    <t>アドビ株式会社</t>
  </si>
  <si>
    <t>ベビーリーフ　ロログリーン</t>
  </si>
  <si>
    <t>冨士機材株式会社</t>
  </si>
  <si>
    <t>株式会社ＮａＩＴＯ</t>
  </si>
  <si>
    <t>株式会社マルテー大塚</t>
  </si>
  <si>
    <t>ケイアイスター不動産株式会社【愛川】</t>
  </si>
  <si>
    <t>日本ロレアル株式会社</t>
  </si>
  <si>
    <t>学校法人昭和女子大学</t>
  </si>
  <si>
    <t>バリュエンスホールディングス株式会社</t>
  </si>
  <si>
    <t>富士機械株式会社</t>
  </si>
  <si>
    <t>株式会社ソリトンシステムズ</t>
  </si>
  <si>
    <t>岡部株式会社</t>
  </si>
  <si>
    <t>ラディッシュ</t>
  </si>
  <si>
    <t>牧野フライス</t>
    <rPh sb="0" eb="2">
      <t>マキノ</t>
    </rPh>
    <phoneticPr fontId="1"/>
  </si>
  <si>
    <t>日本ファブテック</t>
    <rPh sb="0" eb="2">
      <t>ニホン</t>
    </rPh>
    <phoneticPr fontId="1"/>
  </si>
  <si>
    <t>東レ</t>
    <rPh sb="0" eb="1">
      <t>トウ</t>
    </rPh>
    <phoneticPr fontId="1"/>
  </si>
  <si>
    <t>日本ロレアル</t>
    <rPh sb="0" eb="2">
      <t>ニホン</t>
    </rPh>
    <phoneticPr fontId="1"/>
  </si>
  <si>
    <t>サンセイランディック</t>
    <phoneticPr fontId="1"/>
  </si>
  <si>
    <t>昭和女子</t>
    <rPh sb="0" eb="4">
      <t>ショウワジョシ</t>
    </rPh>
    <phoneticPr fontId="1"/>
  </si>
  <si>
    <t>QB</t>
    <phoneticPr fontId="1"/>
  </si>
  <si>
    <t>NaITO</t>
    <phoneticPr fontId="1"/>
  </si>
  <si>
    <t>バリュエンス</t>
    <phoneticPr fontId="1"/>
  </si>
  <si>
    <t>Adobe</t>
    <phoneticPr fontId="1"/>
  </si>
  <si>
    <t>富士機材</t>
    <rPh sb="0" eb="4">
      <t>フジキザイ</t>
    </rPh>
    <phoneticPr fontId="1"/>
  </si>
  <si>
    <t>マルテー</t>
    <phoneticPr fontId="1"/>
  </si>
  <si>
    <t>ソリトン</t>
    <phoneticPr fontId="1"/>
  </si>
  <si>
    <t>ケイアイ</t>
    <phoneticPr fontId="1"/>
  </si>
  <si>
    <t>岡部</t>
    <rPh sb="0" eb="2">
      <t>オカベ</t>
    </rPh>
    <phoneticPr fontId="1"/>
  </si>
  <si>
    <t>三和</t>
    <rPh sb="0" eb="2">
      <t>サンワ</t>
    </rPh>
    <phoneticPr fontId="1"/>
  </si>
  <si>
    <t>慈誠会</t>
    <rPh sb="0" eb="3">
      <t>ジセイカイ</t>
    </rPh>
    <phoneticPr fontId="1"/>
  </si>
  <si>
    <t>富士機械</t>
    <rPh sb="0" eb="4">
      <t>フジキカイ</t>
    </rPh>
    <phoneticPr fontId="1"/>
  </si>
  <si>
    <t>サンテレホン</t>
    <phoneticPr fontId="1"/>
  </si>
  <si>
    <t>日建</t>
    <rPh sb="0" eb="2">
      <t>ニッケン</t>
    </rPh>
    <phoneticPr fontId="1"/>
  </si>
  <si>
    <t>登録No.</t>
    <rPh sb="0" eb="2">
      <t>トウロク</t>
    </rPh>
    <phoneticPr fontId="1"/>
  </si>
  <si>
    <t>農園</t>
    <rPh sb="0" eb="2">
      <t>ノウエン</t>
    </rPh>
    <phoneticPr fontId="1"/>
  </si>
  <si>
    <t>日付</t>
    <rPh sb="0" eb="2">
      <t>ヒヅケ</t>
    </rPh>
    <phoneticPr fontId="1"/>
  </si>
  <si>
    <t>企業名</t>
    <rPh sb="0" eb="3">
      <t>キギョウメイ</t>
    </rPh>
    <phoneticPr fontId="1"/>
  </si>
  <si>
    <t>作物名</t>
    <rPh sb="0" eb="3">
      <t>サクモツメイ</t>
    </rPh>
    <phoneticPr fontId="1"/>
  </si>
  <si>
    <t>収量（ｇ）</t>
    <rPh sb="0" eb="2">
      <t>シュウリョウ</t>
    </rPh>
    <phoneticPr fontId="1"/>
  </si>
  <si>
    <t>備考</t>
    <rPh sb="0" eb="2">
      <t>ビコウ</t>
    </rPh>
    <phoneticPr fontId="1"/>
  </si>
  <si>
    <t>ＩＩＭヒューマン・ソリューション株式会社</t>
  </si>
  <si>
    <t>株式会社ＩＤＡＪ</t>
  </si>
  <si>
    <t>株式会社アグリメディア</t>
  </si>
  <si>
    <t>イソップ・ジャパン株式会社</t>
  </si>
  <si>
    <t>株式会社ＯＳＢＳ【愛川】</t>
  </si>
  <si>
    <t>カミコウバス株式会社</t>
  </si>
  <si>
    <t>社会福祉法人　県央福祉会</t>
  </si>
  <si>
    <t>株式会社ＤＴＳインサイト</t>
  </si>
  <si>
    <t>東レ建設株式会社</t>
  </si>
  <si>
    <t>有限会社鳥居原　ふれあいの館</t>
  </si>
  <si>
    <t>株式会社農業総合研究所【愛川】</t>
  </si>
  <si>
    <t>有限会社　服部牧場</t>
  </si>
  <si>
    <t>ヒラオカ石油株式会社</t>
  </si>
  <si>
    <t>ＰａｙＰａｙ株式会社【愛川】</t>
  </si>
  <si>
    <t>モンテロッソ【愛川】</t>
  </si>
  <si>
    <t>古民家レストランカフェよってけさん</t>
  </si>
  <si>
    <t>株式会社わくわく広場　【愛川】</t>
  </si>
  <si>
    <t>×</t>
    <phoneticPr fontId="1"/>
  </si>
  <si>
    <t>元データ</t>
    <rPh sb="0" eb="1">
      <t>モト</t>
    </rPh>
    <phoneticPr fontId="1"/>
  </si>
  <si>
    <t>変換後名</t>
    <rPh sb="0" eb="2">
      <t>ヘンカン</t>
    </rPh>
    <rPh sb="2" eb="3">
      <t>ゴ</t>
    </rPh>
    <rPh sb="3" eb="4">
      <t>メイ</t>
    </rPh>
    <phoneticPr fontId="1"/>
  </si>
  <si>
    <t>サンセイ</t>
    <phoneticPr fontId="1"/>
  </si>
  <si>
    <t>サンテレ</t>
    <phoneticPr fontId="1"/>
  </si>
  <si>
    <t>昭和</t>
    <rPh sb="0" eb="2">
      <t>ショウワ</t>
    </rPh>
    <phoneticPr fontId="1"/>
  </si>
  <si>
    <t>日本ファブ</t>
    <rPh sb="0" eb="2">
      <t>ニホン</t>
    </rPh>
    <phoneticPr fontId="1"/>
  </si>
  <si>
    <t>バリュ</t>
    <phoneticPr fontId="1"/>
  </si>
  <si>
    <t>牧野</t>
    <rPh sb="0" eb="2">
      <t>マキノ</t>
    </rPh>
    <phoneticPr fontId="1"/>
  </si>
  <si>
    <t>アイスバーグレタス</t>
    <phoneticPr fontId="1"/>
  </si>
  <si>
    <t>アイスプラント</t>
    <phoneticPr fontId="1"/>
  </si>
  <si>
    <t>アシタバ</t>
    <phoneticPr fontId="1"/>
  </si>
  <si>
    <t>イタリアンパセリ</t>
    <phoneticPr fontId="1"/>
  </si>
  <si>
    <t>イチゴ</t>
    <phoneticPr fontId="1"/>
  </si>
  <si>
    <t>イチゴ（かおり野）</t>
    <rPh sb="7" eb="8">
      <t>ノ</t>
    </rPh>
    <phoneticPr fontId="1"/>
  </si>
  <si>
    <t>イチゴ（とちおとめ）</t>
    <phoneticPr fontId="1"/>
  </si>
  <si>
    <t>エンサイ</t>
    <phoneticPr fontId="1"/>
  </si>
  <si>
    <t>エンダイブ</t>
    <phoneticPr fontId="1"/>
  </si>
  <si>
    <t>オクラ（ペニー）</t>
    <phoneticPr fontId="1"/>
  </si>
  <si>
    <t>オクラ（五角）</t>
    <rPh sb="4" eb="6">
      <t>ゴカク</t>
    </rPh>
    <phoneticPr fontId="1"/>
  </si>
  <si>
    <t>オレガノ</t>
    <phoneticPr fontId="1"/>
  </si>
  <si>
    <t>カーリーケール</t>
    <phoneticPr fontId="1"/>
  </si>
  <si>
    <t>カールパセリ</t>
    <phoneticPr fontId="1"/>
  </si>
  <si>
    <t>カブ</t>
    <phoneticPr fontId="1"/>
  </si>
  <si>
    <t>キンギョソウ</t>
    <phoneticPr fontId="1"/>
  </si>
  <si>
    <t>クウシンサイ</t>
    <phoneticPr fontId="1"/>
  </si>
  <si>
    <t>グリーンオーク</t>
    <phoneticPr fontId="1"/>
  </si>
  <si>
    <t>グリーンスピナッチ（サボイ）</t>
    <phoneticPr fontId="1"/>
  </si>
  <si>
    <t>グリーンロメイン</t>
    <phoneticPr fontId="1"/>
  </si>
  <si>
    <t>クレソン</t>
    <phoneticPr fontId="1"/>
  </si>
  <si>
    <t>コマツナ</t>
    <phoneticPr fontId="1"/>
  </si>
  <si>
    <t>コラードケール</t>
    <phoneticPr fontId="1"/>
  </si>
  <si>
    <t>コリアンダー</t>
    <phoneticPr fontId="1"/>
  </si>
  <si>
    <t>シマトウガラシ</t>
    <phoneticPr fontId="1"/>
  </si>
  <si>
    <t>シュンギク</t>
    <phoneticPr fontId="1"/>
  </si>
  <si>
    <t>スイスチャード</t>
    <phoneticPr fontId="1"/>
  </si>
  <si>
    <t>スペアミント</t>
    <phoneticPr fontId="1"/>
  </si>
  <si>
    <t>セージ</t>
    <phoneticPr fontId="1"/>
  </si>
  <si>
    <t>セリ</t>
    <phoneticPr fontId="1"/>
  </si>
  <si>
    <t>ターサイ</t>
    <phoneticPr fontId="1"/>
  </si>
  <si>
    <t>タイム</t>
    <phoneticPr fontId="1"/>
  </si>
  <si>
    <t>タラゴン</t>
    <phoneticPr fontId="1"/>
  </si>
  <si>
    <t>チコリー</t>
    <phoneticPr fontId="1"/>
  </si>
  <si>
    <t>チャービル</t>
    <phoneticPr fontId="1"/>
  </si>
  <si>
    <t>チャイブ</t>
    <phoneticPr fontId="1"/>
  </si>
  <si>
    <t>ディル</t>
    <phoneticPr fontId="1"/>
  </si>
  <si>
    <t>トマト</t>
    <phoneticPr fontId="1"/>
  </si>
  <si>
    <t>ナス</t>
    <phoneticPr fontId="1"/>
  </si>
  <si>
    <t>ナスタチウム</t>
    <phoneticPr fontId="1"/>
  </si>
  <si>
    <t>ナデシコ</t>
    <phoneticPr fontId="1"/>
  </si>
  <si>
    <t>なばな</t>
    <phoneticPr fontId="1"/>
  </si>
  <si>
    <t>パクチー</t>
    <phoneticPr fontId="1"/>
  </si>
  <si>
    <t>バジル</t>
    <phoneticPr fontId="1"/>
  </si>
  <si>
    <t>パセリ</t>
    <phoneticPr fontId="1"/>
  </si>
  <si>
    <t>パプリカ</t>
    <phoneticPr fontId="1"/>
  </si>
  <si>
    <t>ビート</t>
    <phoneticPr fontId="1"/>
  </si>
  <si>
    <t>ピーマン</t>
    <phoneticPr fontId="1"/>
  </si>
  <si>
    <t>ビオラ</t>
    <phoneticPr fontId="1"/>
  </si>
  <si>
    <t>ピノグリーン</t>
    <phoneticPr fontId="1"/>
  </si>
  <si>
    <t>ブロッコリースプラウト</t>
    <phoneticPr fontId="1"/>
  </si>
  <si>
    <t>ペパーミント</t>
    <phoneticPr fontId="1"/>
  </si>
  <si>
    <t>べビーリーフ　アマランサス</t>
    <phoneticPr fontId="1"/>
  </si>
  <si>
    <t>べビーリーフ　グリーンオーク</t>
    <phoneticPr fontId="1"/>
  </si>
  <si>
    <t>べビーリーフ　グリーンケール</t>
    <phoneticPr fontId="1"/>
  </si>
  <si>
    <t>べビーリーフ　グリーンスピナッチ</t>
    <phoneticPr fontId="1"/>
  </si>
  <si>
    <t>べビーリーフ　グリーンロメイン</t>
    <phoneticPr fontId="1"/>
  </si>
  <si>
    <t>べビーリーフ　ターサイ</t>
    <phoneticPr fontId="1"/>
  </si>
  <si>
    <t>べビーリーフ　チコリー</t>
    <phoneticPr fontId="1"/>
  </si>
  <si>
    <t>べビーリーフ　デトロイト</t>
    <phoneticPr fontId="1"/>
  </si>
  <si>
    <t>べビーリーフ　ピノグリーン</t>
    <phoneticPr fontId="1"/>
  </si>
  <si>
    <t>べビーリーフ　ブラックケール</t>
    <phoneticPr fontId="1"/>
  </si>
  <si>
    <t>べビーリーフ　ルッコラ</t>
    <phoneticPr fontId="1"/>
  </si>
  <si>
    <t>べビーリーフ　レッドアマランサス</t>
    <phoneticPr fontId="1"/>
  </si>
  <si>
    <t>べビーリーフ　レッドオーク</t>
    <phoneticPr fontId="1"/>
  </si>
  <si>
    <t>べビーリーフ　レッドケール</t>
    <phoneticPr fontId="1"/>
  </si>
  <si>
    <t>べビーリーフ</t>
    <phoneticPr fontId="1"/>
  </si>
  <si>
    <t>べビーリーフ　レッドソレイル</t>
    <phoneticPr fontId="1"/>
  </si>
  <si>
    <t>べビーリーフ　レッドマスタード</t>
    <phoneticPr fontId="1"/>
  </si>
  <si>
    <t>べビーリーフ　レッドロメイン</t>
    <phoneticPr fontId="1"/>
  </si>
  <si>
    <t>べビーリーフ　ロログリーン</t>
    <phoneticPr fontId="1"/>
  </si>
  <si>
    <t>べビーリーフ　ロロロッサ</t>
    <phoneticPr fontId="1"/>
  </si>
  <si>
    <t>べビーリーフ　早生ミズナ</t>
    <rPh sb="7" eb="9">
      <t>ワセ</t>
    </rPh>
    <phoneticPr fontId="1"/>
  </si>
  <si>
    <t>べビーリーフ　葉ニンジン</t>
    <rPh sb="7" eb="8">
      <t>ハ</t>
    </rPh>
    <phoneticPr fontId="1"/>
  </si>
  <si>
    <t>べビーリーフ　赤茎ミズナ</t>
    <rPh sb="7" eb="9">
      <t>アカクキ</t>
    </rPh>
    <phoneticPr fontId="1"/>
  </si>
  <si>
    <t>ボリジ</t>
    <phoneticPr fontId="1"/>
  </si>
  <si>
    <t>マイクロリーフ　アマランサス</t>
    <phoneticPr fontId="1"/>
  </si>
  <si>
    <t>マイクロリーフ　デトロイト</t>
    <phoneticPr fontId="1"/>
  </si>
  <si>
    <t>マイクロリーフ　ピノグリーン</t>
    <phoneticPr fontId="1"/>
  </si>
  <si>
    <t>マイクロリーフ　ルッコラ</t>
    <phoneticPr fontId="1"/>
  </si>
  <si>
    <t>マイクロリーフ　レッドマスタード</t>
    <phoneticPr fontId="1"/>
  </si>
  <si>
    <t>マイクロリーフ　赤茎ミズナ</t>
    <rPh sb="8" eb="10">
      <t>アカクキ</t>
    </rPh>
    <phoneticPr fontId="1"/>
  </si>
  <si>
    <t>マジョラム</t>
    <phoneticPr fontId="1"/>
  </si>
  <si>
    <t>ミニカブ</t>
    <phoneticPr fontId="1"/>
  </si>
  <si>
    <t>ミニトマト</t>
    <phoneticPr fontId="1"/>
  </si>
  <si>
    <t>ミニ人参</t>
    <rPh sb="2" eb="4">
      <t>ニンジン</t>
    </rPh>
    <phoneticPr fontId="1"/>
  </si>
  <si>
    <t>ミニ青梗菜</t>
    <rPh sb="2" eb="5">
      <t>チンゲンサイ</t>
    </rPh>
    <phoneticPr fontId="1"/>
  </si>
  <si>
    <t>メロン</t>
    <phoneticPr fontId="1"/>
  </si>
  <si>
    <t>ラディッシュ</t>
    <phoneticPr fontId="1"/>
  </si>
  <si>
    <t>ルッコラ</t>
    <phoneticPr fontId="1"/>
  </si>
  <si>
    <t>レタス</t>
    <phoneticPr fontId="1"/>
  </si>
  <si>
    <t>レッドオーク</t>
    <phoneticPr fontId="1"/>
  </si>
  <si>
    <t>レッドオークカラシミズナ</t>
    <phoneticPr fontId="1"/>
  </si>
  <si>
    <t>レッドケール</t>
    <phoneticPr fontId="1"/>
  </si>
  <si>
    <t>レッドスピナッチ</t>
    <phoneticPr fontId="1"/>
  </si>
  <si>
    <t>レッドマスタード</t>
    <phoneticPr fontId="1"/>
  </si>
  <si>
    <t>レモングラス</t>
    <phoneticPr fontId="1"/>
  </si>
  <si>
    <t>ローズマリー</t>
    <phoneticPr fontId="1"/>
  </si>
  <si>
    <t>ロログリーン</t>
    <phoneticPr fontId="1"/>
  </si>
  <si>
    <t>わさび菜</t>
    <rPh sb="3" eb="4">
      <t>ナ</t>
    </rPh>
    <phoneticPr fontId="1"/>
  </si>
  <si>
    <t>中生ミズナ</t>
    <rPh sb="0" eb="2">
      <t>ナカテ</t>
    </rPh>
    <phoneticPr fontId="1"/>
  </si>
  <si>
    <t>中葉春菊</t>
    <rPh sb="0" eb="1">
      <t>ナカ</t>
    </rPh>
    <rPh sb="1" eb="2">
      <t>ハ</t>
    </rPh>
    <rPh sb="2" eb="4">
      <t>シュンギク</t>
    </rPh>
    <phoneticPr fontId="1"/>
  </si>
  <si>
    <t>加工品　イチゴ</t>
    <rPh sb="0" eb="3">
      <t>カコウヒン</t>
    </rPh>
    <phoneticPr fontId="1"/>
  </si>
  <si>
    <t>加工品　トマト</t>
    <rPh sb="0" eb="3">
      <t>カコウヒン</t>
    </rPh>
    <phoneticPr fontId="1"/>
  </si>
  <si>
    <t>加工品　べビーリーフ</t>
    <rPh sb="0" eb="3">
      <t>カコウヒン</t>
    </rPh>
    <phoneticPr fontId="1"/>
  </si>
  <si>
    <t>小ネギ</t>
    <rPh sb="0" eb="1">
      <t>コ</t>
    </rPh>
    <phoneticPr fontId="1"/>
  </si>
  <si>
    <t>枝豆</t>
    <rPh sb="0" eb="2">
      <t>エダマメ</t>
    </rPh>
    <phoneticPr fontId="1"/>
  </si>
  <si>
    <t>縮面ケール</t>
    <rPh sb="0" eb="2">
      <t>シュクメン</t>
    </rPh>
    <phoneticPr fontId="1"/>
  </si>
  <si>
    <t>赤しそ</t>
    <rPh sb="0" eb="1">
      <t>アカ</t>
    </rPh>
    <phoneticPr fontId="1"/>
  </si>
  <si>
    <t>赤茎ミズナ</t>
    <rPh sb="0" eb="2">
      <t>アカクキ</t>
    </rPh>
    <phoneticPr fontId="1"/>
  </si>
  <si>
    <t>青シソ</t>
    <rPh sb="0" eb="1">
      <t>アオ</t>
    </rPh>
    <phoneticPr fontId="1"/>
  </si>
  <si>
    <t>加工イチゴ</t>
    <rPh sb="0" eb="2">
      <t>カコウ</t>
    </rPh>
    <phoneticPr fontId="1"/>
  </si>
  <si>
    <t>加工トマト</t>
    <rPh sb="0" eb="2">
      <t>カコウ</t>
    </rPh>
    <phoneticPr fontId="1"/>
  </si>
  <si>
    <t>加工BL</t>
    <rPh sb="0" eb="2">
      <t>カコウ</t>
    </rPh>
    <phoneticPr fontId="1"/>
  </si>
  <si>
    <t>/葉物野菜</t>
    <rPh sb="1" eb="5">
      <t>ハモノヤサイ</t>
    </rPh>
    <phoneticPr fontId="1"/>
  </si>
  <si>
    <t>変換後名（企業名にくっつける）</t>
    <rPh sb="0" eb="2">
      <t>ヘンカン</t>
    </rPh>
    <rPh sb="2" eb="3">
      <t>ゴ</t>
    </rPh>
    <rPh sb="3" eb="4">
      <t>メイ</t>
    </rPh>
    <rPh sb="5" eb="8">
      <t>キギョウメイ</t>
    </rPh>
    <phoneticPr fontId="1"/>
  </si>
  <si>
    <t>/葉物野菜</t>
    <phoneticPr fontId="1"/>
  </si>
  <si>
    <t>/イチゴ</t>
    <phoneticPr fontId="1"/>
  </si>
  <si>
    <t>/トマト</t>
    <phoneticPr fontId="1"/>
  </si>
  <si>
    <t>/ナス</t>
    <phoneticPr fontId="1"/>
  </si>
  <si>
    <t>/ハーブ</t>
    <phoneticPr fontId="1"/>
  </si>
  <si>
    <t>/実物野菜</t>
    <rPh sb="1" eb="3">
      <t>ミモノ</t>
    </rPh>
    <rPh sb="3" eb="5">
      <t>ヤサイ</t>
    </rPh>
    <phoneticPr fontId="1"/>
  </si>
  <si>
    <t>/パプリカ</t>
    <phoneticPr fontId="1"/>
  </si>
  <si>
    <t>/実物野菜</t>
    <rPh sb="1" eb="5">
      <t>ミモノヤサイ</t>
    </rPh>
    <phoneticPr fontId="1"/>
  </si>
  <si>
    <t>/ピーマン</t>
    <phoneticPr fontId="1"/>
  </si>
  <si>
    <t>/食用花</t>
    <rPh sb="1" eb="4">
      <t>ショクヨウハナ</t>
    </rPh>
    <phoneticPr fontId="1"/>
  </si>
  <si>
    <t>/BL</t>
    <phoneticPr fontId="1"/>
  </si>
  <si>
    <t>/マイクロ</t>
    <phoneticPr fontId="1"/>
  </si>
  <si>
    <t>/ミニトマト</t>
    <phoneticPr fontId="1"/>
  </si>
  <si>
    <t>/根物野菜</t>
    <rPh sb="1" eb="3">
      <t>ネモノ</t>
    </rPh>
    <rPh sb="3" eb="5">
      <t>ヤサイ</t>
    </rPh>
    <phoneticPr fontId="1"/>
  </si>
  <si>
    <t>/根物野菜</t>
    <rPh sb="1" eb="5">
      <t>ネモノヤサイ</t>
    </rPh>
    <phoneticPr fontId="1"/>
  </si>
  <si>
    <t>振り分け</t>
    <rPh sb="0" eb="1">
      <t>フ</t>
    </rPh>
    <rPh sb="2" eb="3">
      <t>ワ</t>
    </rPh>
    <phoneticPr fontId="1"/>
  </si>
  <si>
    <t>べビーリーフ以外</t>
    <rPh sb="6" eb="8">
      <t>イガイ</t>
    </rPh>
    <phoneticPr fontId="1"/>
  </si>
  <si>
    <t>加工用</t>
    <rPh sb="0" eb="2">
      <t>カコウ</t>
    </rPh>
    <rPh sb="2" eb="3">
      <t>ヨウ</t>
    </rPh>
    <phoneticPr fontId="1"/>
  </si>
  <si>
    <t>イチゴ（かおり野）</t>
  </si>
  <si>
    <t>マイクロリーフ　ピノグリーン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</si>
</sst>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6"/>
      <color theme="1"/>
      <name val="Yu Gothic"/>
      <family val="3"/>
      <charset val="128"/>
      <scheme val="minor"/>
    </font>
    <font>
      <sz val="8"/>
      <color rgb="FF212529"/>
      <name val="游ゴシック"/>
      <family val="3"/>
      <charset val="128"/>
    </font>
    <font>
      <u/>
      <sz val="11"/>
      <color theme="10"/>
      <name val="Yu Gothic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CFFF6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3">
    <xf numFmtId="0" fontId="0" fillId="0" borderId="0" xfId="0"/>
    <xf numFmtId="3" fontId="0" fillId="0" borderId="0" xfId="0" applyNumberFormat="1"/>
    <xf numFmtId="0" fontId="0" fillId="0" borderId="1" xfId="0" applyBorder="1"/>
    <xf numFmtId="0" fontId="0" fillId="0" borderId="2" xfId="0" applyBorder="1"/>
    <xf numFmtId="0" fontId="2" fillId="0" borderId="1" xfId="0" applyFont="1" applyBorder="1"/>
    <xf numFmtId="0" fontId="2" fillId="0" borderId="0" xfId="0" applyFont="1"/>
    <xf numFmtId="0" fontId="2" fillId="0" borderId="2" xfId="0" applyFont="1" applyBorder="1"/>
    <xf numFmtId="0" fontId="4" fillId="2" borderId="3" xfId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vertical="center" wrapText="1"/>
    </xf>
    <xf numFmtId="14" fontId="3" fillId="2" borderId="3" xfId="0" applyNumberFormat="1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/>
    </xf>
    <xf numFmtId="0" fontId="3" fillId="2" borderId="3" xfId="0" applyFont="1" applyFill="1" applyBorder="1" applyAlignment="1">
      <alignment horizontal="right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0" borderId="3" xfId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14" fontId="3" fillId="0" borderId="3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/>
    </xf>
    <xf numFmtId="0" fontId="3" fillId="0" borderId="3" xfId="0" applyFont="1" applyBorder="1" applyAlignment="1">
      <alignment horizontal="right" vertical="center" wrapText="1"/>
    </xf>
    <xf numFmtId="0" fontId="3" fillId="0" borderId="3" xfId="0" applyFont="1" applyBorder="1" applyAlignment="1">
      <alignment horizontal="center" vertical="center" wrapText="1"/>
    </xf>
    <xf numFmtId="3" fontId="3" fillId="0" borderId="3" xfId="0" applyNumberFormat="1" applyFont="1" applyBorder="1" applyAlignment="1">
      <alignment horizontal="right" vertical="center" wrapText="1"/>
    </xf>
    <xf numFmtId="3" fontId="3" fillId="2" borderId="3" xfId="0" applyNumberFormat="1" applyFont="1" applyFill="1" applyBorder="1" applyAlignment="1">
      <alignment horizontal="right" vertical="center" wrapText="1"/>
    </xf>
    <xf numFmtId="0" fontId="3" fillId="2" borderId="3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nrg-farms.com/FarMS/harvest/reference?harvest_id=72915" TargetMode="External"/><Relationship Id="rId671" Type="http://schemas.openxmlformats.org/officeDocument/2006/relationships/hyperlink" Target="https://www.nrg-farms.com/FarMS/harvest/reference?harvest_id=71499" TargetMode="External"/><Relationship Id="rId769" Type="http://schemas.openxmlformats.org/officeDocument/2006/relationships/hyperlink" Target="https://www.nrg-farms.com/FarMS/harvest/reference?harvest_id=70823" TargetMode="External"/><Relationship Id="rId21" Type="http://schemas.openxmlformats.org/officeDocument/2006/relationships/hyperlink" Target="https://www.nrg-farms.com/FarMS/harvest/reference?harvest_id=73459" TargetMode="External"/><Relationship Id="rId324" Type="http://schemas.openxmlformats.org/officeDocument/2006/relationships/hyperlink" Target="https://www.nrg-farms.com/FarMS/harvest/reference?harvest_id=72068" TargetMode="External"/><Relationship Id="rId531" Type="http://schemas.openxmlformats.org/officeDocument/2006/relationships/hyperlink" Target="https://www.nrg-farms.com/FarMS/harvest/reference?harvest_id=70968" TargetMode="External"/><Relationship Id="rId629" Type="http://schemas.openxmlformats.org/officeDocument/2006/relationships/hyperlink" Target="https://www.nrg-farms.com/FarMS/harvest/reference?harvest_id=71544" TargetMode="External"/><Relationship Id="rId170" Type="http://schemas.openxmlformats.org/officeDocument/2006/relationships/hyperlink" Target="https://www.nrg-farms.com/FarMS/harvest/reference?harvest_id=73452" TargetMode="External"/><Relationship Id="rId268" Type="http://schemas.openxmlformats.org/officeDocument/2006/relationships/hyperlink" Target="https://www.nrg-farms.com/FarMS/harvest/reference?harvest_id=72116" TargetMode="External"/><Relationship Id="rId475" Type="http://schemas.openxmlformats.org/officeDocument/2006/relationships/hyperlink" Target="https://www.nrg-farms.com/FarMS/harvest/reference?harvest_id=71634" TargetMode="External"/><Relationship Id="rId682" Type="http://schemas.openxmlformats.org/officeDocument/2006/relationships/hyperlink" Target="https://www.nrg-farms.com/FarMS/harvest/reference?harvest_id=71235" TargetMode="External"/><Relationship Id="rId32" Type="http://schemas.openxmlformats.org/officeDocument/2006/relationships/hyperlink" Target="https://www.nrg-farms.com/FarMS/harvest/reference?harvest_id=72998" TargetMode="External"/><Relationship Id="rId128" Type="http://schemas.openxmlformats.org/officeDocument/2006/relationships/hyperlink" Target="https://www.nrg-farms.com/FarMS/harvest/reference?harvest_id=72904" TargetMode="External"/><Relationship Id="rId335" Type="http://schemas.openxmlformats.org/officeDocument/2006/relationships/hyperlink" Target="https://www.nrg-farms.com/FarMS/harvest/reference?harvest_id=72057" TargetMode="External"/><Relationship Id="rId542" Type="http://schemas.openxmlformats.org/officeDocument/2006/relationships/hyperlink" Target="https://www.nrg-farms.com/FarMS/harvest/reference?harvest_id=70957" TargetMode="External"/><Relationship Id="rId181" Type="http://schemas.openxmlformats.org/officeDocument/2006/relationships/hyperlink" Target="https://www.nrg-farms.com/FarMS/harvest/reference?harvest_id=72894" TargetMode="External"/><Relationship Id="rId402" Type="http://schemas.openxmlformats.org/officeDocument/2006/relationships/hyperlink" Target="https://www.nrg-farms.com/FarMS/harvest/reference?harvest_id=71863" TargetMode="External"/><Relationship Id="rId279" Type="http://schemas.openxmlformats.org/officeDocument/2006/relationships/hyperlink" Target="https://www.nrg-farms.com/FarMS/harvest/reference?harvest_id=72105" TargetMode="External"/><Relationship Id="rId486" Type="http://schemas.openxmlformats.org/officeDocument/2006/relationships/hyperlink" Target="https://www.nrg-farms.com/FarMS/harvest/reference?harvest_id=71623" TargetMode="External"/><Relationship Id="rId693" Type="http://schemas.openxmlformats.org/officeDocument/2006/relationships/hyperlink" Target="https://www.nrg-farms.com/FarMS/harvest/reference?harvest_id=71224" TargetMode="External"/><Relationship Id="rId707" Type="http://schemas.openxmlformats.org/officeDocument/2006/relationships/hyperlink" Target="https://www.nrg-farms.com/FarMS/harvest/reference?harvest_id=71036" TargetMode="External"/><Relationship Id="rId43" Type="http://schemas.openxmlformats.org/officeDocument/2006/relationships/hyperlink" Target="https://www.nrg-farms.com/FarMS/harvest/reference?harvest_id=72987" TargetMode="External"/><Relationship Id="rId139" Type="http://schemas.openxmlformats.org/officeDocument/2006/relationships/hyperlink" Target="https://www.nrg-farms.com/FarMS/harvest/reference?harvest_id=73360" TargetMode="External"/><Relationship Id="rId346" Type="http://schemas.openxmlformats.org/officeDocument/2006/relationships/hyperlink" Target="https://www.nrg-farms.com/FarMS/harvest/reference?harvest_id=72041" TargetMode="External"/><Relationship Id="rId553" Type="http://schemas.openxmlformats.org/officeDocument/2006/relationships/hyperlink" Target="https://www.nrg-farms.com/FarMS/harvest/reference?harvest_id=71008" TargetMode="External"/><Relationship Id="rId760" Type="http://schemas.openxmlformats.org/officeDocument/2006/relationships/hyperlink" Target="https://www.nrg-farms.com/FarMS/harvest/reference?harvest_id=70832" TargetMode="External"/><Relationship Id="rId192" Type="http://schemas.openxmlformats.org/officeDocument/2006/relationships/hyperlink" Target="https://www.nrg-farms.com/FarMS/harvest/reference?harvest_id=72883" TargetMode="External"/><Relationship Id="rId206" Type="http://schemas.openxmlformats.org/officeDocument/2006/relationships/hyperlink" Target="https://www.nrg-farms.com/FarMS/harvest/reference?harvest_id=72869" TargetMode="External"/><Relationship Id="rId413" Type="http://schemas.openxmlformats.org/officeDocument/2006/relationships/hyperlink" Target="https://www.nrg-farms.com/FarMS/harvest/reference?harvest_id=71691" TargetMode="External"/><Relationship Id="rId497" Type="http://schemas.openxmlformats.org/officeDocument/2006/relationships/hyperlink" Target="https://www.nrg-farms.com/FarMS/harvest/reference?harvest_id=71612" TargetMode="External"/><Relationship Id="rId620" Type="http://schemas.openxmlformats.org/officeDocument/2006/relationships/hyperlink" Target="https://www.nrg-farms.com/FarMS/harvest/reference?harvest_id=71553" TargetMode="External"/><Relationship Id="rId718" Type="http://schemas.openxmlformats.org/officeDocument/2006/relationships/hyperlink" Target="https://www.nrg-farms.com/FarMS/harvest/reference?harvest_id=71025" TargetMode="External"/><Relationship Id="rId357" Type="http://schemas.openxmlformats.org/officeDocument/2006/relationships/hyperlink" Target="https://www.nrg-farms.com/FarMS/harvest/reference?harvest_id=72030" TargetMode="External"/><Relationship Id="rId54" Type="http://schemas.openxmlformats.org/officeDocument/2006/relationships/hyperlink" Target="https://www.nrg-farms.com/FarMS/harvest/reference?harvest_id=72975" TargetMode="External"/><Relationship Id="rId217" Type="http://schemas.openxmlformats.org/officeDocument/2006/relationships/hyperlink" Target="https://www.nrg-farms.com/FarMS/harvest/reference?harvest_id=72858" TargetMode="External"/><Relationship Id="rId564" Type="http://schemas.openxmlformats.org/officeDocument/2006/relationships/hyperlink" Target="https://www.nrg-farms.com/FarMS/harvest/reference?harvest_id=70997" TargetMode="External"/><Relationship Id="rId771" Type="http://schemas.openxmlformats.org/officeDocument/2006/relationships/hyperlink" Target="https://www.nrg-farms.com/FarMS/harvest/reference?harvest_id=70821" TargetMode="External"/><Relationship Id="rId424" Type="http://schemas.openxmlformats.org/officeDocument/2006/relationships/hyperlink" Target="https://www.nrg-farms.com/FarMS/harvest/reference?harvest_id=71680" TargetMode="External"/><Relationship Id="rId631" Type="http://schemas.openxmlformats.org/officeDocument/2006/relationships/hyperlink" Target="https://www.nrg-farms.com/FarMS/harvest/reference?harvest_id=71542" TargetMode="External"/><Relationship Id="rId729" Type="http://schemas.openxmlformats.org/officeDocument/2006/relationships/hyperlink" Target="https://www.nrg-farms.com/FarMS/harvest/reference?harvest_id=71014" TargetMode="External"/><Relationship Id="rId270" Type="http://schemas.openxmlformats.org/officeDocument/2006/relationships/hyperlink" Target="https://www.nrg-farms.com/FarMS/harvest/reference?harvest_id=72114" TargetMode="External"/><Relationship Id="rId65" Type="http://schemas.openxmlformats.org/officeDocument/2006/relationships/hyperlink" Target="https://www.nrg-farms.com/FarMS/harvest/reference?harvest_id=72964" TargetMode="External"/><Relationship Id="rId130" Type="http://schemas.openxmlformats.org/officeDocument/2006/relationships/hyperlink" Target="https://www.nrg-farms.com/FarMS/harvest/reference?harvest_id=73385" TargetMode="External"/><Relationship Id="rId368" Type="http://schemas.openxmlformats.org/officeDocument/2006/relationships/hyperlink" Target="https://www.nrg-farms.com/FarMS/harvest/reference?harvest_id=71928" TargetMode="External"/><Relationship Id="rId575" Type="http://schemas.openxmlformats.org/officeDocument/2006/relationships/hyperlink" Target="https://www.nrg-farms.com/FarMS/harvest/reference?harvest_id=71596" TargetMode="External"/><Relationship Id="rId782" Type="http://schemas.openxmlformats.org/officeDocument/2006/relationships/hyperlink" Target="https://www.nrg-farms.com/FarMS/harvest/reference?harvest_id=70810" TargetMode="External"/><Relationship Id="rId228" Type="http://schemas.openxmlformats.org/officeDocument/2006/relationships/hyperlink" Target="https://www.nrg-farms.com/FarMS/harvest/reference?harvest_id=72847" TargetMode="External"/><Relationship Id="rId435" Type="http://schemas.openxmlformats.org/officeDocument/2006/relationships/hyperlink" Target="https://www.nrg-farms.com/FarMS/harvest/reference?harvest_id=71669" TargetMode="External"/><Relationship Id="rId642" Type="http://schemas.openxmlformats.org/officeDocument/2006/relationships/hyperlink" Target="https://www.nrg-farms.com/FarMS/harvest/reference?harvest_id=71531" TargetMode="External"/><Relationship Id="rId281" Type="http://schemas.openxmlformats.org/officeDocument/2006/relationships/hyperlink" Target="https://www.nrg-farms.com/FarMS/harvest/reference?harvest_id=72103" TargetMode="External"/><Relationship Id="rId502" Type="http://schemas.openxmlformats.org/officeDocument/2006/relationships/hyperlink" Target="https://www.nrg-farms.com/FarMS/harvest/reference?harvest_id=71607" TargetMode="External"/><Relationship Id="rId76" Type="http://schemas.openxmlformats.org/officeDocument/2006/relationships/hyperlink" Target="https://www.nrg-farms.com/FarMS/harvest/reference?harvest_id=72956" TargetMode="External"/><Relationship Id="rId141" Type="http://schemas.openxmlformats.org/officeDocument/2006/relationships/hyperlink" Target="https://www.nrg-farms.com/FarMS/harvest/reference?harvest_id=73358" TargetMode="External"/><Relationship Id="rId379" Type="http://schemas.openxmlformats.org/officeDocument/2006/relationships/hyperlink" Target="https://www.nrg-farms.com/FarMS/harvest/reference?harvest_id=71917" TargetMode="External"/><Relationship Id="rId586" Type="http://schemas.openxmlformats.org/officeDocument/2006/relationships/hyperlink" Target="https://www.nrg-farms.com/FarMS/harvest/reference?harvest_id=71585" TargetMode="External"/><Relationship Id="rId793" Type="http://schemas.openxmlformats.org/officeDocument/2006/relationships/hyperlink" Target="https://www.nrg-farms.com/FarMS/harvest/reference?harvest_id=70799" TargetMode="External"/><Relationship Id="rId7" Type="http://schemas.openxmlformats.org/officeDocument/2006/relationships/hyperlink" Target="https://www.nrg-farms.com/FarMS/harvest/reference?harvest_id=73473" TargetMode="External"/><Relationship Id="rId239" Type="http://schemas.openxmlformats.org/officeDocument/2006/relationships/hyperlink" Target="https://www.nrg-farms.com/FarMS/harvest/reference?harvest_id=72836" TargetMode="External"/><Relationship Id="rId446" Type="http://schemas.openxmlformats.org/officeDocument/2006/relationships/hyperlink" Target="https://www.nrg-farms.com/FarMS/harvest/reference?harvest_id=71663" TargetMode="External"/><Relationship Id="rId653" Type="http://schemas.openxmlformats.org/officeDocument/2006/relationships/hyperlink" Target="https://www.nrg-farms.com/FarMS/harvest/reference?harvest_id=71520" TargetMode="External"/><Relationship Id="rId292" Type="http://schemas.openxmlformats.org/officeDocument/2006/relationships/hyperlink" Target="https://www.nrg-farms.com/FarMS/harvest/reference?harvest_id=72092" TargetMode="External"/><Relationship Id="rId306" Type="http://schemas.openxmlformats.org/officeDocument/2006/relationships/hyperlink" Target="https://www.nrg-farms.com/FarMS/harvest/reference?harvest_id=72078" TargetMode="External"/><Relationship Id="rId87" Type="http://schemas.openxmlformats.org/officeDocument/2006/relationships/hyperlink" Target="https://www.nrg-farms.com/FarMS/harvest/reference?harvest_id=72945" TargetMode="External"/><Relationship Id="rId513" Type="http://schemas.openxmlformats.org/officeDocument/2006/relationships/hyperlink" Target="https://www.nrg-farms.com/FarMS/harvest/reference?harvest_id=70986" TargetMode="External"/><Relationship Id="rId597" Type="http://schemas.openxmlformats.org/officeDocument/2006/relationships/hyperlink" Target="https://www.nrg-farms.com/FarMS/harvest/reference?harvest_id=71574" TargetMode="External"/><Relationship Id="rId720" Type="http://schemas.openxmlformats.org/officeDocument/2006/relationships/hyperlink" Target="https://www.nrg-farms.com/FarMS/harvest/reference?harvest_id=71023" TargetMode="External"/><Relationship Id="rId152" Type="http://schemas.openxmlformats.org/officeDocument/2006/relationships/hyperlink" Target="https://www.nrg-farms.com/FarMS/harvest/reference?harvest_id=73347" TargetMode="External"/><Relationship Id="rId457" Type="http://schemas.openxmlformats.org/officeDocument/2006/relationships/hyperlink" Target="https://www.nrg-farms.com/FarMS/harvest/reference?harvest_id=71652" TargetMode="External"/><Relationship Id="rId664" Type="http://schemas.openxmlformats.org/officeDocument/2006/relationships/hyperlink" Target="https://www.nrg-farms.com/FarMS/harvest/reference?harvest_id=71509" TargetMode="External"/><Relationship Id="rId14" Type="http://schemas.openxmlformats.org/officeDocument/2006/relationships/hyperlink" Target="https://www.nrg-farms.com/FarMS/harvest/reference?harvest_id=73466" TargetMode="External"/><Relationship Id="rId317" Type="http://schemas.openxmlformats.org/officeDocument/2006/relationships/hyperlink" Target="https://www.nrg-farms.com/FarMS/harvest/reference?harvest_id=73379" TargetMode="External"/><Relationship Id="rId524" Type="http://schemas.openxmlformats.org/officeDocument/2006/relationships/hyperlink" Target="https://www.nrg-farms.com/FarMS/harvest/reference?harvest_id=70975" TargetMode="External"/><Relationship Id="rId731" Type="http://schemas.openxmlformats.org/officeDocument/2006/relationships/hyperlink" Target="https://www.nrg-farms.com/FarMS/harvest/reference?harvest_id=71012" TargetMode="External"/><Relationship Id="rId98" Type="http://schemas.openxmlformats.org/officeDocument/2006/relationships/hyperlink" Target="https://www.nrg-farms.com/FarMS/harvest/reference?harvest_id=72934" TargetMode="External"/><Relationship Id="rId163" Type="http://schemas.openxmlformats.org/officeDocument/2006/relationships/hyperlink" Target="https://www.nrg-farms.com/FarMS/harvest/reference?harvest_id=73336" TargetMode="External"/><Relationship Id="rId370" Type="http://schemas.openxmlformats.org/officeDocument/2006/relationships/hyperlink" Target="https://www.nrg-farms.com/FarMS/harvest/reference?harvest_id=71926" TargetMode="External"/><Relationship Id="rId230" Type="http://schemas.openxmlformats.org/officeDocument/2006/relationships/hyperlink" Target="https://www.nrg-farms.com/FarMS/harvest/reference?harvest_id=72845" TargetMode="External"/><Relationship Id="rId468" Type="http://schemas.openxmlformats.org/officeDocument/2006/relationships/hyperlink" Target="https://www.nrg-farms.com/FarMS/harvest/reference?harvest_id=71641" TargetMode="External"/><Relationship Id="rId675" Type="http://schemas.openxmlformats.org/officeDocument/2006/relationships/hyperlink" Target="https://www.nrg-farms.com/FarMS/harvest/reference?harvest_id=71495" TargetMode="External"/><Relationship Id="rId25" Type="http://schemas.openxmlformats.org/officeDocument/2006/relationships/hyperlink" Target="https://www.nrg-farms.com/FarMS/harvest/reference?harvest_id=73388" TargetMode="External"/><Relationship Id="rId328" Type="http://schemas.openxmlformats.org/officeDocument/2006/relationships/hyperlink" Target="https://www.nrg-farms.com/FarMS/harvest/reference?harvest_id=72064" TargetMode="External"/><Relationship Id="rId535" Type="http://schemas.openxmlformats.org/officeDocument/2006/relationships/hyperlink" Target="https://www.nrg-farms.com/FarMS/harvest/reference?harvest_id=70964" TargetMode="External"/><Relationship Id="rId742" Type="http://schemas.openxmlformats.org/officeDocument/2006/relationships/hyperlink" Target="https://www.nrg-farms.com/FarMS/harvest/reference?harvest_id=70850" TargetMode="External"/><Relationship Id="rId174" Type="http://schemas.openxmlformats.org/officeDocument/2006/relationships/hyperlink" Target="https://www.nrg-farms.com/FarMS/harvest/reference?harvest_id=72901" TargetMode="External"/><Relationship Id="rId381" Type="http://schemas.openxmlformats.org/officeDocument/2006/relationships/hyperlink" Target="https://www.nrg-farms.com/FarMS/harvest/reference?harvest_id=71915" TargetMode="External"/><Relationship Id="rId602" Type="http://schemas.openxmlformats.org/officeDocument/2006/relationships/hyperlink" Target="https://www.nrg-farms.com/FarMS/harvest/reference?harvest_id=71569" TargetMode="External"/><Relationship Id="rId241" Type="http://schemas.openxmlformats.org/officeDocument/2006/relationships/hyperlink" Target="https://www.nrg-farms.com/FarMS/harvest/reference?harvest_id=72834" TargetMode="External"/><Relationship Id="rId479" Type="http://schemas.openxmlformats.org/officeDocument/2006/relationships/hyperlink" Target="https://www.nrg-farms.com/FarMS/harvest/reference?harvest_id=71630" TargetMode="External"/><Relationship Id="rId686" Type="http://schemas.openxmlformats.org/officeDocument/2006/relationships/hyperlink" Target="https://www.nrg-farms.com/FarMS/harvest/reference?harvest_id=71231" TargetMode="External"/><Relationship Id="rId36" Type="http://schemas.openxmlformats.org/officeDocument/2006/relationships/hyperlink" Target="https://www.nrg-farms.com/FarMS/harvest/reference?harvest_id=72994" TargetMode="External"/><Relationship Id="rId339" Type="http://schemas.openxmlformats.org/officeDocument/2006/relationships/hyperlink" Target="https://www.nrg-farms.com/FarMS/harvest/reference?harvest_id=72053" TargetMode="External"/><Relationship Id="rId546" Type="http://schemas.openxmlformats.org/officeDocument/2006/relationships/hyperlink" Target="https://www.nrg-farms.com/FarMS/harvest/reference?harvest_id=70953" TargetMode="External"/><Relationship Id="rId753" Type="http://schemas.openxmlformats.org/officeDocument/2006/relationships/hyperlink" Target="https://www.nrg-farms.com/FarMS/harvest/reference?harvest_id=70839" TargetMode="External"/><Relationship Id="rId101" Type="http://schemas.openxmlformats.org/officeDocument/2006/relationships/hyperlink" Target="https://www.nrg-farms.com/FarMS/harvest/reference?harvest_id=72931" TargetMode="External"/><Relationship Id="rId185" Type="http://schemas.openxmlformats.org/officeDocument/2006/relationships/hyperlink" Target="https://www.nrg-farms.com/FarMS/harvest/reference?harvest_id=72890" TargetMode="External"/><Relationship Id="rId406" Type="http://schemas.openxmlformats.org/officeDocument/2006/relationships/hyperlink" Target="https://www.nrg-farms.com/FarMS/harvest/reference?harvest_id=71698" TargetMode="External"/><Relationship Id="rId392" Type="http://schemas.openxmlformats.org/officeDocument/2006/relationships/hyperlink" Target="https://www.nrg-farms.com/FarMS/harvest/reference?harvest_id=71873" TargetMode="External"/><Relationship Id="rId613" Type="http://schemas.openxmlformats.org/officeDocument/2006/relationships/hyperlink" Target="https://www.nrg-farms.com/FarMS/harvest/reference?harvest_id=71560" TargetMode="External"/><Relationship Id="rId697" Type="http://schemas.openxmlformats.org/officeDocument/2006/relationships/hyperlink" Target="https://www.nrg-farms.com/FarMS/harvest/reference?harvest_id=71220" TargetMode="External"/><Relationship Id="rId252" Type="http://schemas.openxmlformats.org/officeDocument/2006/relationships/hyperlink" Target="https://www.nrg-farms.com/FarMS/harvest/reference?harvest_id=72823" TargetMode="External"/><Relationship Id="rId47" Type="http://schemas.openxmlformats.org/officeDocument/2006/relationships/hyperlink" Target="https://www.nrg-farms.com/FarMS/harvest/reference?harvest_id=72983" TargetMode="External"/><Relationship Id="rId112" Type="http://schemas.openxmlformats.org/officeDocument/2006/relationships/hyperlink" Target="https://www.nrg-farms.com/FarMS/harvest/reference?harvest_id=72920" TargetMode="External"/><Relationship Id="rId557" Type="http://schemas.openxmlformats.org/officeDocument/2006/relationships/hyperlink" Target="https://www.nrg-farms.com/FarMS/harvest/reference?harvest_id=71004" TargetMode="External"/><Relationship Id="rId764" Type="http://schemas.openxmlformats.org/officeDocument/2006/relationships/hyperlink" Target="https://www.nrg-farms.com/FarMS/harvest/reference?harvest_id=70828" TargetMode="External"/><Relationship Id="rId196" Type="http://schemas.openxmlformats.org/officeDocument/2006/relationships/hyperlink" Target="https://www.nrg-farms.com/FarMS/harvest/reference?harvest_id=72879" TargetMode="External"/><Relationship Id="rId417" Type="http://schemas.openxmlformats.org/officeDocument/2006/relationships/hyperlink" Target="https://www.nrg-farms.com/FarMS/harvest/reference?harvest_id=71687" TargetMode="External"/><Relationship Id="rId624" Type="http://schemas.openxmlformats.org/officeDocument/2006/relationships/hyperlink" Target="https://www.nrg-farms.com/FarMS/harvest/reference?harvest_id=71549" TargetMode="External"/><Relationship Id="rId263" Type="http://schemas.openxmlformats.org/officeDocument/2006/relationships/hyperlink" Target="https://www.nrg-farms.com/FarMS/harvest/reference?harvest_id=73447" TargetMode="External"/><Relationship Id="rId470" Type="http://schemas.openxmlformats.org/officeDocument/2006/relationships/hyperlink" Target="https://www.nrg-farms.com/FarMS/harvest/reference?harvest_id=71639" TargetMode="External"/><Relationship Id="rId58" Type="http://schemas.openxmlformats.org/officeDocument/2006/relationships/hyperlink" Target="https://www.nrg-farms.com/FarMS/harvest/reference?harvest_id=72971" TargetMode="External"/><Relationship Id="rId123" Type="http://schemas.openxmlformats.org/officeDocument/2006/relationships/hyperlink" Target="https://www.nrg-farms.com/FarMS/harvest/reference?harvest_id=72909" TargetMode="External"/><Relationship Id="rId330" Type="http://schemas.openxmlformats.org/officeDocument/2006/relationships/hyperlink" Target="https://www.nrg-farms.com/FarMS/harvest/reference?harvest_id=72062" TargetMode="External"/><Relationship Id="rId568" Type="http://schemas.openxmlformats.org/officeDocument/2006/relationships/hyperlink" Target="https://www.nrg-farms.com/FarMS/harvest/reference?harvest_id=70993" TargetMode="External"/><Relationship Id="rId775" Type="http://schemas.openxmlformats.org/officeDocument/2006/relationships/hyperlink" Target="https://www.nrg-farms.com/FarMS/harvest/reference?harvest_id=70817" TargetMode="External"/><Relationship Id="rId428" Type="http://schemas.openxmlformats.org/officeDocument/2006/relationships/hyperlink" Target="https://www.nrg-farms.com/FarMS/harvest/reference?harvest_id=71676" TargetMode="External"/><Relationship Id="rId635" Type="http://schemas.openxmlformats.org/officeDocument/2006/relationships/hyperlink" Target="https://www.nrg-farms.com/FarMS/harvest/reference?harvest_id=71538" TargetMode="External"/><Relationship Id="rId274" Type="http://schemas.openxmlformats.org/officeDocument/2006/relationships/hyperlink" Target="https://www.nrg-farms.com/FarMS/harvest/reference?harvest_id=72110" TargetMode="External"/><Relationship Id="rId481" Type="http://schemas.openxmlformats.org/officeDocument/2006/relationships/hyperlink" Target="https://www.nrg-farms.com/FarMS/harvest/reference?harvest_id=71628" TargetMode="External"/><Relationship Id="rId702" Type="http://schemas.openxmlformats.org/officeDocument/2006/relationships/hyperlink" Target="https://www.nrg-farms.com/FarMS/harvest/reference?harvest_id=71041" TargetMode="External"/><Relationship Id="rId69" Type="http://schemas.openxmlformats.org/officeDocument/2006/relationships/hyperlink" Target="https://www.nrg-farms.com/FarMS/harvest/reference?harvest_id=73454" TargetMode="External"/><Relationship Id="rId134" Type="http://schemas.openxmlformats.org/officeDocument/2006/relationships/hyperlink" Target="https://www.nrg-farms.com/FarMS/harvest/reference?harvest_id=73365" TargetMode="External"/><Relationship Id="rId579" Type="http://schemas.openxmlformats.org/officeDocument/2006/relationships/hyperlink" Target="https://www.nrg-farms.com/FarMS/harvest/reference?harvest_id=71592" TargetMode="External"/><Relationship Id="rId786" Type="http://schemas.openxmlformats.org/officeDocument/2006/relationships/hyperlink" Target="https://www.nrg-farms.com/FarMS/harvest/reference?harvest_id=70806" TargetMode="External"/><Relationship Id="rId341" Type="http://schemas.openxmlformats.org/officeDocument/2006/relationships/hyperlink" Target="https://www.nrg-farms.com/FarMS/harvest/reference?harvest_id=72051" TargetMode="External"/><Relationship Id="rId439" Type="http://schemas.openxmlformats.org/officeDocument/2006/relationships/hyperlink" Target="https://www.nrg-farms.com/FarMS/harvest/reference?harvest_id=71665" TargetMode="External"/><Relationship Id="rId646" Type="http://schemas.openxmlformats.org/officeDocument/2006/relationships/hyperlink" Target="https://www.nrg-farms.com/FarMS/harvest/reference?harvest_id=71527" TargetMode="External"/><Relationship Id="rId201" Type="http://schemas.openxmlformats.org/officeDocument/2006/relationships/hyperlink" Target="https://www.nrg-farms.com/FarMS/harvest/reference?harvest_id=72874" TargetMode="External"/><Relationship Id="rId285" Type="http://schemas.openxmlformats.org/officeDocument/2006/relationships/hyperlink" Target="https://www.nrg-farms.com/FarMS/harvest/reference?harvest_id=72099" TargetMode="External"/><Relationship Id="rId506" Type="http://schemas.openxmlformats.org/officeDocument/2006/relationships/hyperlink" Target="https://www.nrg-farms.com/FarMS/harvest/reference?harvest_id=71603" TargetMode="External"/><Relationship Id="rId492" Type="http://schemas.openxmlformats.org/officeDocument/2006/relationships/hyperlink" Target="https://www.nrg-farms.com/FarMS/harvest/reference?harvest_id=71617" TargetMode="External"/><Relationship Id="rId713" Type="http://schemas.openxmlformats.org/officeDocument/2006/relationships/hyperlink" Target="https://www.nrg-farms.com/FarMS/harvest/reference?harvest_id=71030" TargetMode="External"/><Relationship Id="rId797" Type="http://schemas.openxmlformats.org/officeDocument/2006/relationships/hyperlink" Target="https://www.nrg-farms.com/FarMS/harvest/reference?harvest_id=70795" TargetMode="External"/><Relationship Id="rId145" Type="http://schemas.openxmlformats.org/officeDocument/2006/relationships/hyperlink" Target="https://www.nrg-farms.com/FarMS/harvest/reference?harvest_id=73354" TargetMode="External"/><Relationship Id="rId352" Type="http://schemas.openxmlformats.org/officeDocument/2006/relationships/hyperlink" Target="https://www.nrg-farms.com/FarMS/harvest/reference?harvest_id=72035" TargetMode="External"/><Relationship Id="rId212" Type="http://schemas.openxmlformats.org/officeDocument/2006/relationships/hyperlink" Target="https://www.nrg-farms.com/FarMS/harvest/reference?harvest_id=72863" TargetMode="External"/><Relationship Id="rId657" Type="http://schemas.openxmlformats.org/officeDocument/2006/relationships/hyperlink" Target="https://www.nrg-farms.com/FarMS/harvest/reference?harvest_id=71516" TargetMode="External"/><Relationship Id="rId296" Type="http://schemas.openxmlformats.org/officeDocument/2006/relationships/hyperlink" Target="https://www.nrg-farms.com/FarMS/harvest/reference?harvest_id=72088" TargetMode="External"/><Relationship Id="rId517" Type="http://schemas.openxmlformats.org/officeDocument/2006/relationships/hyperlink" Target="https://www.nrg-farms.com/FarMS/harvest/reference?harvest_id=70982" TargetMode="External"/><Relationship Id="rId724" Type="http://schemas.openxmlformats.org/officeDocument/2006/relationships/hyperlink" Target="https://www.nrg-farms.com/FarMS/harvest/reference?harvest_id=71019" TargetMode="External"/><Relationship Id="rId60" Type="http://schemas.openxmlformats.org/officeDocument/2006/relationships/hyperlink" Target="https://www.nrg-farms.com/FarMS/harvest/reference?harvest_id=72969" TargetMode="External"/><Relationship Id="rId156" Type="http://schemas.openxmlformats.org/officeDocument/2006/relationships/hyperlink" Target="https://www.nrg-farms.com/FarMS/harvest/reference?harvest_id=73343" TargetMode="External"/><Relationship Id="rId363" Type="http://schemas.openxmlformats.org/officeDocument/2006/relationships/hyperlink" Target="https://www.nrg-farms.com/FarMS/harvest/reference?harvest_id=72024" TargetMode="External"/><Relationship Id="rId570" Type="http://schemas.openxmlformats.org/officeDocument/2006/relationships/hyperlink" Target="https://www.nrg-farms.com/FarMS/harvest/reference?harvest_id=70991" TargetMode="External"/><Relationship Id="rId223" Type="http://schemas.openxmlformats.org/officeDocument/2006/relationships/hyperlink" Target="https://www.nrg-farms.com/FarMS/harvest/reference?harvest_id=72852" TargetMode="External"/><Relationship Id="rId430" Type="http://schemas.openxmlformats.org/officeDocument/2006/relationships/hyperlink" Target="https://www.nrg-farms.com/FarMS/harvest/reference?harvest_id=71674" TargetMode="External"/><Relationship Id="rId668" Type="http://schemas.openxmlformats.org/officeDocument/2006/relationships/hyperlink" Target="https://www.nrg-farms.com/FarMS/harvest/reference?harvest_id=71505" TargetMode="External"/><Relationship Id="rId18" Type="http://schemas.openxmlformats.org/officeDocument/2006/relationships/hyperlink" Target="https://www.nrg-farms.com/FarMS/harvest/reference?harvest_id=73462" TargetMode="External"/><Relationship Id="rId528" Type="http://schemas.openxmlformats.org/officeDocument/2006/relationships/hyperlink" Target="https://www.nrg-farms.com/FarMS/harvest/reference?harvest_id=70971" TargetMode="External"/><Relationship Id="rId735" Type="http://schemas.openxmlformats.org/officeDocument/2006/relationships/hyperlink" Target="https://www.nrg-farms.com/FarMS/harvest/reference?harvest_id=70857" TargetMode="External"/><Relationship Id="rId167" Type="http://schemas.openxmlformats.org/officeDocument/2006/relationships/hyperlink" Target="https://www.nrg-farms.com/FarMS/harvest/reference?harvest_id=73332" TargetMode="External"/><Relationship Id="rId374" Type="http://schemas.openxmlformats.org/officeDocument/2006/relationships/hyperlink" Target="https://www.nrg-farms.com/FarMS/harvest/reference?harvest_id=71922" TargetMode="External"/><Relationship Id="rId581" Type="http://schemas.openxmlformats.org/officeDocument/2006/relationships/hyperlink" Target="https://www.nrg-farms.com/FarMS/harvest/reference?harvest_id=71590" TargetMode="External"/><Relationship Id="rId71" Type="http://schemas.openxmlformats.org/officeDocument/2006/relationships/hyperlink" Target="https://www.nrg-farms.com/FarMS/harvest/reference?harvest_id=72961" TargetMode="External"/><Relationship Id="rId234" Type="http://schemas.openxmlformats.org/officeDocument/2006/relationships/hyperlink" Target="https://www.nrg-farms.com/FarMS/harvest/reference?harvest_id=72841" TargetMode="External"/><Relationship Id="rId679" Type="http://schemas.openxmlformats.org/officeDocument/2006/relationships/hyperlink" Target="https://www.nrg-farms.com/FarMS/harvest/reference?harvest_id=71238" TargetMode="External"/><Relationship Id="rId802" Type="http://schemas.openxmlformats.org/officeDocument/2006/relationships/hyperlink" Target="https://www.nrg-farms.com/FarMS/harvest/reference?harvest_id=70790" TargetMode="External"/><Relationship Id="rId2" Type="http://schemas.openxmlformats.org/officeDocument/2006/relationships/hyperlink" Target="https://www.nrg-farms.com/FarMS/harvest/reference?harvest_id=73478" TargetMode="External"/><Relationship Id="rId29" Type="http://schemas.openxmlformats.org/officeDocument/2006/relationships/hyperlink" Target="https://www.nrg-farms.com/FarMS/harvest/reference?harvest_id=73456" TargetMode="External"/><Relationship Id="rId441" Type="http://schemas.openxmlformats.org/officeDocument/2006/relationships/hyperlink" Target="https://www.nrg-farms.com/FarMS/harvest/reference?harvest_id=71501" TargetMode="External"/><Relationship Id="rId539" Type="http://schemas.openxmlformats.org/officeDocument/2006/relationships/hyperlink" Target="https://www.nrg-farms.com/FarMS/harvest/reference?harvest_id=70960" TargetMode="External"/><Relationship Id="rId746" Type="http://schemas.openxmlformats.org/officeDocument/2006/relationships/hyperlink" Target="https://www.nrg-farms.com/FarMS/harvest/reference?harvest_id=70846" TargetMode="External"/><Relationship Id="rId178" Type="http://schemas.openxmlformats.org/officeDocument/2006/relationships/hyperlink" Target="https://www.nrg-farms.com/FarMS/harvest/reference?harvest_id=72897" TargetMode="External"/><Relationship Id="rId301" Type="http://schemas.openxmlformats.org/officeDocument/2006/relationships/hyperlink" Target="https://www.nrg-farms.com/FarMS/harvest/reference?harvest_id=72083" TargetMode="External"/><Relationship Id="rId82" Type="http://schemas.openxmlformats.org/officeDocument/2006/relationships/hyperlink" Target="https://www.nrg-farms.com/FarMS/harvest/reference?harvest_id=72950" TargetMode="External"/><Relationship Id="rId385" Type="http://schemas.openxmlformats.org/officeDocument/2006/relationships/hyperlink" Target="https://www.nrg-farms.com/FarMS/harvest/reference?harvest_id=71880" TargetMode="External"/><Relationship Id="rId592" Type="http://schemas.openxmlformats.org/officeDocument/2006/relationships/hyperlink" Target="https://www.nrg-farms.com/FarMS/harvest/reference?harvest_id=71579" TargetMode="External"/><Relationship Id="rId606" Type="http://schemas.openxmlformats.org/officeDocument/2006/relationships/hyperlink" Target="https://www.nrg-farms.com/FarMS/harvest/reference?harvest_id=71565" TargetMode="External"/><Relationship Id="rId245" Type="http://schemas.openxmlformats.org/officeDocument/2006/relationships/hyperlink" Target="https://www.nrg-farms.com/FarMS/harvest/reference?harvest_id=72830" TargetMode="External"/><Relationship Id="rId452" Type="http://schemas.openxmlformats.org/officeDocument/2006/relationships/hyperlink" Target="https://www.nrg-farms.com/FarMS/harvest/reference?harvest_id=71657" TargetMode="External"/><Relationship Id="rId105" Type="http://schemas.openxmlformats.org/officeDocument/2006/relationships/hyperlink" Target="https://www.nrg-farms.com/FarMS/harvest/reference?harvest_id=72927" TargetMode="External"/><Relationship Id="rId312" Type="http://schemas.openxmlformats.org/officeDocument/2006/relationships/hyperlink" Target="https://www.nrg-farms.com/FarMS/harvest/reference?harvest_id=72072" TargetMode="External"/><Relationship Id="rId757" Type="http://schemas.openxmlformats.org/officeDocument/2006/relationships/hyperlink" Target="https://www.nrg-farms.com/FarMS/harvest/reference?harvest_id=70835" TargetMode="External"/><Relationship Id="rId93" Type="http://schemas.openxmlformats.org/officeDocument/2006/relationships/hyperlink" Target="https://www.nrg-farms.com/FarMS/harvest/reference?harvest_id=72939" TargetMode="External"/><Relationship Id="rId189" Type="http://schemas.openxmlformats.org/officeDocument/2006/relationships/hyperlink" Target="https://www.nrg-farms.com/FarMS/harvest/reference?harvest_id=72886" TargetMode="External"/><Relationship Id="rId396" Type="http://schemas.openxmlformats.org/officeDocument/2006/relationships/hyperlink" Target="https://www.nrg-farms.com/FarMS/harvest/reference?harvest_id=71869" TargetMode="External"/><Relationship Id="rId617" Type="http://schemas.openxmlformats.org/officeDocument/2006/relationships/hyperlink" Target="https://www.nrg-farms.com/FarMS/harvest/reference?harvest_id=71556" TargetMode="External"/><Relationship Id="rId256" Type="http://schemas.openxmlformats.org/officeDocument/2006/relationships/hyperlink" Target="https://www.nrg-farms.com/FarMS/harvest/reference?harvest_id=72819" TargetMode="External"/><Relationship Id="rId463" Type="http://schemas.openxmlformats.org/officeDocument/2006/relationships/hyperlink" Target="https://www.nrg-farms.com/FarMS/harvest/reference?harvest_id=71646" TargetMode="External"/><Relationship Id="rId670" Type="http://schemas.openxmlformats.org/officeDocument/2006/relationships/hyperlink" Target="https://www.nrg-farms.com/FarMS/harvest/reference?harvest_id=71503" TargetMode="External"/><Relationship Id="rId116" Type="http://schemas.openxmlformats.org/officeDocument/2006/relationships/hyperlink" Target="https://www.nrg-farms.com/FarMS/harvest/reference?harvest_id=72916" TargetMode="External"/><Relationship Id="rId323" Type="http://schemas.openxmlformats.org/officeDocument/2006/relationships/hyperlink" Target="https://www.nrg-farms.com/FarMS/harvest/reference?harvest_id=72069" TargetMode="External"/><Relationship Id="rId530" Type="http://schemas.openxmlformats.org/officeDocument/2006/relationships/hyperlink" Target="https://www.nrg-farms.com/FarMS/harvest/reference?harvest_id=70969" TargetMode="External"/><Relationship Id="rId768" Type="http://schemas.openxmlformats.org/officeDocument/2006/relationships/hyperlink" Target="https://www.nrg-farms.com/FarMS/harvest/reference?harvest_id=70824" TargetMode="External"/><Relationship Id="rId20" Type="http://schemas.openxmlformats.org/officeDocument/2006/relationships/hyperlink" Target="https://www.nrg-farms.com/FarMS/harvest/reference?harvest_id=73460" TargetMode="External"/><Relationship Id="rId628" Type="http://schemas.openxmlformats.org/officeDocument/2006/relationships/hyperlink" Target="https://www.nrg-farms.com/FarMS/harvest/reference?harvest_id=71545" TargetMode="External"/><Relationship Id="rId267" Type="http://schemas.openxmlformats.org/officeDocument/2006/relationships/hyperlink" Target="https://www.nrg-farms.com/FarMS/harvest/reference?harvest_id=72117" TargetMode="External"/><Relationship Id="rId474" Type="http://schemas.openxmlformats.org/officeDocument/2006/relationships/hyperlink" Target="https://www.nrg-farms.com/FarMS/harvest/reference?harvest_id=71635" TargetMode="External"/><Relationship Id="rId127" Type="http://schemas.openxmlformats.org/officeDocument/2006/relationships/hyperlink" Target="https://www.nrg-farms.com/FarMS/harvest/reference?harvest_id=72905" TargetMode="External"/><Relationship Id="rId681" Type="http://schemas.openxmlformats.org/officeDocument/2006/relationships/hyperlink" Target="https://www.nrg-farms.com/FarMS/harvest/reference?harvest_id=71236" TargetMode="External"/><Relationship Id="rId779" Type="http://schemas.openxmlformats.org/officeDocument/2006/relationships/hyperlink" Target="https://www.nrg-farms.com/FarMS/harvest/reference?harvest_id=70813" TargetMode="External"/><Relationship Id="rId31" Type="http://schemas.openxmlformats.org/officeDocument/2006/relationships/hyperlink" Target="https://www.nrg-farms.com/FarMS/harvest/reference?harvest_id=73386" TargetMode="External"/><Relationship Id="rId334" Type="http://schemas.openxmlformats.org/officeDocument/2006/relationships/hyperlink" Target="https://www.nrg-farms.com/FarMS/harvest/reference?harvest_id=72058" TargetMode="External"/><Relationship Id="rId541" Type="http://schemas.openxmlformats.org/officeDocument/2006/relationships/hyperlink" Target="https://www.nrg-farms.com/FarMS/harvest/reference?harvest_id=70958" TargetMode="External"/><Relationship Id="rId639" Type="http://schemas.openxmlformats.org/officeDocument/2006/relationships/hyperlink" Target="https://www.nrg-farms.com/FarMS/harvest/reference?harvest_id=71534" TargetMode="External"/><Relationship Id="rId180" Type="http://schemas.openxmlformats.org/officeDocument/2006/relationships/hyperlink" Target="https://www.nrg-farms.com/FarMS/harvest/reference?harvest_id=72895" TargetMode="External"/><Relationship Id="rId278" Type="http://schemas.openxmlformats.org/officeDocument/2006/relationships/hyperlink" Target="https://www.nrg-farms.com/FarMS/harvest/reference?harvest_id=72106" TargetMode="External"/><Relationship Id="rId401" Type="http://schemas.openxmlformats.org/officeDocument/2006/relationships/hyperlink" Target="https://www.nrg-farms.com/FarMS/harvest/reference?harvest_id=71864" TargetMode="External"/><Relationship Id="rId485" Type="http://schemas.openxmlformats.org/officeDocument/2006/relationships/hyperlink" Target="https://www.nrg-farms.com/FarMS/harvest/reference?harvest_id=71624" TargetMode="External"/><Relationship Id="rId692" Type="http://schemas.openxmlformats.org/officeDocument/2006/relationships/hyperlink" Target="https://www.nrg-farms.com/FarMS/harvest/reference?harvest_id=71225" TargetMode="External"/><Relationship Id="rId706" Type="http://schemas.openxmlformats.org/officeDocument/2006/relationships/hyperlink" Target="https://www.nrg-farms.com/FarMS/harvest/reference?harvest_id=71037" TargetMode="External"/><Relationship Id="rId42" Type="http://schemas.openxmlformats.org/officeDocument/2006/relationships/hyperlink" Target="https://www.nrg-farms.com/FarMS/harvest/reference?harvest_id=72988" TargetMode="External"/><Relationship Id="rId138" Type="http://schemas.openxmlformats.org/officeDocument/2006/relationships/hyperlink" Target="https://www.nrg-farms.com/FarMS/harvest/reference?harvest_id=73361" TargetMode="External"/><Relationship Id="rId345" Type="http://schemas.openxmlformats.org/officeDocument/2006/relationships/hyperlink" Target="https://www.nrg-farms.com/FarMS/harvest/reference?harvest_id=72042" TargetMode="External"/><Relationship Id="rId552" Type="http://schemas.openxmlformats.org/officeDocument/2006/relationships/hyperlink" Target="https://www.nrg-farms.com/FarMS/harvest/reference?harvest_id=71009" TargetMode="External"/><Relationship Id="rId191" Type="http://schemas.openxmlformats.org/officeDocument/2006/relationships/hyperlink" Target="https://www.nrg-farms.com/FarMS/harvest/reference?harvest_id=72884" TargetMode="External"/><Relationship Id="rId205" Type="http://schemas.openxmlformats.org/officeDocument/2006/relationships/hyperlink" Target="https://www.nrg-farms.com/FarMS/harvest/reference?harvest_id=72870" TargetMode="External"/><Relationship Id="rId412" Type="http://schemas.openxmlformats.org/officeDocument/2006/relationships/hyperlink" Target="https://www.nrg-farms.com/FarMS/harvest/reference?harvest_id=71692" TargetMode="External"/><Relationship Id="rId289" Type="http://schemas.openxmlformats.org/officeDocument/2006/relationships/hyperlink" Target="https://www.nrg-farms.com/FarMS/harvest/reference?harvest_id=72095" TargetMode="External"/><Relationship Id="rId496" Type="http://schemas.openxmlformats.org/officeDocument/2006/relationships/hyperlink" Target="https://www.nrg-farms.com/FarMS/harvest/reference?harvest_id=71613" TargetMode="External"/><Relationship Id="rId717" Type="http://schemas.openxmlformats.org/officeDocument/2006/relationships/hyperlink" Target="https://www.nrg-farms.com/FarMS/harvest/reference?harvest_id=71026" TargetMode="External"/><Relationship Id="rId53" Type="http://schemas.openxmlformats.org/officeDocument/2006/relationships/hyperlink" Target="https://www.nrg-farms.com/FarMS/harvest/reference?harvest_id=72976" TargetMode="External"/><Relationship Id="rId149" Type="http://schemas.openxmlformats.org/officeDocument/2006/relationships/hyperlink" Target="https://www.nrg-farms.com/FarMS/harvest/reference?harvest_id=73350" TargetMode="External"/><Relationship Id="rId356" Type="http://schemas.openxmlformats.org/officeDocument/2006/relationships/hyperlink" Target="https://www.nrg-farms.com/FarMS/harvest/reference?harvest_id=72031" TargetMode="External"/><Relationship Id="rId563" Type="http://schemas.openxmlformats.org/officeDocument/2006/relationships/hyperlink" Target="https://www.nrg-farms.com/FarMS/harvest/reference?harvest_id=70998" TargetMode="External"/><Relationship Id="rId770" Type="http://schemas.openxmlformats.org/officeDocument/2006/relationships/hyperlink" Target="https://www.nrg-farms.com/FarMS/harvest/reference?harvest_id=70822" TargetMode="External"/><Relationship Id="rId216" Type="http://schemas.openxmlformats.org/officeDocument/2006/relationships/hyperlink" Target="https://www.nrg-farms.com/FarMS/harvest/reference?harvest_id=72859" TargetMode="External"/><Relationship Id="rId423" Type="http://schemas.openxmlformats.org/officeDocument/2006/relationships/hyperlink" Target="https://www.nrg-farms.com/FarMS/harvest/reference?harvest_id=71681" TargetMode="External"/><Relationship Id="rId630" Type="http://schemas.openxmlformats.org/officeDocument/2006/relationships/hyperlink" Target="https://www.nrg-farms.com/FarMS/harvest/reference?harvest_id=71543" TargetMode="External"/><Relationship Id="rId728" Type="http://schemas.openxmlformats.org/officeDocument/2006/relationships/hyperlink" Target="https://www.nrg-farms.com/FarMS/harvest/reference?harvest_id=71015" TargetMode="External"/><Relationship Id="rId64" Type="http://schemas.openxmlformats.org/officeDocument/2006/relationships/hyperlink" Target="https://www.nrg-farms.com/FarMS/harvest/reference?harvest_id=72965" TargetMode="External"/><Relationship Id="rId367" Type="http://schemas.openxmlformats.org/officeDocument/2006/relationships/hyperlink" Target="https://www.nrg-farms.com/FarMS/harvest/reference?harvest_id=71929" TargetMode="External"/><Relationship Id="rId574" Type="http://schemas.openxmlformats.org/officeDocument/2006/relationships/hyperlink" Target="https://www.nrg-farms.com/FarMS/harvest/reference?harvest_id=71597" TargetMode="External"/><Relationship Id="rId227" Type="http://schemas.openxmlformats.org/officeDocument/2006/relationships/hyperlink" Target="https://www.nrg-farms.com/FarMS/harvest/reference?harvest_id=72848" TargetMode="External"/><Relationship Id="rId781" Type="http://schemas.openxmlformats.org/officeDocument/2006/relationships/hyperlink" Target="https://www.nrg-farms.com/FarMS/harvest/reference?harvest_id=70811" TargetMode="External"/><Relationship Id="rId269" Type="http://schemas.openxmlformats.org/officeDocument/2006/relationships/hyperlink" Target="https://www.nrg-farms.com/FarMS/harvest/reference?harvest_id=72115" TargetMode="External"/><Relationship Id="rId434" Type="http://schemas.openxmlformats.org/officeDocument/2006/relationships/hyperlink" Target="https://www.nrg-farms.com/FarMS/harvest/reference?harvest_id=71670" TargetMode="External"/><Relationship Id="rId476" Type="http://schemas.openxmlformats.org/officeDocument/2006/relationships/hyperlink" Target="https://www.nrg-farms.com/FarMS/harvest/reference?harvest_id=71633" TargetMode="External"/><Relationship Id="rId641" Type="http://schemas.openxmlformats.org/officeDocument/2006/relationships/hyperlink" Target="https://www.nrg-farms.com/FarMS/harvest/reference?harvest_id=71532" TargetMode="External"/><Relationship Id="rId683" Type="http://schemas.openxmlformats.org/officeDocument/2006/relationships/hyperlink" Target="https://www.nrg-farms.com/FarMS/harvest/reference?harvest_id=71234" TargetMode="External"/><Relationship Id="rId739" Type="http://schemas.openxmlformats.org/officeDocument/2006/relationships/hyperlink" Target="https://www.nrg-farms.com/FarMS/harvest/reference?harvest_id=70853" TargetMode="External"/><Relationship Id="rId33" Type="http://schemas.openxmlformats.org/officeDocument/2006/relationships/hyperlink" Target="https://www.nrg-farms.com/FarMS/harvest/reference?harvest_id=72997" TargetMode="External"/><Relationship Id="rId129" Type="http://schemas.openxmlformats.org/officeDocument/2006/relationships/hyperlink" Target="https://www.nrg-farms.com/FarMS/harvest/reference?harvest_id=72903" TargetMode="External"/><Relationship Id="rId280" Type="http://schemas.openxmlformats.org/officeDocument/2006/relationships/hyperlink" Target="https://www.nrg-farms.com/FarMS/harvest/reference?harvest_id=72104" TargetMode="External"/><Relationship Id="rId336" Type="http://schemas.openxmlformats.org/officeDocument/2006/relationships/hyperlink" Target="https://www.nrg-farms.com/FarMS/harvest/reference?harvest_id=72056" TargetMode="External"/><Relationship Id="rId501" Type="http://schemas.openxmlformats.org/officeDocument/2006/relationships/hyperlink" Target="https://www.nrg-farms.com/FarMS/harvest/reference?harvest_id=71608" TargetMode="External"/><Relationship Id="rId543" Type="http://schemas.openxmlformats.org/officeDocument/2006/relationships/hyperlink" Target="https://www.nrg-farms.com/FarMS/harvest/reference?harvest_id=70956" TargetMode="External"/><Relationship Id="rId75" Type="http://schemas.openxmlformats.org/officeDocument/2006/relationships/hyperlink" Target="https://www.nrg-farms.com/FarMS/harvest/reference?harvest_id=72957" TargetMode="External"/><Relationship Id="rId140" Type="http://schemas.openxmlformats.org/officeDocument/2006/relationships/hyperlink" Target="https://www.nrg-farms.com/FarMS/harvest/reference?harvest_id=73359" TargetMode="External"/><Relationship Id="rId182" Type="http://schemas.openxmlformats.org/officeDocument/2006/relationships/hyperlink" Target="https://www.nrg-farms.com/FarMS/harvest/reference?harvest_id=72893" TargetMode="External"/><Relationship Id="rId378" Type="http://schemas.openxmlformats.org/officeDocument/2006/relationships/hyperlink" Target="https://www.nrg-farms.com/FarMS/harvest/reference?harvest_id=71918" TargetMode="External"/><Relationship Id="rId403" Type="http://schemas.openxmlformats.org/officeDocument/2006/relationships/hyperlink" Target="https://www.nrg-farms.com/FarMS/harvest/reference?harvest_id=71862" TargetMode="External"/><Relationship Id="rId585" Type="http://schemas.openxmlformats.org/officeDocument/2006/relationships/hyperlink" Target="https://www.nrg-farms.com/FarMS/harvest/reference?harvest_id=71586" TargetMode="External"/><Relationship Id="rId750" Type="http://schemas.openxmlformats.org/officeDocument/2006/relationships/hyperlink" Target="https://www.nrg-farms.com/FarMS/harvest/reference?harvest_id=70842" TargetMode="External"/><Relationship Id="rId792" Type="http://schemas.openxmlformats.org/officeDocument/2006/relationships/hyperlink" Target="https://www.nrg-farms.com/FarMS/harvest/reference?harvest_id=70800" TargetMode="External"/><Relationship Id="rId6" Type="http://schemas.openxmlformats.org/officeDocument/2006/relationships/hyperlink" Target="https://www.nrg-farms.com/FarMS/harvest/reference?harvest_id=73474" TargetMode="External"/><Relationship Id="rId238" Type="http://schemas.openxmlformats.org/officeDocument/2006/relationships/hyperlink" Target="https://www.nrg-farms.com/FarMS/harvest/reference?harvest_id=72837" TargetMode="External"/><Relationship Id="rId445" Type="http://schemas.openxmlformats.org/officeDocument/2006/relationships/hyperlink" Target="https://www.nrg-farms.com/FarMS/harvest/reference?harvest_id=71664" TargetMode="External"/><Relationship Id="rId487" Type="http://schemas.openxmlformats.org/officeDocument/2006/relationships/hyperlink" Target="https://www.nrg-farms.com/FarMS/harvest/reference?harvest_id=71622" TargetMode="External"/><Relationship Id="rId610" Type="http://schemas.openxmlformats.org/officeDocument/2006/relationships/hyperlink" Target="https://www.nrg-farms.com/FarMS/harvest/reference?harvest_id=71561" TargetMode="External"/><Relationship Id="rId652" Type="http://schemas.openxmlformats.org/officeDocument/2006/relationships/hyperlink" Target="https://www.nrg-farms.com/FarMS/harvest/reference?harvest_id=71521" TargetMode="External"/><Relationship Id="rId694" Type="http://schemas.openxmlformats.org/officeDocument/2006/relationships/hyperlink" Target="https://www.nrg-farms.com/FarMS/harvest/reference?harvest_id=71223" TargetMode="External"/><Relationship Id="rId708" Type="http://schemas.openxmlformats.org/officeDocument/2006/relationships/hyperlink" Target="https://www.nrg-farms.com/FarMS/harvest/reference?harvest_id=71035" TargetMode="External"/><Relationship Id="rId291" Type="http://schemas.openxmlformats.org/officeDocument/2006/relationships/hyperlink" Target="https://www.nrg-farms.com/FarMS/harvest/reference?harvest_id=72093" TargetMode="External"/><Relationship Id="rId305" Type="http://schemas.openxmlformats.org/officeDocument/2006/relationships/hyperlink" Target="https://www.nrg-farms.com/FarMS/harvest/reference?harvest_id=72079" TargetMode="External"/><Relationship Id="rId347" Type="http://schemas.openxmlformats.org/officeDocument/2006/relationships/hyperlink" Target="https://www.nrg-farms.com/FarMS/harvest/reference?harvest_id=72040" TargetMode="External"/><Relationship Id="rId512" Type="http://schemas.openxmlformats.org/officeDocument/2006/relationships/hyperlink" Target="https://www.nrg-farms.com/FarMS/harvest/reference?harvest_id=70987" TargetMode="External"/><Relationship Id="rId44" Type="http://schemas.openxmlformats.org/officeDocument/2006/relationships/hyperlink" Target="https://www.nrg-farms.com/FarMS/harvest/reference?harvest_id=72986" TargetMode="External"/><Relationship Id="rId86" Type="http://schemas.openxmlformats.org/officeDocument/2006/relationships/hyperlink" Target="https://www.nrg-farms.com/FarMS/harvest/reference?harvest_id=72946" TargetMode="External"/><Relationship Id="rId151" Type="http://schemas.openxmlformats.org/officeDocument/2006/relationships/hyperlink" Target="https://www.nrg-farms.com/FarMS/harvest/reference?harvest_id=73348" TargetMode="External"/><Relationship Id="rId389" Type="http://schemas.openxmlformats.org/officeDocument/2006/relationships/hyperlink" Target="https://www.nrg-farms.com/FarMS/harvest/reference?harvest_id=71876" TargetMode="External"/><Relationship Id="rId554" Type="http://schemas.openxmlformats.org/officeDocument/2006/relationships/hyperlink" Target="https://www.nrg-farms.com/FarMS/harvest/reference?harvest_id=71007" TargetMode="External"/><Relationship Id="rId596" Type="http://schemas.openxmlformats.org/officeDocument/2006/relationships/hyperlink" Target="https://www.nrg-farms.com/FarMS/harvest/reference?harvest_id=71575" TargetMode="External"/><Relationship Id="rId761" Type="http://schemas.openxmlformats.org/officeDocument/2006/relationships/hyperlink" Target="https://www.nrg-farms.com/FarMS/harvest/reference?harvest_id=70831" TargetMode="External"/><Relationship Id="rId193" Type="http://schemas.openxmlformats.org/officeDocument/2006/relationships/hyperlink" Target="https://www.nrg-farms.com/FarMS/harvest/reference?harvest_id=72882" TargetMode="External"/><Relationship Id="rId207" Type="http://schemas.openxmlformats.org/officeDocument/2006/relationships/hyperlink" Target="https://www.nrg-farms.com/FarMS/harvest/reference?harvest_id=72868" TargetMode="External"/><Relationship Id="rId249" Type="http://schemas.openxmlformats.org/officeDocument/2006/relationships/hyperlink" Target="https://www.nrg-farms.com/FarMS/harvest/reference?harvest_id=72826" TargetMode="External"/><Relationship Id="rId414" Type="http://schemas.openxmlformats.org/officeDocument/2006/relationships/hyperlink" Target="https://www.nrg-farms.com/FarMS/harvest/reference?harvest_id=71690" TargetMode="External"/><Relationship Id="rId456" Type="http://schemas.openxmlformats.org/officeDocument/2006/relationships/hyperlink" Target="https://www.nrg-farms.com/FarMS/harvest/reference?harvest_id=71653" TargetMode="External"/><Relationship Id="rId498" Type="http://schemas.openxmlformats.org/officeDocument/2006/relationships/hyperlink" Target="https://www.nrg-farms.com/FarMS/harvest/reference?harvest_id=71611" TargetMode="External"/><Relationship Id="rId621" Type="http://schemas.openxmlformats.org/officeDocument/2006/relationships/hyperlink" Target="https://www.nrg-farms.com/FarMS/harvest/reference?harvest_id=71552" TargetMode="External"/><Relationship Id="rId663" Type="http://schemas.openxmlformats.org/officeDocument/2006/relationships/hyperlink" Target="https://www.nrg-farms.com/FarMS/harvest/reference?harvest_id=71510" TargetMode="External"/><Relationship Id="rId13" Type="http://schemas.openxmlformats.org/officeDocument/2006/relationships/hyperlink" Target="https://www.nrg-farms.com/FarMS/harvest/reference?harvest_id=73467" TargetMode="External"/><Relationship Id="rId109" Type="http://schemas.openxmlformats.org/officeDocument/2006/relationships/hyperlink" Target="https://www.nrg-farms.com/FarMS/harvest/reference?harvest_id=72923" TargetMode="External"/><Relationship Id="rId260" Type="http://schemas.openxmlformats.org/officeDocument/2006/relationships/hyperlink" Target="https://www.nrg-farms.com/FarMS/harvest/reference?harvest_id=72815" TargetMode="External"/><Relationship Id="rId316" Type="http://schemas.openxmlformats.org/officeDocument/2006/relationships/hyperlink" Target="https://www.nrg-farms.com/FarMS/harvest/reference?harvest_id=73380" TargetMode="External"/><Relationship Id="rId523" Type="http://schemas.openxmlformats.org/officeDocument/2006/relationships/hyperlink" Target="https://www.nrg-farms.com/FarMS/harvest/reference?harvest_id=70976" TargetMode="External"/><Relationship Id="rId719" Type="http://schemas.openxmlformats.org/officeDocument/2006/relationships/hyperlink" Target="https://www.nrg-farms.com/FarMS/harvest/reference?harvest_id=71024" TargetMode="External"/><Relationship Id="rId55" Type="http://schemas.openxmlformats.org/officeDocument/2006/relationships/hyperlink" Target="https://www.nrg-farms.com/FarMS/harvest/reference?harvest_id=72974" TargetMode="External"/><Relationship Id="rId97" Type="http://schemas.openxmlformats.org/officeDocument/2006/relationships/hyperlink" Target="https://www.nrg-farms.com/FarMS/harvest/reference?harvest_id=72935" TargetMode="External"/><Relationship Id="rId120" Type="http://schemas.openxmlformats.org/officeDocument/2006/relationships/hyperlink" Target="https://www.nrg-farms.com/FarMS/harvest/reference?harvest_id=72912" TargetMode="External"/><Relationship Id="rId358" Type="http://schemas.openxmlformats.org/officeDocument/2006/relationships/hyperlink" Target="https://www.nrg-farms.com/FarMS/harvest/reference?harvest_id=72029" TargetMode="External"/><Relationship Id="rId565" Type="http://schemas.openxmlformats.org/officeDocument/2006/relationships/hyperlink" Target="https://www.nrg-farms.com/FarMS/harvest/reference?harvest_id=70996" TargetMode="External"/><Relationship Id="rId730" Type="http://schemas.openxmlformats.org/officeDocument/2006/relationships/hyperlink" Target="https://www.nrg-farms.com/FarMS/harvest/reference?harvest_id=71013" TargetMode="External"/><Relationship Id="rId772" Type="http://schemas.openxmlformats.org/officeDocument/2006/relationships/hyperlink" Target="https://www.nrg-farms.com/FarMS/harvest/reference?harvest_id=70820" TargetMode="External"/><Relationship Id="rId162" Type="http://schemas.openxmlformats.org/officeDocument/2006/relationships/hyperlink" Target="https://www.nrg-farms.com/FarMS/harvest/reference?harvest_id=73337" TargetMode="External"/><Relationship Id="rId218" Type="http://schemas.openxmlformats.org/officeDocument/2006/relationships/hyperlink" Target="https://www.nrg-farms.com/FarMS/harvest/reference?harvest_id=72857" TargetMode="External"/><Relationship Id="rId425" Type="http://schemas.openxmlformats.org/officeDocument/2006/relationships/hyperlink" Target="https://www.nrg-farms.com/FarMS/harvest/reference?harvest_id=71679" TargetMode="External"/><Relationship Id="rId467" Type="http://schemas.openxmlformats.org/officeDocument/2006/relationships/hyperlink" Target="https://www.nrg-farms.com/FarMS/harvest/reference?harvest_id=71642" TargetMode="External"/><Relationship Id="rId632" Type="http://schemas.openxmlformats.org/officeDocument/2006/relationships/hyperlink" Target="https://www.nrg-farms.com/FarMS/harvest/reference?harvest_id=71541" TargetMode="External"/><Relationship Id="rId271" Type="http://schemas.openxmlformats.org/officeDocument/2006/relationships/hyperlink" Target="https://www.nrg-farms.com/FarMS/harvest/reference?harvest_id=72113" TargetMode="External"/><Relationship Id="rId674" Type="http://schemas.openxmlformats.org/officeDocument/2006/relationships/hyperlink" Target="https://www.nrg-farms.com/FarMS/harvest/reference?harvest_id=71496" TargetMode="External"/><Relationship Id="rId24" Type="http://schemas.openxmlformats.org/officeDocument/2006/relationships/hyperlink" Target="https://www.nrg-farms.com/FarMS/harvest/reference?harvest_id=73389" TargetMode="External"/><Relationship Id="rId66" Type="http://schemas.openxmlformats.org/officeDocument/2006/relationships/hyperlink" Target="https://www.nrg-farms.com/FarMS/harvest/reference?harvest_id=72963" TargetMode="External"/><Relationship Id="rId131" Type="http://schemas.openxmlformats.org/officeDocument/2006/relationships/hyperlink" Target="https://www.nrg-farms.com/FarMS/harvest/reference?harvest_id=73384" TargetMode="External"/><Relationship Id="rId327" Type="http://schemas.openxmlformats.org/officeDocument/2006/relationships/hyperlink" Target="https://www.nrg-farms.com/FarMS/harvest/reference?harvest_id=72065" TargetMode="External"/><Relationship Id="rId369" Type="http://schemas.openxmlformats.org/officeDocument/2006/relationships/hyperlink" Target="https://www.nrg-farms.com/FarMS/harvest/reference?harvest_id=71927" TargetMode="External"/><Relationship Id="rId534" Type="http://schemas.openxmlformats.org/officeDocument/2006/relationships/hyperlink" Target="https://www.nrg-farms.com/FarMS/harvest/reference?harvest_id=70965" TargetMode="External"/><Relationship Id="rId576" Type="http://schemas.openxmlformats.org/officeDocument/2006/relationships/hyperlink" Target="https://www.nrg-farms.com/FarMS/harvest/reference?harvest_id=71595" TargetMode="External"/><Relationship Id="rId741" Type="http://schemas.openxmlformats.org/officeDocument/2006/relationships/hyperlink" Target="https://www.nrg-farms.com/FarMS/harvest/reference?harvest_id=70851" TargetMode="External"/><Relationship Id="rId783" Type="http://schemas.openxmlformats.org/officeDocument/2006/relationships/hyperlink" Target="https://www.nrg-farms.com/FarMS/harvest/reference?harvest_id=70809" TargetMode="External"/><Relationship Id="rId173" Type="http://schemas.openxmlformats.org/officeDocument/2006/relationships/hyperlink" Target="https://www.nrg-farms.com/FarMS/harvest/reference?harvest_id=72902" TargetMode="External"/><Relationship Id="rId229" Type="http://schemas.openxmlformats.org/officeDocument/2006/relationships/hyperlink" Target="https://www.nrg-farms.com/FarMS/harvest/reference?harvest_id=72846" TargetMode="External"/><Relationship Id="rId380" Type="http://schemas.openxmlformats.org/officeDocument/2006/relationships/hyperlink" Target="https://www.nrg-farms.com/FarMS/harvest/reference?harvest_id=71916" TargetMode="External"/><Relationship Id="rId436" Type="http://schemas.openxmlformats.org/officeDocument/2006/relationships/hyperlink" Target="https://www.nrg-farms.com/FarMS/harvest/reference?harvest_id=71668" TargetMode="External"/><Relationship Id="rId601" Type="http://schemas.openxmlformats.org/officeDocument/2006/relationships/hyperlink" Target="https://www.nrg-farms.com/FarMS/harvest/reference?harvest_id=71570" TargetMode="External"/><Relationship Id="rId643" Type="http://schemas.openxmlformats.org/officeDocument/2006/relationships/hyperlink" Target="https://www.nrg-farms.com/FarMS/harvest/reference?harvest_id=71530" TargetMode="External"/><Relationship Id="rId240" Type="http://schemas.openxmlformats.org/officeDocument/2006/relationships/hyperlink" Target="https://www.nrg-farms.com/FarMS/harvest/reference?harvest_id=72835" TargetMode="External"/><Relationship Id="rId478" Type="http://schemas.openxmlformats.org/officeDocument/2006/relationships/hyperlink" Target="https://www.nrg-farms.com/FarMS/harvest/reference?harvest_id=71631" TargetMode="External"/><Relationship Id="rId685" Type="http://schemas.openxmlformats.org/officeDocument/2006/relationships/hyperlink" Target="https://www.nrg-farms.com/FarMS/harvest/reference?harvest_id=71232" TargetMode="External"/><Relationship Id="rId35" Type="http://schemas.openxmlformats.org/officeDocument/2006/relationships/hyperlink" Target="https://www.nrg-farms.com/FarMS/harvest/reference?harvest_id=72995" TargetMode="External"/><Relationship Id="rId77" Type="http://schemas.openxmlformats.org/officeDocument/2006/relationships/hyperlink" Target="https://www.nrg-farms.com/FarMS/harvest/reference?harvest_id=72955" TargetMode="External"/><Relationship Id="rId100" Type="http://schemas.openxmlformats.org/officeDocument/2006/relationships/hyperlink" Target="https://www.nrg-farms.com/FarMS/harvest/reference?harvest_id=72932" TargetMode="External"/><Relationship Id="rId282" Type="http://schemas.openxmlformats.org/officeDocument/2006/relationships/hyperlink" Target="https://www.nrg-farms.com/FarMS/harvest/reference?harvest_id=72102" TargetMode="External"/><Relationship Id="rId338" Type="http://schemas.openxmlformats.org/officeDocument/2006/relationships/hyperlink" Target="https://www.nrg-farms.com/FarMS/harvest/reference?harvest_id=72054" TargetMode="External"/><Relationship Id="rId503" Type="http://schemas.openxmlformats.org/officeDocument/2006/relationships/hyperlink" Target="https://www.nrg-farms.com/FarMS/harvest/reference?harvest_id=71606" TargetMode="External"/><Relationship Id="rId545" Type="http://schemas.openxmlformats.org/officeDocument/2006/relationships/hyperlink" Target="https://www.nrg-farms.com/FarMS/harvest/reference?harvest_id=70954" TargetMode="External"/><Relationship Id="rId587" Type="http://schemas.openxmlformats.org/officeDocument/2006/relationships/hyperlink" Target="https://www.nrg-farms.com/FarMS/harvest/reference?harvest_id=71584" TargetMode="External"/><Relationship Id="rId710" Type="http://schemas.openxmlformats.org/officeDocument/2006/relationships/hyperlink" Target="https://www.nrg-farms.com/FarMS/harvest/reference?harvest_id=71033" TargetMode="External"/><Relationship Id="rId752" Type="http://schemas.openxmlformats.org/officeDocument/2006/relationships/hyperlink" Target="https://www.nrg-farms.com/FarMS/harvest/reference?harvest_id=70840" TargetMode="External"/><Relationship Id="rId8" Type="http://schemas.openxmlformats.org/officeDocument/2006/relationships/hyperlink" Target="https://www.nrg-farms.com/FarMS/harvest/reference?harvest_id=73472" TargetMode="External"/><Relationship Id="rId142" Type="http://schemas.openxmlformats.org/officeDocument/2006/relationships/hyperlink" Target="https://www.nrg-farms.com/FarMS/harvest/reference?harvest_id=73357" TargetMode="External"/><Relationship Id="rId184" Type="http://schemas.openxmlformats.org/officeDocument/2006/relationships/hyperlink" Target="https://www.nrg-farms.com/FarMS/harvest/reference?harvest_id=72891" TargetMode="External"/><Relationship Id="rId391" Type="http://schemas.openxmlformats.org/officeDocument/2006/relationships/hyperlink" Target="https://www.nrg-farms.com/FarMS/harvest/reference?harvest_id=71874" TargetMode="External"/><Relationship Id="rId405" Type="http://schemas.openxmlformats.org/officeDocument/2006/relationships/hyperlink" Target="https://www.nrg-farms.com/FarMS/harvest/reference?harvest_id=71699" TargetMode="External"/><Relationship Id="rId447" Type="http://schemas.openxmlformats.org/officeDocument/2006/relationships/hyperlink" Target="https://www.nrg-farms.com/FarMS/harvest/reference?harvest_id=71662" TargetMode="External"/><Relationship Id="rId612" Type="http://schemas.openxmlformats.org/officeDocument/2006/relationships/hyperlink" Target="https://www.nrg-farms.com/FarMS/harvest/reference?harvest_id=73443" TargetMode="External"/><Relationship Id="rId794" Type="http://schemas.openxmlformats.org/officeDocument/2006/relationships/hyperlink" Target="https://www.nrg-farms.com/FarMS/harvest/reference?harvest_id=70798" TargetMode="External"/><Relationship Id="rId251" Type="http://schemas.openxmlformats.org/officeDocument/2006/relationships/hyperlink" Target="https://www.nrg-farms.com/FarMS/harvest/reference?harvest_id=72824" TargetMode="External"/><Relationship Id="rId489" Type="http://schemas.openxmlformats.org/officeDocument/2006/relationships/hyperlink" Target="https://www.nrg-farms.com/FarMS/harvest/reference?harvest_id=71620" TargetMode="External"/><Relationship Id="rId654" Type="http://schemas.openxmlformats.org/officeDocument/2006/relationships/hyperlink" Target="https://www.nrg-farms.com/FarMS/harvest/reference?harvest_id=71519" TargetMode="External"/><Relationship Id="rId696" Type="http://schemas.openxmlformats.org/officeDocument/2006/relationships/hyperlink" Target="https://www.nrg-farms.com/FarMS/harvest/reference?harvest_id=71221" TargetMode="External"/><Relationship Id="rId46" Type="http://schemas.openxmlformats.org/officeDocument/2006/relationships/hyperlink" Target="https://www.nrg-farms.com/FarMS/harvest/reference?harvest_id=72984" TargetMode="External"/><Relationship Id="rId293" Type="http://schemas.openxmlformats.org/officeDocument/2006/relationships/hyperlink" Target="https://www.nrg-farms.com/FarMS/harvest/reference?harvest_id=72091" TargetMode="External"/><Relationship Id="rId307" Type="http://schemas.openxmlformats.org/officeDocument/2006/relationships/hyperlink" Target="https://www.nrg-farms.com/FarMS/harvest/reference?harvest_id=72077" TargetMode="External"/><Relationship Id="rId349" Type="http://schemas.openxmlformats.org/officeDocument/2006/relationships/hyperlink" Target="https://www.nrg-farms.com/FarMS/harvest/reference?harvest_id=72038" TargetMode="External"/><Relationship Id="rId514" Type="http://schemas.openxmlformats.org/officeDocument/2006/relationships/hyperlink" Target="https://www.nrg-farms.com/FarMS/harvest/reference?harvest_id=70985" TargetMode="External"/><Relationship Id="rId556" Type="http://schemas.openxmlformats.org/officeDocument/2006/relationships/hyperlink" Target="https://www.nrg-farms.com/FarMS/harvest/reference?harvest_id=71005" TargetMode="External"/><Relationship Id="rId721" Type="http://schemas.openxmlformats.org/officeDocument/2006/relationships/hyperlink" Target="https://www.nrg-farms.com/FarMS/harvest/reference?harvest_id=71022" TargetMode="External"/><Relationship Id="rId763" Type="http://schemas.openxmlformats.org/officeDocument/2006/relationships/hyperlink" Target="https://www.nrg-farms.com/FarMS/harvest/reference?harvest_id=70829" TargetMode="External"/><Relationship Id="rId88" Type="http://schemas.openxmlformats.org/officeDocument/2006/relationships/hyperlink" Target="https://www.nrg-farms.com/FarMS/harvest/reference?harvest_id=72944" TargetMode="External"/><Relationship Id="rId111" Type="http://schemas.openxmlformats.org/officeDocument/2006/relationships/hyperlink" Target="https://www.nrg-farms.com/FarMS/harvest/reference?harvest_id=72921" TargetMode="External"/><Relationship Id="rId153" Type="http://schemas.openxmlformats.org/officeDocument/2006/relationships/hyperlink" Target="https://www.nrg-farms.com/FarMS/harvest/reference?harvest_id=73346" TargetMode="External"/><Relationship Id="rId195" Type="http://schemas.openxmlformats.org/officeDocument/2006/relationships/hyperlink" Target="https://www.nrg-farms.com/FarMS/harvest/reference?harvest_id=72880" TargetMode="External"/><Relationship Id="rId209" Type="http://schemas.openxmlformats.org/officeDocument/2006/relationships/hyperlink" Target="https://www.nrg-farms.com/FarMS/harvest/reference?harvest_id=72866" TargetMode="External"/><Relationship Id="rId360" Type="http://schemas.openxmlformats.org/officeDocument/2006/relationships/hyperlink" Target="https://www.nrg-farms.com/FarMS/harvest/reference?harvest_id=72027" TargetMode="External"/><Relationship Id="rId416" Type="http://schemas.openxmlformats.org/officeDocument/2006/relationships/hyperlink" Target="https://www.nrg-farms.com/FarMS/harvest/reference?harvest_id=71688" TargetMode="External"/><Relationship Id="rId598" Type="http://schemas.openxmlformats.org/officeDocument/2006/relationships/hyperlink" Target="https://www.nrg-farms.com/FarMS/harvest/reference?harvest_id=71573" TargetMode="External"/><Relationship Id="rId220" Type="http://schemas.openxmlformats.org/officeDocument/2006/relationships/hyperlink" Target="https://www.nrg-farms.com/FarMS/harvest/reference?harvest_id=72855" TargetMode="External"/><Relationship Id="rId458" Type="http://schemas.openxmlformats.org/officeDocument/2006/relationships/hyperlink" Target="https://www.nrg-farms.com/FarMS/harvest/reference?harvest_id=71651" TargetMode="External"/><Relationship Id="rId623" Type="http://schemas.openxmlformats.org/officeDocument/2006/relationships/hyperlink" Target="https://www.nrg-farms.com/FarMS/harvest/reference?harvest_id=71550" TargetMode="External"/><Relationship Id="rId665" Type="http://schemas.openxmlformats.org/officeDocument/2006/relationships/hyperlink" Target="https://www.nrg-farms.com/FarMS/harvest/reference?harvest_id=71508" TargetMode="External"/><Relationship Id="rId15" Type="http://schemas.openxmlformats.org/officeDocument/2006/relationships/hyperlink" Target="https://www.nrg-farms.com/FarMS/harvest/reference?harvest_id=73465" TargetMode="External"/><Relationship Id="rId57" Type="http://schemas.openxmlformats.org/officeDocument/2006/relationships/hyperlink" Target="https://www.nrg-farms.com/FarMS/harvest/reference?harvest_id=72972" TargetMode="External"/><Relationship Id="rId262" Type="http://schemas.openxmlformats.org/officeDocument/2006/relationships/hyperlink" Target="https://www.nrg-farms.com/FarMS/harvest/reference?harvest_id=73448" TargetMode="External"/><Relationship Id="rId318" Type="http://schemas.openxmlformats.org/officeDocument/2006/relationships/hyperlink" Target="https://www.nrg-farms.com/FarMS/harvest/reference?harvest_id=73378" TargetMode="External"/><Relationship Id="rId525" Type="http://schemas.openxmlformats.org/officeDocument/2006/relationships/hyperlink" Target="https://www.nrg-farms.com/FarMS/harvest/reference?harvest_id=70974" TargetMode="External"/><Relationship Id="rId567" Type="http://schemas.openxmlformats.org/officeDocument/2006/relationships/hyperlink" Target="https://www.nrg-farms.com/FarMS/harvest/reference?harvest_id=70994" TargetMode="External"/><Relationship Id="rId732" Type="http://schemas.openxmlformats.org/officeDocument/2006/relationships/hyperlink" Target="https://www.nrg-farms.com/FarMS/harvest/reference?harvest_id=71011" TargetMode="External"/><Relationship Id="rId99" Type="http://schemas.openxmlformats.org/officeDocument/2006/relationships/hyperlink" Target="https://www.nrg-farms.com/FarMS/harvest/reference?harvest_id=72933" TargetMode="External"/><Relationship Id="rId122" Type="http://schemas.openxmlformats.org/officeDocument/2006/relationships/hyperlink" Target="https://www.nrg-farms.com/FarMS/harvest/reference?harvest_id=72910" TargetMode="External"/><Relationship Id="rId164" Type="http://schemas.openxmlformats.org/officeDocument/2006/relationships/hyperlink" Target="https://www.nrg-farms.com/FarMS/harvest/reference?harvest_id=73335" TargetMode="External"/><Relationship Id="rId371" Type="http://schemas.openxmlformats.org/officeDocument/2006/relationships/hyperlink" Target="https://www.nrg-farms.com/FarMS/harvest/reference?harvest_id=71925" TargetMode="External"/><Relationship Id="rId774" Type="http://schemas.openxmlformats.org/officeDocument/2006/relationships/hyperlink" Target="https://www.nrg-farms.com/FarMS/harvest/reference?harvest_id=70818" TargetMode="External"/><Relationship Id="rId427" Type="http://schemas.openxmlformats.org/officeDocument/2006/relationships/hyperlink" Target="https://www.nrg-farms.com/FarMS/harvest/reference?harvest_id=71677" TargetMode="External"/><Relationship Id="rId469" Type="http://schemas.openxmlformats.org/officeDocument/2006/relationships/hyperlink" Target="https://www.nrg-farms.com/FarMS/harvest/reference?harvest_id=71640" TargetMode="External"/><Relationship Id="rId634" Type="http://schemas.openxmlformats.org/officeDocument/2006/relationships/hyperlink" Target="https://www.nrg-farms.com/FarMS/harvest/reference?harvest_id=71539" TargetMode="External"/><Relationship Id="rId676" Type="http://schemas.openxmlformats.org/officeDocument/2006/relationships/hyperlink" Target="https://www.nrg-farms.com/FarMS/harvest/reference?harvest_id=71241" TargetMode="External"/><Relationship Id="rId26" Type="http://schemas.openxmlformats.org/officeDocument/2006/relationships/hyperlink" Target="https://www.nrg-farms.com/FarMS/harvest/reference?harvest_id=73368" TargetMode="External"/><Relationship Id="rId231" Type="http://schemas.openxmlformats.org/officeDocument/2006/relationships/hyperlink" Target="https://www.nrg-farms.com/FarMS/harvest/reference?harvest_id=72844" TargetMode="External"/><Relationship Id="rId273" Type="http://schemas.openxmlformats.org/officeDocument/2006/relationships/hyperlink" Target="https://www.nrg-farms.com/FarMS/harvest/reference?harvest_id=72111" TargetMode="External"/><Relationship Id="rId329" Type="http://schemas.openxmlformats.org/officeDocument/2006/relationships/hyperlink" Target="https://www.nrg-farms.com/FarMS/harvest/reference?harvest_id=72063" TargetMode="External"/><Relationship Id="rId480" Type="http://schemas.openxmlformats.org/officeDocument/2006/relationships/hyperlink" Target="https://www.nrg-farms.com/FarMS/harvest/reference?harvest_id=71629" TargetMode="External"/><Relationship Id="rId536" Type="http://schemas.openxmlformats.org/officeDocument/2006/relationships/hyperlink" Target="https://www.nrg-farms.com/FarMS/harvest/reference?harvest_id=70963" TargetMode="External"/><Relationship Id="rId701" Type="http://schemas.openxmlformats.org/officeDocument/2006/relationships/hyperlink" Target="https://www.nrg-farms.com/FarMS/harvest/reference?harvest_id=71042" TargetMode="External"/><Relationship Id="rId68" Type="http://schemas.openxmlformats.org/officeDocument/2006/relationships/hyperlink" Target="https://www.nrg-farms.com/FarMS/harvest/reference?harvest_id=73455" TargetMode="External"/><Relationship Id="rId133" Type="http://schemas.openxmlformats.org/officeDocument/2006/relationships/hyperlink" Target="https://www.nrg-farms.com/FarMS/harvest/reference?harvest_id=73366" TargetMode="External"/><Relationship Id="rId175" Type="http://schemas.openxmlformats.org/officeDocument/2006/relationships/hyperlink" Target="https://www.nrg-farms.com/FarMS/harvest/reference?harvest_id=72900" TargetMode="External"/><Relationship Id="rId340" Type="http://schemas.openxmlformats.org/officeDocument/2006/relationships/hyperlink" Target="https://www.nrg-farms.com/FarMS/harvest/reference?harvest_id=72052" TargetMode="External"/><Relationship Id="rId578" Type="http://schemas.openxmlformats.org/officeDocument/2006/relationships/hyperlink" Target="https://www.nrg-farms.com/FarMS/harvest/reference?harvest_id=71593" TargetMode="External"/><Relationship Id="rId743" Type="http://schemas.openxmlformats.org/officeDocument/2006/relationships/hyperlink" Target="https://www.nrg-farms.com/FarMS/harvest/reference?harvest_id=70849" TargetMode="External"/><Relationship Id="rId785" Type="http://schemas.openxmlformats.org/officeDocument/2006/relationships/hyperlink" Target="https://www.nrg-farms.com/FarMS/harvest/reference?harvest_id=70807" TargetMode="External"/><Relationship Id="rId200" Type="http://schemas.openxmlformats.org/officeDocument/2006/relationships/hyperlink" Target="https://www.nrg-farms.com/FarMS/harvest/reference?harvest_id=72875" TargetMode="External"/><Relationship Id="rId382" Type="http://schemas.openxmlformats.org/officeDocument/2006/relationships/hyperlink" Target="https://www.nrg-farms.com/FarMS/harvest/reference?harvest_id=71914" TargetMode="External"/><Relationship Id="rId438" Type="http://schemas.openxmlformats.org/officeDocument/2006/relationships/hyperlink" Target="https://www.nrg-farms.com/FarMS/harvest/reference?harvest_id=71666" TargetMode="External"/><Relationship Id="rId603" Type="http://schemas.openxmlformats.org/officeDocument/2006/relationships/hyperlink" Target="https://www.nrg-farms.com/FarMS/harvest/reference?harvest_id=71568" TargetMode="External"/><Relationship Id="rId645" Type="http://schemas.openxmlformats.org/officeDocument/2006/relationships/hyperlink" Target="https://www.nrg-farms.com/FarMS/harvest/reference?harvest_id=71528" TargetMode="External"/><Relationship Id="rId687" Type="http://schemas.openxmlformats.org/officeDocument/2006/relationships/hyperlink" Target="https://www.nrg-farms.com/FarMS/harvest/reference?harvest_id=71230" TargetMode="External"/><Relationship Id="rId242" Type="http://schemas.openxmlformats.org/officeDocument/2006/relationships/hyperlink" Target="https://www.nrg-farms.com/FarMS/harvest/reference?harvest_id=72833" TargetMode="External"/><Relationship Id="rId284" Type="http://schemas.openxmlformats.org/officeDocument/2006/relationships/hyperlink" Target="https://www.nrg-farms.com/FarMS/harvest/reference?harvest_id=72100" TargetMode="External"/><Relationship Id="rId491" Type="http://schemas.openxmlformats.org/officeDocument/2006/relationships/hyperlink" Target="https://www.nrg-farms.com/FarMS/harvest/reference?harvest_id=71618" TargetMode="External"/><Relationship Id="rId505" Type="http://schemas.openxmlformats.org/officeDocument/2006/relationships/hyperlink" Target="https://www.nrg-farms.com/FarMS/harvest/reference?harvest_id=71604" TargetMode="External"/><Relationship Id="rId712" Type="http://schemas.openxmlformats.org/officeDocument/2006/relationships/hyperlink" Target="https://www.nrg-farms.com/FarMS/harvest/reference?harvest_id=71031" TargetMode="External"/><Relationship Id="rId37" Type="http://schemas.openxmlformats.org/officeDocument/2006/relationships/hyperlink" Target="https://www.nrg-farms.com/FarMS/harvest/reference?harvest_id=72993" TargetMode="External"/><Relationship Id="rId79" Type="http://schemas.openxmlformats.org/officeDocument/2006/relationships/hyperlink" Target="https://www.nrg-farms.com/FarMS/harvest/reference?harvest_id=72953" TargetMode="External"/><Relationship Id="rId102" Type="http://schemas.openxmlformats.org/officeDocument/2006/relationships/hyperlink" Target="https://www.nrg-farms.com/FarMS/harvest/reference?harvest_id=72930" TargetMode="External"/><Relationship Id="rId144" Type="http://schemas.openxmlformats.org/officeDocument/2006/relationships/hyperlink" Target="https://www.nrg-farms.com/FarMS/harvest/reference?harvest_id=73355" TargetMode="External"/><Relationship Id="rId547" Type="http://schemas.openxmlformats.org/officeDocument/2006/relationships/hyperlink" Target="https://www.nrg-farms.com/FarMS/harvest/reference?harvest_id=70952" TargetMode="External"/><Relationship Id="rId589" Type="http://schemas.openxmlformats.org/officeDocument/2006/relationships/hyperlink" Target="https://www.nrg-farms.com/FarMS/harvest/reference?harvest_id=71582" TargetMode="External"/><Relationship Id="rId754" Type="http://schemas.openxmlformats.org/officeDocument/2006/relationships/hyperlink" Target="https://www.nrg-farms.com/FarMS/harvest/reference?harvest_id=70838" TargetMode="External"/><Relationship Id="rId796" Type="http://schemas.openxmlformats.org/officeDocument/2006/relationships/hyperlink" Target="https://www.nrg-farms.com/FarMS/harvest/reference?harvest_id=70796" TargetMode="External"/><Relationship Id="rId90" Type="http://schemas.openxmlformats.org/officeDocument/2006/relationships/hyperlink" Target="https://www.nrg-farms.com/FarMS/harvest/reference?harvest_id=72942" TargetMode="External"/><Relationship Id="rId186" Type="http://schemas.openxmlformats.org/officeDocument/2006/relationships/hyperlink" Target="https://www.nrg-farms.com/FarMS/harvest/reference?harvest_id=72889" TargetMode="External"/><Relationship Id="rId351" Type="http://schemas.openxmlformats.org/officeDocument/2006/relationships/hyperlink" Target="https://www.nrg-farms.com/FarMS/harvest/reference?harvest_id=72036" TargetMode="External"/><Relationship Id="rId393" Type="http://schemas.openxmlformats.org/officeDocument/2006/relationships/hyperlink" Target="https://www.nrg-farms.com/FarMS/harvest/reference?harvest_id=71872" TargetMode="External"/><Relationship Id="rId407" Type="http://schemas.openxmlformats.org/officeDocument/2006/relationships/hyperlink" Target="https://www.nrg-farms.com/FarMS/harvest/reference?harvest_id=71697" TargetMode="External"/><Relationship Id="rId449" Type="http://schemas.openxmlformats.org/officeDocument/2006/relationships/hyperlink" Target="https://www.nrg-farms.com/FarMS/harvest/reference?harvest_id=71660" TargetMode="External"/><Relationship Id="rId614" Type="http://schemas.openxmlformats.org/officeDocument/2006/relationships/hyperlink" Target="https://www.nrg-farms.com/FarMS/harvest/reference?harvest_id=71559" TargetMode="External"/><Relationship Id="rId656" Type="http://schemas.openxmlformats.org/officeDocument/2006/relationships/hyperlink" Target="https://www.nrg-farms.com/FarMS/harvest/reference?harvest_id=71517" TargetMode="External"/><Relationship Id="rId211" Type="http://schemas.openxmlformats.org/officeDocument/2006/relationships/hyperlink" Target="https://www.nrg-farms.com/FarMS/harvest/reference?harvest_id=72864" TargetMode="External"/><Relationship Id="rId253" Type="http://schemas.openxmlformats.org/officeDocument/2006/relationships/hyperlink" Target="https://www.nrg-farms.com/FarMS/harvest/reference?harvest_id=72822" TargetMode="External"/><Relationship Id="rId295" Type="http://schemas.openxmlformats.org/officeDocument/2006/relationships/hyperlink" Target="https://www.nrg-farms.com/FarMS/harvest/reference?harvest_id=72089" TargetMode="External"/><Relationship Id="rId309" Type="http://schemas.openxmlformats.org/officeDocument/2006/relationships/hyperlink" Target="https://www.nrg-farms.com/FarMS/harvest/reference?harvest_id=72075" TargetMode="External"/><Relationship Id="rId460" Type="http://schemas.openxmlformats.org/officeDocument/2006/relationships/hyperlink" Target="https://www.nrg-farms.com/FarMS/harvest/reference?harvest_id=71649" TargetMode="External"/><Relationship Id="rId516" Type="http://schemas.openxmlformats.org/officeDocument/2006/relationships/hyperlink" Target="https://www.nrg-farms.com/FarMS/harvest/reference?harvest_id=70983" TargetMode="External"/><Relationship Id="rId698" Type="http://schemas.openxmlformats.org/officeDocument/2006/relationships/hyperlink" Target="https://www.nrg-farms.com/FarMS/harvest/reference?harvest_id=71045" TargetMode="External"/><Relationship Id="rId48" Type="http://schemas.openxmlformats.org/officeDocument/2006/relationships/hyperlink" Target="https://www.nrg-farms.com/FarMS/harvest/reference?harvest_id=72982" TargetMode="External"/><Relationship Id="rId113" Type="http://schemas.openxmlformats.org/officeDocument/2006/relationships/hyperlink" Target="https://www.nrg-farms.com/FarMS/harvest/reference?harvest_id=72919" TargetMode="External"/><Relationship Id="rId320" Type="http://schemas.openxmlformats.org/officeDocument/2006/relationships/hyperlink" Target="https://www.nrg-farms.com/FarMS/harvest/reference?harvest_id=73376" TargetMode="External"/><Relationship Id="rId558" Type="http://schemas.openxmlformats.org/officeDocument/2006/relationships/hyperlink" Target="https://www.nrg-farms.com/FarMS/harvest/reference?harvest_id=71003" TargetMode="External"/><Relationship Id="rId723" Type="http://schemas.openxmlformats.org/officeDocument/2006/relationships/hyperlink" Target="https://www.nrg-farms.com/FarMS/harvest/reference?harvest_id=71020" TargetMode="External"/><Relationship Id="rId765" Type="http://schemas.openxmlformats.org/officeDocument/2006/relationships/hyperlink" Target="https://www.nrg-farms.com/FarMS/harvest/reference?harvest_id=70827" TargetMode="External"/><Relationship Id="rId155" Type="http://schemas.openxmlformats.org/officeDocument/2006/relationships/hyperlink" Target="https://www.nrg-farms.com/FarMS/harvest/reference?harvest_id=73344" TargetMode="External"/><Relationship Id="rId197" Type="http://schemas.openxmlformats.org/officeDocument/2006/relationships/hyperlink" Target="https://www.nrg-farms.com/FarMS/harvest/reference?harvest_id=72878" TargetMode="External"/><Relationship Id="rId362" Type="http://schemas.openxmlformats.org/officeDocument/2006/relationships/hyperlink" Target="https://www.nrg-farms.com/FarMS/harvest/reference?harvest_id=72025" TargetMode="External"/><Relationship Id="rId418" Type="http://schemas.openxmlformats.org/officeDocument/2006/relationships/hyperlink" Target="https://www.nrg-farms.com/FarMS/harvest/reference?harvest_id=71686" TargetMode="External"/><Relationship Id="rId625" Type="http://schemas.openxmlformats.org/officeDocument/2006/relationships/hyperlink" Target="https://www.nrg-farms.com/FarMS/harvest/reference?harvest_id=71548" TargetMode="External"/><Relationship Id="rId222" Type="http://schemas.openxmlformats.org/officeDocument/2006/relationships/hyperlink" Target="https://www.nrg-farms.com/FarMS/harvest/reference?harvest_id=72853" TargetMode="External"/><Relationship Id="rId264" Type="http://schemas.openxmlformats.org/officeDocument/2006/relationships/hyperlink" Target="https://www.nrg-farms.com/FarMS/harvest/reference?harvest_id=72120" TargetMode="External"/><Relationship Id="rId471" Type="http://schemas.openxmlformats.org/officeDocument/2006/relationships/hyperlink" Target="https://www.nrg-farms.com/FarMS/harvest/reference?harvest_id=71638" TargetMode="External"/><Relationship Id="rId667" Type="http://schemas.openxmlformats.org/officeDocument/2006/relationships/hyperlink" Target="https://www.nrg-farms.com/FarMS/harvest/reference?harvest_id=71506" TargetMode="External"/><Relationship Id="rId17" Type="http://schemas.openxmlformats.org/officeDocument/2006/relationships/hyperlink" Target="https://www.nrg-farms.com/FarMS/harvest/reference?harvest_id=73463" TargetMode="External"/><Relationship Id="rId59" Type="http://schemas.openxmlformats.org/officeDocument/2006/relationships/hyperlink" Target="https://www.nrg-farms.com/FarMS/harvest/reference?harvest_id=72970" TargetMode="External"/><Relationship Id="rId124" Type="http://schemas.openxmlformats.org/officeDocument/2006/relationships/hyperlink" Target="https://www.nrg-farms.com/FarMS/harvest/reference?harvest_id=72908" TargetMode="External"/><Relationship Id="rId527" Type="http://schemas.openxmlformats.org/officeDocument/2006/relationships/hyperlink" Target="https://www.nrg-farms.com/FarMS/harvest/reference?harvest_id=70972" TargetMode="External"/><Relationship Id="rId569" Type="http://schemas.openxmlformats.org/officeDocument/2006/relationships/hyperlink" Target="https://www.nrg-farms.com/FarMS/harvest/reference?harvest_id=70992" TargetMode="External"/><Relationship Id="rId734" Type="http://schemas.openxmlformats.org/officeDocument/2006/relationships/hyperlink" Target="https://www.nrg-farms.com/FarMS/harvest/reference?harvest_id=70858" TargetMode="External"/><Relationship Id="rId776" Type="http://schemas.openxmlformats.org/officeDocument/2006/relationships/hyperlink" Target="https://www.nrg-farms.com/FarMS/harvest/reference?harvest_id=70816" TargetMode="External"/><Relationship Id="rId70" Type="http://schemas.openxmlformats.org/officeDocument/2006/relationships/hyperlink" Target="https://www.nrg-farms.com/FarMS/harvest/reference?harvest_id=73453" TargetMode="External"/><Relationship Id="rId166" Type="http://schemas.openxmlformats.org/officeDocument/2006/relationships/hyperlink" Target="https://www.nrg-farms.com/FarMS/harvest/reference?harvest_id=73333" TargetMode="External"/><Relationship Id="rId331" Type="http://schemas.openxmlformats.org/officeDocument/2006/relationships/hyperlink" Target="https://www.nrg-farms.com/FarMS/harvest/reference?harvest_id=72061" TargetMode="External"/><Relationship Id="rId373" Type="http://schemas.openxmlformats.org/officeDocument/2006/relationships/hyperlink" Target="https://www.nrg-farms.com/FarMS/harvest/reference?harvest_id=71923" TargetMode="External"/><Relationship Id="rId429" Type="http://schemas.openxmlformats.org/officeDocument/2006/relationships/hyperlink" Target="https://www.nrg-farms.com/FarMS/harvest/reference?harvest_id=71675" TargetMode="External"/><Relationship Id="rId580" Type="http://schemas.openxmlformats.org/officeDocument/2006/relationships/hyperlink" Target="https://www.nrg-farms.com/FarMS/harvest/reference?harvest_id=71591" TargetMode="External"/><Relationship Id="rId636" Type="http://schemas.openxmlformats.org/officeDocument/2006/relationships/hyperlink" Target="https://www.nrg-farms.com/FarMS/harvest/reference?harvest_id=71537" TargetMode="External"/><Relationship Id="rId801" Type="http://schemas.openxmlformats.org/officeDocument/2006/relationships/hyperlink" Target="https://www.nrg-farms.com/FarMS/harvest/reference?harvest_id=70791" TargetMode="External"/><Relationship Id="rId1" Type="http://schemas.openxmlformats.org/officeDocument/2006/relationships/hyperlink" Target="https://www.nrg-farms.com/FarMS/harvest/reference?harvest_id=73479" TargetMode="External"/><Relationship Id="rId233" Type="http://schemas.openxmlformats.org/officeDocument/2006/relationships/hyperlink" Target="https://www.nrg-farms.com/FarMS/harvest/reference?harvest_id=72842" TargetMode="External"/><Relationship Id="rId440" Type="http://schemas.openxmlformats.org/officeDocument/2006/relationships/hyperlink" Target="https://www.nrg-farms.com/FarMS/harvest/reference?harvest_id=71502" TargetMode="External"/><Relationship Id="rId678" Type="http://schemas.openxmlformats.org/officeDocument/2006/relationships/hyperlink" Target="https://www.nrg-farms.com/FarMS/harvest/reference?harvest_id=71239" TargetMode="External"/><Relationship Id="rId28" Type="http://schemas.openxmlformats.org/officeDocument/2006/relationships/hyperlink" Target="https://www.nrg-farms.com/FarMS/harvest/reference?harvest_id=73457" TargetMode="External"/><Relationship Id="rId275" Type="http://schemas.openxmlformats.org/officeDocument/2006/relationships/hyperlink" Target="https://www.nrg-farms.com/FarMS/harvest/reference?harvest_id=72109" TargetMode="External"/><Relationship Id="rId300" Type="http://schemas.openxmlformats.org/officeDocument/2006/relationships/hyperlink" Target="https://www.nrg-farms.com/FarMS/harvest/reference?harvest_id=72084" TargetMode="External"/><Relationship Id="rId482" Type="http://schemas.openxmlformats.org/officeDocument/2006/relationships/hyperlink" Target="https://www.nrg-farms.com/FarMS/harvest/reference?harvest_id=71627" TargetMode="External"/><Relationship Id="rId538" Type="http://schemas.openxmlformats.org/officeDocument/2006/relationships/hyperlink" Target="https://www.nrg-farms.com/FarMS/harvest/reference?harvest_id=70961" TargetMode="External"/><Relationship Id="rId703" Type="http://schemas.openxmlformats.org/officeDocument/2006/relationships/hyperlink" Target="https://www.nrg-farms.com/FarMS/harvest/reference?harvest_id=71040" TargetMode="External"/><Relationship Id="rId745" Type="http://schemas.openxmlformats.org/officeDocument/2006/relationships/hyperlink" Target="https://www.nrg-farms.com/FarMS/harvest/reference?harvest_id=70847" TargetMode="External"/><Relationship Id="rId81" Type="http://schemas.openxmlformats.org/officeDocument/2006/relationships/hyperlink" Target="https://www.nrg-farms.com/FarMS/harvest/reference?harvest_id=72951" TargetMode="External"/><Relationship Id="rId135" Type="http://schemas.openxmlformats.org/officeDocument/2006/relationships/hyperlink" Target="https://www.nrg-farms.com/FarMS/harvest/reference?harvest_id=73364" TargetMode="External"/><Relationship Id="rId177" Type="http://schemas.openxmlformats.org/officeDocument/2006/relationships/hyperlink" Target="https://www.nrg-farms.com/FarMS/harvest/reference?harvest_id=72898" TargetMode="External"/><Relationship Id="rId342" Type="http://schemas.openxmlformats.org/officeDocument/2006/relationships/hyperlink" Target="https://www.nrg-farms.com/FarMS/harvest/reference?harvest_id=72050" TargetMode="External"/><Relationship Id="rId384" Type="http://schemas.openxmlformats.org/officeDocument/2006/relationships/hyperlink" Target="https://www.nrg-farms.com/FarMS/harvest/reference?harvest_id=71912" TargetMode="External"/><Relationship Id="rId591" Type="http://schemas.openxmlformats.org/officeDocument/2006/relationships/hyperlink" Target="https://www.nrg-farms.com/FarMS/harvest/reference?harvest_id=71580" TargetMode="External"/><Relationship Id="rId605" Type="http://schemas.openxmlformats.org/officeDocument/2006/relationships/hyperlink" Target="https://www.nrg-farms.com/FarMS/harvest/reference?harvest_id=71566" TargetMode="External"/><Relationship Id="rId787" Type="http://schemas.openxmlformats.org/officeDocument/2006/relationships/hyperlink" Target="https://www.nrg-farms.com/FarMS/harvest/reference?harvest_id=70805" TargetMode="External"/><Relationship Id="rId202" Type="http://schemas.openxmlformats.org/officeDocument/2006/relationships/hyperlink" Target="https://www.nrg-farms.com/FarMS/harvest/reference?harvest_id=72873" TargetMode="External"/><Relationship Id="rId244" Type="http://schemas.openxmlformats.org/officeDocument/2006/relationships/hyperlink" Target="https://www.nrg-farms.com/FarMS/harvest/reference?harvest_id=72831" TargetMode="External"/><Relationship Id="rId647" Type="http://schemas.openxmlformats.org/officeDocument/2006/relationships/hyperlink" Target="https://www.nrg-farms.com/FarMS/harvest/reference?harvest_id=71526" TargetMode="External"/><Relationship Id="rId689" Type="http://schemas.openxmlformats.org/officeDocument/2006/relationships/hyperlink" Target="https://www.nrg-farms.com/FarMS/harvest/reference?harvest_id=71228" TargetMode="External"/><Relationship Id="rId39" Type="http://schemas.openxmlformats.org/officeDocument/2006/relationships/hyperlink" Target="https://www.nrg-farms.com/FarMS/harvest/reference?harvest_id=72991" TargetMode="External"/><Relationship Id="rId286" Type="http://schemas.openxmlformats.org/officeDocument/2006/relationships/hyperlink" Target="https://www.nrg-farms.com/FarMS/harvest/reference?harvest_id=72098" TargetMode="External"/><Relationship Id="rId451" Type="http://schemas.openxmlformats.org/officeDocument/2006/relationships/hyperlink" Target="https://www.nrg-farms.com/FarMS/harvest/reference?harvest_id=71658" TargetMode="External"/><Relationship Id="rId493" Type="http://schemas.openxmlformats.org/officeDocument/2006/relationships/hyperlink" Target="https://www.nrg-farms.com/FarMS/harvest/reference?harvest_id=71616" TargetMode="External"/><Relationship Id="rId507" Type="http://schemas.openxmlformats.org/officeDocument/2006/relationships/hyperlink" Target="https://www.nrg-farms.com/FarMS/harvest/reference?harvest_id=71602" TargetMode="External"/><Relationship Id="rId549" Type="http://schemas.openxmlformats.org/officeDocument/2006/relationships/hyperlink" Target="https://www.nrg-farms.com/FarMS/harvest/reference?harvest_id=70950" TargetMode="External"/><Relationship Id="rId714" Type="http://schemas.openxmlformats.org/officeDocument/2006/relationships/hyperlink" Target="https://www.nrg-farms.com/FarMS/harvest/reference?harvest_id=71029" TargetMode="External"/><Relationship Id="rId756" Type="http://schemas.openxmlformats.org/officeDocument/2006/relationships/hyperlink" Target="https://www.nrg-farms.com/FarMS/harvest/reference?harvest_id=70836" TargetMode="External"/><Relationship Id="rId50" Type="http://schemas.openxmlformats.org/officeDocument/2006/relationships/hyperlink" Target="https://www.nrg-farms.com/FarMS/harvest/reference?harvest_id=72980" TargetMode="External"/><Relationship Id="rId104" Type="http://schemas.openxmlformats.org/officeDocument/2006/relationships/hyperlink" Target="https://www.nrg-farms.com/FarMS/harvest/reference?harvest_id=72928" TargetMode="External"/><Relationship Id="rId146" Type="http://schemas.openxmlformats.org/officeDocument/2006/relationships/hyperlink" Target="https://www.nrg-farms.com/FarMS/harvest/reference?harvest_id=73353" TargetMode="External"/><Relationship Id="rId188" Type="http://schemas.openxmlformats.org/officeDocument/2006/relationships/hyperlink" Target="https://www.nrg-farms.com/FarMS/harvest/reference?harvest_id=72887" TargetMode="External"/><Relationship Id="rId311" Type="http://schemas.openxmlformats.org/officeDocument/2006/relationships/hyperlink" Target="https://www.nrg-farms.com/FarMS/harvest/reference?harvest_id=72073" TargetMode="External"/><Relationship Id="rId353" Type="http://schemas.openxmlformats.org/officeDocument/2006/relationships/hyperlink" Target="https://www.nrg-farms.com/FarMS/harvest/reference?harvest_id=72034" TargetMode="External"/><Relationship Id="rId395" Type="http://schemas.openxmlformats.org/officeDocument/2006/relationships/hyperlink" Target="https://www.nrg-farms.com/FarMS/harvest/reference?harvest_id=71870" TargetMode="External"/><Relationship Id="rId409" Type="http://schemas.openxmlformats.org/officeDocument/2006/relationships/hyperlink" Target="https://www.nrg-farms.com/FarMS/harvest/reference?harvest_id=71695" TargetMode="External"/><Relationship Id="rId560" Type="http://schemas.openxmlformats.org/officeDocument/2006/relationships/hyperlink" Target="https://www.nrg-farms.com/FarMS/harvest/reference?harvest_id=71001" TargetMode="External"/><Relationship Id="rId798" Type="http://schemas.openxmlformats.org/officeDocument/2006/relationships/hyperlink" Target="https://www.nrg-farms.com/FarMS/harvest/reference?harvest_id=70794" TargetMode="External"/><Relationship Id="rId92" Type="http://schemas.openxmlformats.org/officeDocument/2006/relationships/hyperlink" Target="https://www.nrg-farms.com/FarMS/harvest/reference?harvest_id=72940" TargetMode="External"/><Relationship Id="rId213" Type="http://schemas.openxmlformats.org/officeDocument/2006/relationships/hyperlink" Target="https://www.nrg-farms.com/FarMS/harvest/reference?harvest_id=72862" TargetMode="External"/><Relationship Id="rId420" Type="http://schemas.openxmlformats.org/officeDocument/2006/relationships/hyperlink" Target="https://www.nrg-farms.com/FarMS/harvest/reference?harvest_id=71684" TargetMode="External"/><Relationship Id="rId616" Type="http://schemas.openxmlformats.org/officeDocument/2006/relationships/hyperlink" Target="https://www.nrg-farms.com/FarMS/harvest/reference?harvest_id=71557" TargetMode="External"/><Relationship Id="rId658" Type="http://schemas.openxmlformats.org/officeDocument/2006/relationships/hyperlink" Target="https://www.nrg-farms.com/FarMS/harvest/reference?harvest_id=71515" TargetMode="External"/><Relationship Id="rId255" Type="http://schemas.openxmlformats.org/officeDocument/2006/relationships/hyperlink" Target="https://www.nrg-farms.com/FarMS/harvest/reference?harvest_id=72820" TargetMode="External"/><Relationship Id="rId297" Type="http://schemas.openxmlformats.org/officeDocument/2006/relationships/hyperlink" Target="https://www.nrg-farms.com/FarMS/harvest/reference?harvest_id=72087" TargetMode="External"/><Relationship Id="rId462" Type="http://schemas.openxmlformats.org/officeDocument/2006/relationships/hyperlink" Target="https://www.nrg-farms.com/FarMS/harvest/reference?harvest_id=71647" TargetMode="External"/><Relationship Id="rId518" Type="http://schemas.openxmlformats.org/officeDocument/2006/relationships/hyperlink" Target="https://www.nrg-farms.com/FarMS/harvest/reference?harvest_id=70981" TargetMode="External"/><Relationship Id="rId725" Type="http://schemas.openxmlformats.org/officeDocument/2006/relationships/hyperlink" Target="https://www.nrg-farms.com/FarMS/harvest/reference?harvest_id=71018" TargetMode="External"/><Relationship Id="rId115" Type="http://schemas.openxmlformats.org/officeDocument/2006/relationships/hyperlink" Target="https://www.nrg-farms.com/FarMS/harvest/reference?harvest_id=72917" TargetMode="External"/><Relationship Id="rId157" Type="http://schemas.openxmlformats.org/officeDocument/2006/relationships/hyperlink" Target="https://www.nrg-farms.com/FarMS/harvest/reference?harvest_id=73342" TargetMode="External"/><Relationship Id="rId322" Type="http://schemas.openxmlformats.org/officeDocument/2006/relationships/hyperlink" Target="https://www.nrg-farms.com/FarMS/harvest/reference?harvest_id=72070" TargetMode="External"/><Relationship Id="rId364" Type="http://schemas.openxmlformats.org/officeDocument/2006/relationships/hyperlink" Target="https://www.nrg-farms.com/FarMS/harvest/reference?harvest_id=71932" TargetMode="External"/><Relationship Id="rId767" Type="http://schemas.openxmlformats.org/officeDocument/2006/relationships/hyperlink" Target="https://www.nrg-farms.com/FarMS/harvest/reference?harvest_id=70825" TargetMode="External"/><Relationship Id="rId61" Type="http://schemas.openxmlformats.org/officeDocument/2006/relationships/hyperlink" Target="https://www.nrg-farms.com/FarMS/harvest/reference?harvest_id=72968" TargetMode="External"/><Relationship Id="rId199" Type="http://schemas.openxmlformats.org/officeDocument/2006/relationships/hyperlink" Target="https://www.nrg-farms.com/FarMS/harvest/reference?harvest_id=72876" TargetMode="External"/><Relationship Id="rId571" Type="http://schemas.openxmlformats.org/officeDocument/2006/relationships/hyperlink" Target="https://www.nrg-farms.com/FarMS/harvest/reference?harvest_id=70990" TargetMode="External"/><Relationship Id="rId627" Type="http://schemas.openxmlformats.org/officeDocument/2006/relationships/hyperlink" Target="https://www.nrg-farms.com/FarMS/harvest/reference?harvest_id=71546" TargetMode="External"/><Relationship Id="rId669" Type="http://schemas.openxmlformats.org/officeDocument/2006/relationships/hyperlink" Target="https://www.nrg-farms.com/FarMS/harvest/reference?harvest_id=71504" TargetMode="External"/><Relationship Id="rId19" Type="http://schemas.openxmlformats.org/officeDocument/2006/relationships/hyperlink" Target="https://www.nrg-farms.com/FarMS/harvest/reference?harvest_id=73461" TargetMode="External"/><Relationship Id="rId224" Type="http://schemas.openxmlformats.org/officeDocument/2006/relationships/hyperlink" Target="https://www.nrg-farms.com/FarMS/harvest/reference?harvest_id=72851" TargetMode="External"/><Relationship Id="rId266" Type="http://schemas.openxmlformats.org/officeDocument/2006/relationships/hyperlink" Target="https://www.nrg-farms.com/FarMS/harvest/reference?harvest_id=72118" TargetMode="External"/><Relationship Id="rId431" Type="http://schemas.openxmlformats.org/officeDocument/2006/relationships/hyperlink" Target="https://www.nrg-farms.com/FarMS/harvest/reference?harvest_id=71673" TargetMode="External"/><Relationship Id="rId473" Type="http://schemas.openxmlformats.org/officeDocument/2006/relationships/hyperlink" Target="https://www.nrg-farms.com/FarMS/harvest/reference?harvest_id=71636" TargetMode="External"/><Relationship Id="rId529" Type="http://schemas.openxmlformats.org/officeDocument/2006/relationships/hyperlink" Target="https://www.nrg-farms.com/FarMS/harvest/reference?harvest_id=70970" TargetMode="External"/><Relationship Id="rId680" Type="http://schemas.openxmlformats.org/officeDocument/2006/relationships/hyperlink" Target="https://www.nrg-farms.com/FarMS/harvest/reference?harvest_id=71237" TargetMode="External"/><Relationship Id="rId736" Type="http://schemas.openxmlformats.org/officeDocument/2006/relationships/hyperlink" Target="https://www.nrg-farms.com/FarMS/harvest/reference?harvest_id=70856" TargetMode="External"/><Relationship Id="rId30" Type="http://schemas.openxmlformats.org/officeDocument/2006/relationships/hyperlink" Target="https://www.nrg-farms.com/FarMS/harvest/reference?harvest_id=73387" TargetMode="External"/><Relationship Id="rId126" Type="http://schemas.openxmlformats.org/officeDocument/2006/relationships/hyperlink" Target="https://www.nrg-farms.com/FarMS/harvest/reference?harvest_id=72906" TargetMode="External"/><Relationship Id="rId168" Type="http://schemas.openxmlformats.org/officeDocument/2006/relationships/hyperlink" Target="https://www.nrg-farms.com/FarMS/harvest/reference?harvest_id=73331" TargetMode="External"/><Relationship Id="rId333" Type="http://schemas.openxmlformats.org/officeDocument/2006/relationships/hyperlink" Target="https://www.nrg-farms.com/FarMS/harvest/reference?harvest_id=72059" TargetMode="External"/><Relationship Id="rId540" Type="http://schemas.openxmlformats.org/officeDocument/2006/relationships/hyperlink" Target="https://www.nrg-farms.com/FarMS/harvest/reference?harvest_id=70959" TargetMode="External"/><Relationship Id="rId778" Type="http://schemas.openxmlformats.org/officeDocument/2006/relationships/hyperlink" Target="https://www.nrg-farms.com/FarMS/harvest/reference?harvest_id=70814" TargetMode="External"/><Relationship Id="rId72" Type="http://schemas.openxmlformats.org/officeDocument/2006/relationships/hyperlink" Target="https://www.nrg-farms.com/FarMS/harvest/reference?harvest_id=72960" TargetMode="External"/><Relationship Id="rId375" Type="http://schemas.openxmlformats.org/officeDocument/2006/relationships/hyperlink" Target="https://www.nrg-farms.com/FarMS/harvest/reference?harvest_id=71921" TargetMode="External"/><Relationship Id="rId582" Type="http://schemas.openxmlformats.org/officeDocument/2006/relationships/hyperlink" Target="https://www.nrg-farms.com/FarMS/harvest/reference?harvest_id=71589" TargetMode="External"/><Relationship Id="rId638" Type="http://schemas.openxmlformats.org/officeDocument/2006/relationships/hyperlink" Target="https://www.nrg-farms.com/FarMS/harvest/reference?harvest_id=71535" TargetMode="External"/><Relationship Id="rId803" Type="http://schemas.openxmlformats.org/officeDocument/2006/relationships/hyperlink" Target="https://www.nrg-farms.com/FarMS/harvest/reference?harvest_id=70789" TargetMode="External"/><Relationship Id="rId3" Type="http://schemas.openxmlformats.org/officeDocument/2006/relationships/hyperlink" Target="https://www.nrg-farms.com/FarMS/harvest/reference?harvest_id=73477" TargetMode="External"/><Relationship Id="rId235" Type="http://schemas.openxmlformats.org/officeDocument/2006/relationships/hyperlink" Target="https://www.nrg-farms.com/FarMS/harvest/reference?harvest_id=72840" TargetMode="External"/><Relationship Id="rId277" Type="http://schemas.openxmlformats.org/officeDocument/2006/relationships/hyperlink" Target="https://www.nrg-farms.com/FarMS/harvest/reference?harvest_id=72107" TargetMode="External"/><Relationship Id="rId400" Type="http://schemas.openxmlformats.org/officeDocument/2006/relationships/hyperlink" Target="https://www.nrg-farms.com/FarMS/harvest/reference?harvest_id=71865" TargetMode="External"/><Relationship Id="rId442" Type="http://schemas.openxmlformats.org/officeDocument/2006/relationships/hyperlink" Target="https://www.nrg-farms.com/FarMS/harvest/reference?harvest_id=71500" TargetMode="External"/><Relationship Id="rId484" Type="http://schemas.openxmlformats.org/officeDocument/2006/relationships/hyperlink" Target="https://www.nrg-farms.com/FarMS/harvest/reference?harvest_id=71625" TargetMode="External"/><Relationship Id="rId705" Type="http://schemas.openxmlformats.org/officeDocument/2006/relationships/hyperlink" Target="https://www.nrg-farms.com/FarMS/harvest/reference?harvest_id=71038" TargetMode="External"/><Relationship Id="rId137" Type="http://schemas.openxmlformats.org/officeDocument/2006/relationships/hyperlink" Target="https://www.nrg-farms.com/FarMS/harvest/reference?harvest_id=73362" TargetMode="External"/><Relationship Id="rId302" Type="http://schemas.openxmlformats.org/officeDocument/2006/relationships/hyperlink" Target="https://www.nrg-farms.com/FarMS/harvest/reference?harvest_id=72082" TargetMode="External"/><Relationship Id="rId344" Type="http://schemas.openxmlformats.org/officeDocument/2006/relationships/hyperlink" Target="https://www.nrg-farms.com/FarMS/harvest/reference?harvest_id=72048" TargetMode="External"/><Relationship Id="rId691" Type="http://schemas.openxmlformats.org/officeDocument/2006/relationships/hyperlink" Target="https://www.nrg-farms.com/FarMS/harvest/reference?harvest_id=71226" TargetMode="External"/><Relationship Id="rId747" Type="http://schemas.openxmlformats.org/officeDocument/2006/relationships/hyperlink" Target="https://www.nrg-farms.com/FarMS/harvest/reference?harvest_id=70845" TargetMode="External"/><Relationship Id="rId789" Type="http://schemas.openxmlformats.org/officeDocument/2006/relationships/hyperlink" Target="https://www.nrg-farms.com/FarMS/harvest/reference?harvest_id=70803" TargetMode="External"/><Relationship Id="rId41" Type="http://schemas.openxmlformats.org/officeDocument/2006/relationships/hyperlink" Target="https://www.nrg-farms.com/FarMS/harvest/reference?harvest_id=72989" TargetMode="External"/><Relationship Id="rId83" Type="http://schemas.openxmlformats.org/officeDocument/2006/relationships/hyperlink" Target="https://www.nrg-farms.com/FarMS/harvest/reference?harvest_id=72949" TargetMode="External"/><Relationship Id="rId179" Type="http://schemas.openxmlformats.org/officeDocument/2006/relationships/hyperlink" Target="https://www.nrg-farms.com/FarMS/harvest/reference?harvest_id=72896" TargetMode="External"/><Relationship Id="rId386" Type="http://schemas.openxmlformats.org/officeDocument/2006/relationships/hyperlink" Target="https://www.nrg-farms.com/FarMS/harvest/reference?harvest_id=71879" TargetMode="External"/><Relationship Id="rId551" Type="http://schemas.openxmlformats.org/officeDocument/2006/relationships/hyperlink" Target="https://www.nrg-farms.com/FarMS/harvest/reference?harvest_id=70948" TargetMode="External"/><Relationship Id="rId593" Type="http://schemas.openxmlformats.org/officeDocument/2006/relationships/hyperlink" Target="https://www.nrg-farms.com/FarMS/harvest/reference?harvest_id=71578" TargetMode="External"/><Relationship Id="rId607" Type="http://schemas.openxmlformats.org/officeDocument/2006/relationships/hyperlink" Target="https://www.nrg-farms.com/FarMS/harvest/reference?harvest_id=71564" TargetMode="External"/><Relationship Id="rId649" Type="http://schemas.openxmlformats.org/officeDocument/2006/relationships/hyperlink" Target="https://www.nrg-farms.com/FarMS/harvest/reference?harvest_id=71524" TargetMode="External"/><Relationship Id="rId190" Type="http://schemas.openxmlformats.org/officeDocument/2006/relationships/hyperlink" Target="https://www.nrg-farms.com/FarMS/harvest/reference?harvest_id=72885" TargetMode="External"/><Relationship Id="rId204" Type="http://schemas.openxmlformats.org/officeDocument/2006/relationships/hyperlink" Target="https://www.nrg-farms.com/FarMS/harvest/reference?harvest_id=72871" TargetMode="External"/><Relationship Id="rId246" Type="http://schemas.openxmlformats.org/officeDocument/2006/relationships/hyperlink" Target="https://www.nrg-farms.com/FarMS/harvest/reference?harvest_id=72829" TargetMode="External"/><Relationship Id="rId288" Type="http://schemas.openxmlformats.org/officeDocument/2006/relationships/hyperlink" Target="https://www.nrg-farms.com/FarMS/harvest/reference?harvest_id=72096" TargetMode="External"/><Relationship Id="rId411" Type="http://schemas.openxmlformats.org/officeDocument/2006/relationships/hyperlink" Target="https://www.nrg-farms.com/FarMS/harvest/reference?harvest_id=71693" TargetMode="External"/><Relationship Id="rId453" Type="http://schemas.openxmlformats.org/officeDocument/2006/relationships/hyperlink" Target="https://www.nrg-farms.com/FarMS/harvest/reference?harvest_id=71656" TargetMode="External"/><Relationship Id="rId509" Type="http://schemas.openxmlformats.org/officeDocument/2006/relationships/hyperlink" Target="https://www.nrg-farms.com/FarMS/harvest/reference?harvest_id=71600" TargetMode="External"/><Relationship Id="rId660" Type="http://schemas.openxmlformats.org/officeDocument/2006/relationships/hyperlink" Target="https://www.nrg-farms.com/FarMS/harvest/reference?harvest_id=71513" TargetMode="External"/><Relationship Id="rId106" Type="http://schemas.openxmlformats.org/officeDocument/2006/relationships/hyperlink" Target="https://www.nrg-farms.com/FarMS/harvest/reference?harvest_id=72926" TargetMode="External"/><Relationship Id="rId313" Type="http://schemas.openxmlformats.org/officeDocument/2006/relationships/hyperlink" Target="https://www.nrg-farms.com/FarMS/harvest/reference?harvest_id=73383" TargetMode="External"/><Relationship Id="rId495" Type="http://schemas.openxmlformats.org/officeDocument/2006/relationships/hyperlink" Target="https://www.nrg-farms.com/FarMS/harvest/reference?harvest_id=71614" TargetMode="External"/><Relationship Id="rId716" Type="http://schemas.openxmlformats.org/officeDocument/2006/relationships/hyperlink" Target="https://www.nrg-farms.com/FarMS/harvest/reference?harvest_id=71027" TargetMode="External"/><Relationship Id="rId758" Type="http://schemas.openxmlformats.org/officeDocument/2006/relationships/hyperlink" Target="https://www.nrg-farms.com/FarMS/harvest/reference?harvest_id=70834" TargetMode="External"/><Relationship Id="rId10" Type="http://schemas.openxmlformats.org/officeDocument/2006/relationships/hyperlink" Target="https://www.nrg-farms.com/FarMS/harvest/reference?harvest_id=73470" TargetMode="External"/><Relationship Id="rId52" Type="http://schemas.openxmlformats.org/officeDocument/2006/relationships/hyperlink" Target="https://www.nrg-farms.com/FarMS/harvest/reference?harvest_id=72978" TargetMode="External"/><Relationship Id="rId94" Type="http://schemas.openxmlformats.org/officeDocument/2006/relationships/hyperlink" Target="https://www.nrg-farms.com/FarMS/harvest/reference?harvest_id=72938" TargetMode="External"/><Relationship Id="rId148" Type="http://schemas.openxmlformats.org/officeDocument/2006/relationships/hyperlink" Target="https://www.nrg-farms.com/FarMS/harvest/reference?harvest_id=73351" TargetMode="External"/><Relationship Id="rId355" Type="http://schemas.openxmlformats.org/officeDocument/2006/relationships/hyperlink" Target="https://www.nrg-farms.com/FarMS/harvest/reference?harvest_id=72032" TargetMode="External"/><Relationship Id="rId397" Type="http://schemas.openxmlformats.org/officeDocument/2006/relationships/hyperlink" Target="https://www.nrg-farms.com/FarMS/harvest/reference?harvest_id=71868" TargetMode="External"/><Relationship Id="rId520" Type="http://schemas.openxmlformats.org/officeDocument/2006/relationships/hyperlink" Target="https://www.nrg-farms.com/FarMS/harvest/reference?harvest_id=70979" TargetMode="External"/><Relationship Id="rId562" Type="http://schemas.openxmlformats.org/officeDocument/2006/relationships/hyperlink" Target="https://www.nrg-farms.com/FarMS/harvest/reference?harvest_id=70999" TargetMode="External"/><Relationship Id="rId618" Type="http://schemas.openxmlformats.org/officeDocument/2006/relationships/hyperlink" Target="https://www.nrg-farms.com/FarMS/harvest/reference?harvest_id=71555" TargetMode="External"/><Relationship Id="rId215" Type="http://schemas.openxmlformats.org/officeDocument/2006/relationships/hyperlink" Target="https://www.nrg-farms.com/FarMS/harvest/reference?harvest_id=72860" TargetMode="External"/><Relationship Id="rId257" Type="http://schemas.openxmlformats.org/officeDocument/2006/relationships/hyperlink" Target="https://www.nrg-farms.com/FarMS/harvest/reference?harvest_id=72818" TargetMode="External"/><Relationship Id="rId422" Type="http://schemas.openxmlformats.org/officeDocument/2006/relationships/hyperlink" Target="https://www.nrg-farms.com/FarMS/harvest/reference?harvest_id=71682" TargetMode="External"/><Relationship Id="rId464" Type="http://schemas.openxmlformats.org/officeDocument/2006/relationships/hyperlink" Target="https://www.nrg-farms.com/FarMS/harvest/reference?harvest_id=71645" TargetMode="External"/><Relationship Id="rId299" Type="http://schemas.openxmlformats.org/officeDocument/2006/relationships/hyperlink" Target="https://www.nrg-farms.com/FarMS/harvest/reference?harvest_id=72085" TargetMode="External"/><Relationship Id="rId727" Type="http://schemas.openxmlformats.org/officeDocument/2006/relationships/hyperlink" Target="https://www.nrg-farms.com/FarMS/harvest/reference?harvest_id=71016" TargetMode="External"/><Relationship Id="rId63" Type="http://schemas.openxmlformats.org/officeDocument/2006/relationships/hyperlink" Target="https://www.nrg-farms.com/FarMS/harvest/reference?harvest_id=72966" TargetMode="External"/><Relationship Id="rId159" Type="http://schemas.openxmlformats.org/officeDocument/2006/relationships/hyperlink" Target="https://www.nrg-farms.com/FarMS/harvest/reference?harvest_id=73340" TargetMode="External"/><Relationship Id="rId366" Type="http://schemas.openxmlformats.org/officeDocument/2006/relationships/hyperlink" Target="https://www.nrg-farms.com/FarMS/harvest/reference?harvest_id=71930" TargetMode="External"/><Relationship Id="rId573" Type="http://schemas.openxmlformats.org/officeDocument/2006/relationships/hyperlink" Target="https://www.nrg-farms.com/FarMS/harvest/reference?harvest_id=70988" TargetMode="External"/><Relationship Id="rId780" Type="http://schemas.openxmlformats.org/officeDocument/2006/relationships/hyperlink" Target="https://www.nrg-farms.com/FarMS/harvest/reference?harvest_id=70812" TargetMode="External"/><Relationship Id="rId226" Type="http://schemas.openxmlformats.org/officeDocument/2006/relationships/hyperlink" Target="https://www.nrg-farms.com/FarMS/harvest/reference?harvest_id=72849" TargetMode="External"/><Relationship Id="rId433" Type="http://schemas.openxmlformats.org/officeDocument/2006/relationships/hyperlink" Target="https://www.nrg-farms.com/FarMS/harvest/reference?harvest_id=71671" TargetMode="External"/><Relationship Id="rId640" Type="http://schemas.openxmlformats.org/officeDocument/2006/relationships/hyperlink" Target="https://www.nrg-farms.com/FarMS/harvest/reference?harvest_id=71533" TargetMode="External"/><Relationship Id="rId738" Type="http://schemas.openxmlformats.org/officeDocument/2006/relationships/hyperlink" Target="https://www.nrg-farms.com/FarMS/harvest/reference?harvest_id=70854" TargetMode="External"/><Relationship Id="rId74" Type="http://schemas.openxmlformats.org/officeDocument/2006/relationships/hyperlink" Target="https://www.nrg-farms.com/FarMS/harvest/reference?harvest_id=72958" TargetMode="External"/><Relationship Id="rId377" Type="http://schemas.openxmlformats.org/officeDocument/2006/relationships/hyperlink" Target="https://www.nrg-farms.com/FarMS/harvest/reference?harvest_id=71919" TargetMode="External"/><Relationship Id="rId500" Type="http://schemas.openxmlformats.org/officeDocument/2006/relationships/hyperlink" Target="https://www.nrg-farms.com/FarMS/harvest/reference?harvest_id=71609" TargetMode="External"/><Relationship Id="rId584" Type="http://schemas.openxmlformats.org/officeDocument/2006/relationships/hyperlink" Target="https://www.nrg-farms.com/FarMS/harvest/reference?harvest_id=71587" TargetMode="External"/><Relationship Id="rId5" Type="http://schemas.openxmlformats.org/officeDocument/2006/relationships/hyperlink" Target="https://www.nrg-farms.com/FarMS/harvest/reference?harvest_id=73475" TargetMode="External"/><Relationship Id="rId237" Type="http://schemas.openxmlformats.org/officeDocument/2006/relationships/hyperlink" Target="https://www.nrg-farms.com/FarMS/harvest/reference?harvest_id=72838" TargetMode="External"/><Relationship Id="rId791" Type="http://schemas.openxmlformats.org/officeDocument/2006/relationships/hyperlink" Target="https://www.nrg-farms.com/FarMS/harvest/reference?harvest_id=70801" TargetMode="External"/><Relationship Id="rId444" Type="http://schemas.openxmlformats.org/officeDocument/2006/relationships/hyperlink" Target="https://www.nrg-farms.com/FarMS/harvest/reference?harvest_id=73445" TargetMode="External"/><Relationship Id="rId651" Type="http://schemas.openxmlformats.org/officeDocument/2006/relationships/hyperlink" Target="https://www.nrg-farms.com/FarMS/harvest/reference?harvest_id=71522" TargetMode="External"/><Relationship Id="rId749" Type="http://schemas.openxmlformats.org/officeDocument/2006/relationships/hyperlink" Target="https://www.nrg-farms.com/FarMS/harvest/reference?harvest_id=70843" TargetMode="External"/><Relationship Id="rId290" Type="http://schemas.openxmlformats.org/officeDocument/2006/relationships/hyperlink" Target="https://www.nrg-farms.com/FarMS/harvest/reference?harvest_id=72094" TargetMode="External"/><Relationship Id="rId304" Type="http://schemas.openxmlformats.org/officeDocument/2006/relationships/hyperlink" Target="https://www.nrg-farms.com/FarMS/harvest/reference?harvest_id=72080" TargetMode="External"/><Relationship Id="rId388" Type="http://schemas.openxmlformats.org/officeDocument/2006/relationships/hyperlink" Target="https://www.nrg-farms.com/FarMS/harvest/reference?harvest_id=71877" TargetMode="External"/><Relationship Id="rId511" Type="http://schemas.openxmlformats.org/officeDocument/2006/relationships/hyperlink" Target="https://www.nrg-farms.com/FarMS/harvest/reference?harvest_id=71598" TargetMode="External"/><Relationship Id="rId609" Type="http://schemas.openxmlformats.org/officeDocument/2006/relationships/hyperlink" Target="https://www.nrg-farms.com/FarMS/harvest/reference?harvest_id=71562" TargetMode="External"/><Relationship Id="rId85" Type="http://schemas.openxmlformats.org/officeDocument/2006/relationships/hyperlink" Target="https://www.nrg-farms.com/FarMS/harvest/reference?harvest_id=72947" TargetMode="External"/><Relationship Id="rId150" Type="http://schemas.openxmlformats.org/officeDocument/2006/relationships/hyperlink" Target="https://www.nrg-farms.com/FarMS/harvest/reference?harvest_id=73349" TargetMode="External"/><Relationship Id="rId595" Type="http://schemas.openxmlformats.org/officeDocument/2006/relationships/hyperlink" Target="https://www.nrg-farms.com/FarMS/harvest/reference?harvest_id=71576" TargetMode="External"/><Relationship Id="rId248" Type="http://schemas.openxmlformats.org/officeDocument/2006/relationships/hyperlink" Target="https://www.nrg-farms.com/FarMS/harvest/reference?harvest_id=72827" TargetMode="External"/><Relationship Id="rId455" Type="http://schemas.openxmlformats.org/officeDocument/2006/relationships/hyperlink" Target="https://www.nrg-farms.com/FarMS/harvest/reference?harvest_id=71654" TargetMode="External"/><Relationship Id="rId662" Type="http://schemas.openxmlformats.org/officeDocument/2006/relationships/hyperlink" Target="https://www.nrg-farms.com/FarMS/harvest/reference?harvest_id=71511" TargetMode="External"/><Relationship Id="rId12" Type="http://schemas.openxmlformats.org/officeDocument/2006/relationships/hyperlink" Target="https://www.nrg-farms.com/FarMS/harvest/reference?harvest_id=73468" TargetMode="External"/><Relationship Id="rId108" Type="http://schemas.openxmlformats.org/officeDocument/2006/relationships/hyperlink" Target="https://www.nrg-farms.com/FarMS/harvest/reference?harvest_id=72924" TargetMode="External"/><Relationship Id="rId315" Type="http://schemas.openxmlformats.org/officeDocument/2006/relationships/hyperlink" Target="https://www.nrg-farms.com/FarMS/harvest/reference?harvest_id=73381" TargetMode="External"/><Relationship Id="rId522" Type="http://schemas.openxmlformats.org/officeDocument/2006/relationships/hyperlink" Target="https://www.nrg-farms.com/FarMS/harvest/reference?harvest_id=70977" TargetMode="External"/><Relationship Id="rId96" Type="http://schemas.openxmlformats.org/officeDocument/2006/relationships/hyperlink" Target="https://www.nrg-farms.com/FarMS/harvest/reference?harvest_id=72936" TargetMode="External"/><Relationship Id="rId161" Type="http://schemas.openxmlformats.org/officeDocument/2006/relationships/hyperlink" Target="https://www.nrg-farms.com/FarMS/harvest/reference?harvest_id=73338" TargetMode="External"/><Relationship Id="rId399" Type="http://schemas.openxmlformats.org/officeDocument/2006/relationships/hyperlink" Target="https://www.nrg-farms.com/FarMS/harvest/reference?harvest_id=71866" TargetMode="External"/><Relationship Id="rId259" Type="http://schemas.openxmlformats.org/officeDocument/2006/relationships/hyperlink" Target="https://www.nrg-farms.com/FarMS/harvest/reference?harvest_id=72816" TargetMode="External"/><Relationship Id="rId466" Type="http://schemas.openxmlformats.org/officeDocument/2006/relationships/hyperlink" Target="https://www.nrg-farms.com/FarMS/harvest/reference?harvest_id=71643" TargetMode="External"/><Relationship Id="rId673" Type="http://schemas.openxmlformats.org/officeDocument/2006/relationships/hyperlink" Target="https://www.nrg-farms.com/FarMS/harvest/reference?harvest_id=71497" TargetMode="External"/><Relationship Id="rId23" Type="http://schemas.openxmlformats.org/officeDocument/2006/relationships/hyperlink" Target="https://www.nrg-farms.com/FarMS/harvest/reference?harvest_id=73390" TargetMode="External"/><Relationship Id="rId119" Type="http://schemas.openxmlformats.org/officeDocument/2006/relationships/hyperlink" Target="https://www.nrg-farms.com/FarMS/harvest/reference?harvest_id=72913" TargetMode="External"/><Relationship Id="rId326" Type="http://schemas.openxmlformats.org/officeDocument/2006/relationships/hyperlink" Target="https://www.nrg-farms.com/FarMS/harvest/reference?harvest_id=72066" TargetMode="External"/><Relationship Id="rId533" Type="http://schemas.openxmlformats.org/officeDocument/2006/relationships/hyperlink" Target="https://www.nrg-farms.com/FarMS/harvest/reference?harvest_id=70966" TargetMode="External"/><Relationship Id="rId740" Type="http://schemas.openxmlformats.org/officeDocument/2006/relationships/hyperlink" Target="https://www.nrg-farms.com/FarMS/harvest/reference?harvest_id=70852" TargetMode="External"/><Relationship Id="rId172" Type="http://schemas.openxmlformats.org/officeDocument/2006/relationships/hyperlink" Target="https://www.nrg-farms.com/FarMS/harvest/reference?harvest_id=73450" TargetMode="External"/><Relationship Id="rId477" Type="http://schemas.openxmlformats.org/officeDocument/2006/relationships/hyperlink" Target="https://www.nrg-farms.com/FarMS/harvest/reference?harvest_id=71632" TargetMode="External"/><Relationship Id="rId600" Type="http://schemas.openxmlformats.org/officeDocument/2006/relationships/hyperlink" Target="https://www.nrg-farms.com/FarMS/harvest/reference?harvest_id=71571" TargetMode="External"/><Relationship Id="rId684" Type="http://schemas.openxmlformats.org/officeDocument/2006/relationships/hyperlink" Target="https://www.nrg-farms.com/FarMS/harvest/reference?harvest_id=71233" TargetMode="External"/><Relationship Id="rId337" Type="http://schemas.openxmlformats.org/officeDocument/2006/relationships/hyperlink" Target="https://www.nrg-farms.com/FarMS/harvest/reference?harvest_id=72055" TargetMode="External"/><Relationship Id="rId34" Type="http://schemas.openxmlformats.org/officeDocument/2006/relationships/hyperlink" Target="https://www.nrg-farms.com/FarMS/harvest/reference?harvest_id=72996" TargetMode="External"/><Relationship Id="rId544" Type="http://schemas.openxmlformats.org/officeDocument/2006/relationships/hyperlink" Target="https://www.nrg-farms.com/FarMS/harvest/reference?harvest_id=70955" TargetMode="External"/><Relationship Id="rId751" Type="http://schemas.openxmlformats.org/officeDocument/2006/relationships/hyperlink" Target="https://www.nrg-farms.com/FarMS/harvest/reference?harvest_id=70841" TargetMode="External"/><Relationship Id="rId183" Type="http://schemas.openxmlformats.org/officeDocument/2006/relationships/hyperlink" Target="https://www.nrg-farms.com/FarMS/harvest/reference?harvest_id=72892" TargetMode="External"/><Relationship Id="rId390" Type="http://schemas.openxmlformats.org/officeDocument/2006/relationships/hyperlink" Target="https://www.nrg-farms.com/FarMS/harvest/reference?harvest_id=71875" TargetMode="External"/><Relationship Id="rId404" Type="http://schemas.openxmlformats.org/officeDocument/2006/relationships/hyperlink" Target="https://www.nrg-farms.com/FarMS/harvest/reference?harvest_id=71861" TargetMode="External"/><Relationship Id="rId611" Type="http://schemas.openxmlformats.org/officeDocument/2006/relationships/hyperlink" Target="https://www.nrg-farms.com/FarMS/harvest/reference?harvest_id=73444" TargetMode="External"/><Relationship Id="rId250" Type="http://schemas.openxmlformats.org/officeDocument/2006/relationships/hyperlink" Target="https://www.nrg-farms.com/FarMS/harvest/reference?harvest_id=72825" TargetMode="External"/><Relationship Id="rId488" Type="http://schemas.openxmlformats.org/officeDocument/2006/relationships/hyperlink" Target="https://www.nrg-farms.com/FarMS/harvest/reference?harvest_id=71621" TargetMode="External"/><Relationship Id="rId695" Type="http://schemas.openxmlformats.org/officeDocument/2006/relationships/hyperlink" Target="https://www.nrg-farms.com/FarMS/harvest/reference?harvest_id=71222" TargetMode="External"/><Relationship Id="rId709" Type="http://schemas.openxmlformats.org/officeDocument/2006/relationships/hyperlink" Target="https://www.nrg-farms.com/FarMS/harvest/reference?harvest_id=71034" TargetMode="External"/><Relationship Id="rId45" Type="http://schemas.openxmlformats.org/officeDocument/2006/relationships/hyperlink" Target="https://www.nrg-farms.com/FarMS/harvest/reference?harvest_id=72985" TargetMode="External"/><Relationship Id="rId110" Type="http://schemas.openxmlformats.org/officeDocument/2006/relationships/hyperlink" Target="https://www.nrg-farms.com/FarMS/harvest/reference?harvest_id=72922" TargetMode="External"/><Relationship Id="rId348" Type="http://schemas.openxmlformats.org/officeDocument/2006/relationships/hyperlink" Target="https://www.nrg-farms.com/FarMS/harvest/reference?harvest_id=72039" TargetMode="External"/><Relationship Id="rId555" Type="http://schemas.openxmlformats.org/officeDocument/2006/relationships/hyperlink" Target="https://www.nrg-farms.com/FarMS/harvest/reference?harvest_id=71006" TargetMode="External"/><Relationship Id="rId762" Type="http://schemas.openxmlformats.org/officeDocument/2006/relationships/hyperlink" Target="https://www.nrg-farms.com/FarMS/harvest/reference?harvest_id=70830" TargetMode="External"/><Relationship Id="rId194" Type="http://schemas.openxmlformats.org/officeDocument/2006/relationships/hyperlink" Target="https://www.nrg-farms.com/FarMS/harvest/reference?harvest_id=72881" TargetMode="External"/><Relationship Id="rId208" Type="http://schemas.openxmlformats.org/officeDocument/2006/relationships/hyperlink" Target="https://www.nrg-farms.com/FarMS/harvest/reference?harvest_id=72867" TargetMode="External"/><Relationship Id="rId415" Type="http://schemas.openxmlformats.org/officeDocument/2006/relationships/hyperlink" Target="https://www.nrg-farms.com/FarMS/harvest/reference?harvest_id=71689" TargetMode="External"/><Relationship Id="rId622" Type="http://schemas.openxmlformats.org/officeDocument/2006/relationships/hyperlink" Target="https://www.nrg-farms.com/FarMS/harvest/reference?harvest_id=71551" TargetMode="External"/><Relationship Id="rId261" Type="http://schemas.openxmlformats.org/officeDocument/2006/relationships/hyperlink" Target="https://www.nrg-farms.com/FarMS/harvest/reference?harvest_id=73449" TargetMode="External"/><Relationship Id="rId499" Type="http://schemas.openxmlformats.org/officeDocument/2006/relationships/hyperlink" Target="https://www.nrg-farms.com/FarMS/harvest/reference?harvest_id=71610" TargetMode="External"/><Relationship Id="rId56" Type="http://schemas.openxmlformats.org/officeDocument/2006/relationships/hyperlink" Target="https://www.nrg-farms.com/FarMS/harvest/reference?harvest_id=72973" TargetMode="External"/><Relationship Id="rId359" Type="http://schemas.openxmlformats.org/officeDocument/2006/relationships/hyperlink" Target="https://www.nrg-farms.com/FarMS/harvest/reference?harvest_id=72028" TargetMode="External"/><Relationship Id="rId566" Type="http://schemas.openxmlformats.org/officeDocument/2006/relationships/hyperlink" Target="https://www.nrg-farms.com/FarMS/harvest/reference?harvest_id=70995" TargetMode="External"/><Relationship Id="rId773" Type="http://schemas.openxmlformats.org/officeDocument/2006/relationships/hyperlink" Target="https://www.nrg-farms.com/FarMS/harvest/reference?harvest_id=70819" TargetMode="External"/><Relationship Id="rId121" Type="http://schemas.openxmlformats.org/officeDocument/2006/relationships/hyperlink" Target="https://www.nrg-farms.com/FarMS/harvest/reference?harvest_id=72911" TargetMode="External"/><Relationship Id="rId219" Type="http://schemas.openxmlformats.org/officeDocument/2006/relationships/hyperlink" Target="https://www.nrg-farms.com/FarMS/harvest/reference?harvest_id=72856" TargetMode="External"/><Relationship Id="rId426" Type="http://schemas.openxmlformats.org/officeDocument/2006/relationships/hyperlink" Target="https://www.nrg-farms.com/FarMS/harvest/reference?harvest_id=71678" TargetMode="External"/><Relationship Id="rId633" Type="http://schemas.openxmlformats.org/officeDocument/2006/relationships/hyperlink" Target="https://www.nrg-farms.com/FarMS/harvest/reference?harvest_id=71540" TargetMode="External"/><Relationship Id="rId67" Type="http://schemas.openxmlformats.org/officeDocument/2006/relationships/hyperlink" Target="https://www.nrg-farms.com/FarMS/harvest/reference?harvest_id=72962" TargetMode="External"/><Relationship Id="rId272" Type="http://schemas.openxmlformats.org/officeDocument/2006/relationships/hyperlink" Target="https://www.nrg-farms.com/FarMS/harvest/reference?harvest_id=72112" TargetMode="External"/><Relationship Id="rId577" Type="http://schemas.openxmlformats.org/officeDocument/2006/relationships/hyperlink" Target="https://www.nrg-farms.com/FarMS/harvest/reference?harvest_id=71594" TargetMode="External"/><Relationship Id="rId700" Type="http://schemas.openxmlformats.org/officeDocument/2006/relationships/hyperlink" Target="https://www.nrg-farms.com/FarMS/harvest/reference?harvest_id=71043" TargetMode="External"/><Relationship Id="rId132" Type="http://schemas.openxmlformats.org/officeDocument/2006/relationships/hyperlink" Target="https://www.nrg-farms.com/FarMS/harvest/reference?harvest_id=73367" TargetMode="External"/><Relationship Id="rId784" Type="http://schemas.openxmlformats.org/officeDocument/2006/relationships/hyperlink" Target="https://www.nrg-farms.com/FarMS/harvest/reference?harvest_id=70808" TargetMode="External"/><Relationship Id="rId437" Type="http://schemas.openxmlformats.org/officeDocument/2006/relationships/hyperlink" Target="https://www.nrg-farms.com/FarMS/harvest/reference?harvest_id=71667" TargetMode="External"/><Relationship Id="rId644" Type="http://schemas.openxmlformats.org/officeDocument/2006/relationships/hyperlink" Target="https://www.nrg-farms.com/FarMS/harvest/reference?harvest_id=71529" TargetMode="External"/><Relationship Id="rId283" Type="http://schemas.openxmlformats.org/officeDocument/2006/relationships/hyperlink" Target="https://www.nrg-farms.com/FarMS/harvest/reference?harvest_id=72101" TargetMode="External"/><Relationship Id="rId490" Type="http://schemas.openxmlformats.org/officeDocument/2006/relationships/hyperlink" Target="https://www.nrg-farms.com/FarMS/harvest/reference?harvest_id=71619" TargetMode="External"/><Relationship Id="rId504" Type="http://schemas.openxmlformats.org/officeDocument/2006/relationships/hyperlink" Target="https://www.nrg-farms.com/FarMS/harvest/reference?harvest_id=71605" TargetMode="External"/><Relationship Id="rId711" Type="http://schemas.openxmlformats.org/officeDocument/2006/relationships/hyperlink" Target="https://www.nrg-farms.com/FarMS/harvest/reference?harvest_id=71032" TargetMode="External"/><Relationship Id="rId78" Type="http://schemas.openxmlformats.org/officeDocument/2006/relationships/hyperlink" Target="https://www.nrg-farms.com/FarMS/harvest/reference?harvest_id=72954" TargetMode="External"/><Relationship Id="rId143" Type="http://schemas.openxmlformats.org/officeDocument/2006/relationships/hyperlink" Target="https://www.nrg-farms.com/FarMS/harvest/reference?harvest_id=73356" TargetMode="External"/><Relationship Id="rId350" Type="http://schemas.openxmlformats.org/officeDocument/2006/relationships/hyperlink" Target="https://www.nrg-farms.com/FarMS/harvest/reference?harvest_id=72037" TargetMode="External"/><Relationship Id="rId588" Type="http://schemas.openxmlformats.org/officeDocument/2006/relationships/hyperlink" Target="https://www.nrg-farms.com/FarMS/harvest/reference?harvest_id=71583" TargetMode="External"/><Relationship Id="rId795" Type="http://schemas.openxmlformats.org/officeDocument/2006/relationships/hyperlink" Target="https://www.nrg-farms.com/FarMS/harvest/reference?harvest_id=70797" TargetMode="External"/><Relationship Id="rId9" Type="http://schemas.openxmlformats.org/officeDocument/2006/relationships/hyperlink" Target="https://www.nrg-farms.com/FarMS/harvest/reference?harvest_id=73471" TargetMode="External"/><Relationship Id="rId210" Type="http://schemas.openxmlformats.org/officeDocument/2006/relationships/hyperlink" Target="https://www.nrg-farms.com/FarMS/harvest/reference?harvest_id=72865" TargetMode="External"/><Relationship Id="rId448" Type="http://schemas.openxmlformats.org/officeDocument/2006/relationships/hyperlink" Target="https://www.nrg-farms.com/FarMS/harvest/reference?harvest_id=71661" TargetMode="External"/><Relationship Id="rId655" Type="http://schemas.openxmlformats.org/officeDocument/2006/relationships/hyperlink" Target="https://www.nrg-farms.com/FarMS/harvest/reference?harvest_id=71518" TargetMode="External"/><Relationship Id="rId294" Type="http://schemas.openxmlformats.org/officeDocument/2006/relationships/hyperlink" Target="https://www.nrg-farms.com/FarMS/harvest/reference?harvest_id=72090" TargetMode="External"/><Relationship Id="rId308" Type="http://schemas.openxmlformats.org/officeDocument/2006/relationships/hyperlink" Target="https://www.nrg-farms.com/FarMS/harvest/reference?harvest_id=72076" TargetMode="External"/><Relationship Id="rId515" Type="http://schemas.openxmlformats.org/officeDocument/2006/relationships/hyperlink" Target="https://www.nrg-farms.com/FarMS/harvest/reference?harvest_id=70984" TargetMode="External"/><Relationship Id="rId722" Type="http://schemas.openxmlformats.org/officeDocument/2006/relationships/hyperlink" Target="https://www.nrg-farms.com/FarMS/harvest/reference?harvest_id=71021" TargetMode="External"/><Relationship Id="rId89" Type="http://schemas.openxmlformats.org/officeDocument/2006/relationships/hyperlink" Target="https://www.nrg-farms.com/FarMS/harvest/reference?harvest_id=72943" TargetMode="External"/><Relationship Id="rId154" Type="http://schemas.openxmlformats.org/officeDocument/2006/relationships/hyperlink" Target="https://www.nrg-farms.com/FarMS/harvest/reference?harvest_id=73345" TargetMode="External"/><Relationship Id="rId361" Type="http://schemas.openxmlformats.org/officeDocument/2006/relationships/hyperlink" Target="https://www.nrg-farms.com/FarMS/harvest/reference?harvest_id=72026" TargetMode="External"/><Relationship Id="rId599" Type="http://schemas.openxmlformats.org/officeDocument/2006/relationships/hyperlink" Target="https://www.nrg-farms.com/FarMS/harvest/reference?harvest_id=71572" TargetMode="External"/><Relationship Id="rId459" Type="http://schemas.openxmlformats.org/officeDocument/2006/relationships/hyperlink" Target="https://www.nrg-farms.com/FarMS/harvest/reference?harvest_id=71650" TargetMode="External"/><Relationship Id="rId666" Type="http://schemas.openxmlformats.org/officeDocument/2006/relationships/hyperlink" Target="https://www.nrg-farms.com/FarMS/harvest/reference?harvest_id=71507" TargetMode="External"/><Relationship Id="rId16" Type="http://schemas.openxmlformats.org/officeDocument/2006/relationships/hyperlink" Target="https://www.nrg-farms.com/FarMS/harvest/reference?harvest_id=73464" TargetMode="External"/><Relationship Id="rId221" Type="http://schemas.openxmlformats.org/officeDocument/2006/relationships/hyperlink" Target="https://www.nrg-farms.com/FarMS/harvest/reference?harvest_id=72854" TargetMode="External"/><Relationship Id="rId319" Type="http://schemas.openxmlformats.org/officeDocument/2006/relationships/hyperlink" Target="https://www.nrg-farms.com/FarMS/harvest/reference?harvest_id=73377" TargetMode="External"/><Relationship Id="rId526" Type="http://schemas.openxmlformats.org/officeDocument/2006/relationships/hyperlink" Target="https://www.nrg-farms.com/FarMS/harvest/reference?harvest_id=70973" TargetMode="External"/><Relationship Id="rId733" Type="http://schemas.openxmlformats.org/officeDocument/2006/relationships/hyperlink" Target="https://www.nrg-farms.com/FarMS/harvest/reference?harvest_id=71010" TargetMode="External"/><Relationship Id="rId165" Type="http://schemas.openxmlformats.org/officeDocument/2006/relationships/hyperlink" Target="https://www.nrg-farms.com/FarMS/harvest/reference?harvest_id=73334" TargetMode="External"/><Relationship Id="rId372" Type="http://schemas.openxmlformats.org/officeDocument/2006/relationships/hyperlink" Target="https://www.nrg-farms.com/FarMS/harvest/reference?harvest_id=71924" TargetMode="External"/><Relationship Id="rId677" Type="http://schemas.openxmlformats.org/officeDocument/2006/relationships/hyperlink" Target="https://www.nrg-farms.com/FarMS/harvest/reference?harvest_id=71240" TargetMode="External"/><Relationship Id="rId800" Type="http://schemas.openxmlformats.org/officeDocument/2006/relationships/hyperlink" Target="https://www.nrg-farms.com/FarMS/harvest/reference?harvest_id=70792" TargetMode="External"/><Relationship Id="rId232" Type="http://schemas.openxmlformats.org/officeDocument/2006/relationships/hyperlink" Target="https://www.nrg-farms.com/FarMS/harvest/reference?harvest_id=72843" TargetMode="External"/><Relationship Id="rId27" Type="http://schemas.openxmlformats.org/officeDocument/2006/relationships/hyperlink" Target="https://www.nrg-farms.com/FarMS/harvest/reference?harvest_id=73458" TargetMode="External"/><Relationship Id="rId537" Type="http://schemas.openxmlformats.org/officeDocument/2006/relationships/hyperlink" Target="https://www.nrg-farms.com/FarMS/harvest/reference?harvest_id=70962" TargetMode="External"/><Relationship Id="rId744" Type="http://schemas.openxmlformats.org/officeDocument/2006/relationships/hyperlink" Target="https://www.nrg-farms.com/FarMS/harvest/reference?harvest_id=70848" TargetMode="External"/><Relationship Id="rId80" Type="http://schemas.openxmlformats.org/officeDocument/2006/relationships/hyperlink" Target="https://www.nrg-farms.com/FarMS/harvest/reference?harvest_id=72952" TargetMode="External"/><Relationship Id="rId176" Type="http://schemas.openxmlformats.org/officeDocument/2006/relationships/hyperlink" Target="https://www.nrg-farms.com/FarMS/harvest/reference?harvest_id=72899" TargetMode="External"/><Relationship Id="rId383" Type="http://schemas.openxmlformats.org/officeDocument/2006/relationships/hyperlink" Target="https://www.nrg-farms.com/FarMS/harvest/reference?harvest_id=71913" TargetMode="External"/><Relationship Id="rId590" Type="http://schemas.openxmlformats.org/officeDocument/2006/relationships/hyperlink" Target="https://www.nrg-farms.com/FarMS/harvest/reference?harvest_id=71581" TargetMode="External"/><Relationship Id="rId604" Type="http://schemas.openxmlformats.org/officeDocument/2006/relationships/hyperlink" Target="https://www.nrg-farms.com/FarMS/harvest/reference?harvest_id=71567" TargetMode="External"/><Relationship Id="rId243" Type="http://schemas.openxmlformats.org/officeDocument/2006/relationships/hyperlink" Target="https://www.nrg-farms.com/FarMS/harvest/reference?harvest_id=72832" TargetMode="External"/><Relationship Id="rId450" Type="http://schemas.openxmlformats.org/officeDocument/2006/relationships/hyperlink" Target="https://www.nrg-farms.com/FarMS/harvest/reference?harvest_id=71659" TargetMode="External"/><Relationship Id="rId688" Type="http://schemas.openxmlformats.org/officeDocument/2006/relationships/hyperlink" Target="https://www.nrg-farms.com/FarMS/harvest/reference?harvest_id=71229" TargetMode="External"/><Relationship Id="rId38" Type="http://schemas.openxmlformats.org/officeDocument/2006/relationships/hyperlink" Target="https://www.nrg-farms.com/FarMS/harvest/reference?harvest_id=72992" TargetMode="External"/><Relationship Id="rId103" Type="http://schemas.openxmlformats.org/officeDocument/2006/relationships/hyperlink" Target="https://www.nrg-farms.com/FarMS/harvest/reference?harvest_id=72929" TargetMode="External"/><Relationship Id="rId310" Type="http://schemas.openxmlformats.org/officeDocument/2006/relationships/hyperlink" Target="https://www.nrg-farms.com/FarMS/harvest/reference?harvest_id=72074" TargetMode="External"/><Relationship Id="rId548" Type="http://schemas.openxmlformats.org/officeDocument/2006/relationships/hyperlink" Target="https://www.nrg-farms.com/FarMS/harvest/reference?harvest_id=70951" TargetMode="External"/><Relationship Id="rId755" Type="http://schemas.openxmlformats.org/officeDocument/2006/relationships/hyperlink" Target="https://www.nrg-farms.com/FarMS/harvest/reference?harvest_id=70837" TargetMode="External"/><Relationship Id="rId91" Type="http://schemas.openxmlformats.org/officeDocument/2006/relationships/hyperlink" Target="https://www.nrg-farms.com/FarMS/harvest/reference?harvest_id=72941" TargetMode="External"/><Relationship Id="rId187" Type="http://schemas.openxmlformats.org/officeDocument/2006/relationships/hyperlink" Target="https://www.nrg-farms.com/FarMS/harvest/reference?harvest_id=72888" TargetMode="External"/><Relationship Id="rId394" Type="http://schemas.openxmlformats.org/officeDocument/2006/relationships/hyperlink" Target="https://www.nrg-farms.com/FarMS/harvest/reference?harvest_id=71871" TargetMode="External"/><Relationship Id="rId408" Type="http://schemas.openxmlformats.org/officeDocument/2006/relationships/hyperlink" Target="https://www.nrg-farms.com/FarMS/harvest/reference?harvest_id=71696" TargetMode="External"/><Relationship Id="rId615" Type="http://schemas.openxmlformats.org/officeDocument/2006/relationships/hyperlink" Target="https://www.nrg-farms.com/FarMS/harvest/reference?harvest_id=71558" TargetMode="External"/><Relationship Id="rId254" Type="http://schemas.openxmlformats.org/officeDocument/2006/relationships/hyperlink" Target="https://www.nrg-farms.com/FarMS/harvest/reference?harvest_id=72821" TargetMode="External"/><Relationship Id="rId699" Type="http://schemas.openxmlformats.org/officeDocument/2006/relationships/hyperlink" Target="https://www.nrg-farms.com/FarMS/harvest/reference?harvest_id=71044" TargetMode="External"/><Relationship Id="rId49" Type="http://schemas.openxmlformats.org/officeDocument/2006/relationships/hyperlink" Target="https://www.nrg-farms.com/FarMS/harvest/reference?harvest_id=72981" TargetMode="External"/><Relationship Id="rId114" Type="http://schemas.openxmlformats.org/officeDocument/2006/relationships/hyperlink" Target="https://www.nrg-farms.com/FarMS/harvest/reference?harvest_id=72918" TargetMode="External"/><Relationship Id="rId461" Type="http://schemas.openxmlformats.org/officeDocument/2006/relationships/hyperlink" Target="https://www.nrg-farms.com/FarMS/harvest/reference?harvest_id=71648" TargetMode="External"/><Relationship Id="rId559" Type="http://schemas.openxmlformats.org/officeDocument/2006/relationships/hyperlink" Target="https://www.nrg-farms.com/FarMS/harvest/reference?harvest_id=71002" TargetMode="External"/><Relationship Id="rId766" Type="http://schemas.openxmlformats.org/officeDocument/2006/relationships/hyperlink" Target="https://www.nrg-farms.com/FarMS/harvest/reference?harvest_id=70826" TargetMode="External"/><Relationship Id="rId198" Type="http://schemas.openxmlformats.org/officeDocument/2006/relationships/hyperlink" Target="https://www.nrg-farms.com/FarMS/harvest/reference?harvest_id=72877" TargetMode="External"/><Relationship Id="rId321" Type="http://schemas.openxmlformats.org/officeDocument/2006/relationships/hyperlink" Target="https://www.nrg-farms.com/FarMS/harvest/reference?harvest_id=72071" TargetMode="External"/><Relationship Id="rId419" Type="http://schemas.openxmlformats.org/officeDocument/2006/relationships/hyperlink" Target="https://www.nrg-farms.com/FarMS/harvest/reference?harvest_id=71685" TargetMode="External"/><Relationship Id="rId626" Type="http://schemas.openxmlformats.org/officeDocument/2006/relationships/hyperlink" Target="https://www.nrg-farms.com/FarMS/harvest/reference?harvest_id=71547" TargetMode="External"/><Relationship Id="rId265" Type="http://schemas.openxmlformats.org/officeDocument/2006/relationships/hyperlink" Target="https://www.nrg-farms.com/FarMS/harvest/reference?harvest_id=72119" TargetMode="External"/><Relationship Id="rId472" Type="http://schemas.openxmlformats.org/officeDocument/2006/relationships/hyperlink" Target="https://www.nrg-farms.com/FarMS/harvest/reference?harvest_id=71637" TargetMode="External"/><Relationship Id="rId125" Type="http://schemas.openxmlformats.org/officeDocument/2006/relationships/hyperlink" Target="https://www.nrg-farms.com/FarMS/harvest/reference?harvest_id=72907" TargetMode="External"/><Relationship Id="rId332" Type="http://schemas.openxmlformats.org/officeDocument/2006/relationships/hyperlink" Target="https://www.nrg-farms.com/FarMS/harvest/reference?harvest_id=72060" TargetMode="External"/><Relationship Id="rId777" Type="http://schemas.openxmlformats.org/officeDocument/2006/relationships/hyperlink" Target="https://www.nrg-farms.com/FarMS/harvest/reference?harvest_id=70815" TargetMode="External"/><Relationship Id="rId637" Type="http://schemas.openxmlformats.org/officeDocument/2006/relationships/hyperlink" Target="https://www.nrg-farms.com/FarMS/harvest/reference?harvest_id=71536" TargetMode="External"/><Relationship Id="rId276" Type="http://schemas.openxmlformats.org/officeDocument/2006/relationships/hyperlink" Target="https://www.nrg-farms.com/FarMS/harvest/reference?harvest_id=72108" TargetMode="External"/><Relationship Id="rId483" Type="http://schemas.openxmlformats.org/officeDocument/2006/relationships/hyperlink" Target="https://www.nrg-farms.com/FarMS/harvest/reference?harvest_id=71626" TargetMode="External"/><Relationship Id="rId690" Type="http://schemas.openxmlformats.org/officeDocument/2006/relationships/hyperlink" Target="https://www.nrg-farms.com/FarMS/harvest/reference?harvest_id=71227" TargetMode="External"/><Relationship Id="rId704" Type="http://schemas.openxmlformats.org/officeDocument/2006/relationships/hyperlink" Target="https://www.nrg-farms.com/FarMS/harvest/reference?harvest_id=71039" TargetMode="External"/><Relationship Id="rId40" Type="http://schemas.openxmlformats.org/officeDocument/2006/relationships/hyperlink" Target="https://www.nrg-farms.com/FarMS/harvest/reference?harvest_id=72990" TargetMode="External"/><Relationship Id="rId136" Type="http://schemas.openxmlformats.org/officeDocument/2006/relationships/hyperlink" Target="https://www.nrg-farms.com/FarMS/harvest/reference?harvest_id=73363" TargetMode="External"/><Relationship Id="rId343" Type="http://schemas.openxmlformats.org/officeDocument/2006/relationships/hyperlink" Target="https://www.nrg-farms.com/FarMS/harvest/reference?harvest_id=72049" TargetMode="External"/><Relationship Id="rId550" Type="http://schemas.openxmlformats.org/officeDocument/2006/relationships/hyperlink" Target="https://www.nrg-farms.com/FarMS/harvest/reference?harvest_id=70949" TargetMode="External"/><Relationship Id="rId788" Type="http://schemas.openxmlformats.org/officeDocument/2006/relationships/hyperlink" Target="https://www.nrg-farms.com/FarMS/harvest/reference?harvest_id=70804" TargetMode="External"/><Relationship Id="rId203" Type="http://schemas.openxmlformats.org/officeDocument/2006/relationships/hyperlink" Target="https://www.nrg-farms.com/FarMS/harvest/reference?harvest_id=72872" TargetMode="External"/><Relationship Id="rId648" Type="http://schemas.openxmlformats.org/officeDocument/2006/relationships/hyperlink" Target="https://www.nrg-farms.com/FarMS/harvest/reference?harvest_id=71525" TargetMode="External"/><Relationship Id="rId287" Type="http://schemas.openxmlformats.org/officeDocument/2006/relationships/hyperlink" Target="https://www.nrg-farms.com/FarMS/harvest/reference?harvest_id=72097" TargetMode="External"/><Relationship Id="rId410" Type="http://schemas.openxmlformats.org/officeDocument/2006/relationships/hyperlink" Target="https://www.nrg-farms.com/FarMS/harvest/reference?harvest_id=71694" TargetMode="External"/><Relationship Id="rId494" Type="http://schemas.openxmlformats.org/officeDocument/2006/relationships/hyperlink" Target="https://www.nrg-farms.com/FarMS/harvest/reference?harvest_id=71615" TargetMode="External"/><Relationship Id="rId508" Type="http://schemas.openxmlformats.org/officeDocument/2006/relationships/hyperlink" Target="https://www.nrg-farms.com/FarMS/harvest/reference?harvest_id=71601" TargetMode="External"/><Relationship Id="rId715" Type="http://schemas.openxmlformats.org/officeDocument/2006/relationships/hyperlink" Target="https://www.nrg-farms.com/FarMS/harvest/reference?harvest_id=71028" TargetMode="External"/><Relationship Id="rId147" Type="http://schemas.openxmlformats.org/officeDocument/2006/relationships/hyperlink" Target="https://www.nrg-farms.com/FarMS/harvest/reference?harvest_id=73352" TargetMode="External"/><Relationship Id="rId354" Type="http://schemas.openxmlformats.org/officeDocument/2006/relationships/hyperlink" Target="https://www.nrg-farms.com/FarMS/harvest/reference?harvest_id=72033" TargetMode="External"/><Relationship Id="rId799" Type="http://schemas.openxmlformats.org/officeDocument/2006/relationships/hyperlink" Target="https://www.nrg-farms.com/FarMS/harvest/reference?harvest_id=70793" TargetMode="External"/><Relationship Id="rId51" Type="http://schemas.openxmlformats.org/officeDocument/2006/relationships/hyperlink" Target="https://www.nrg-farms.com/FarMS/harvest/reference?harvest_id=72979" TargetMode="External"/><Relationship Id="rId561" Type="http://schemas.openxmlformats.org/officeDocument/2006/relationships/hyperlink" Target="https://www.nrg-farms.com/FarMS/harvest/reference?harvest_id=71000" TargetMode="External"/><Relationship Id="rId659" Type="http://schemas.openxmlformats.org/officeDocument/2006/relationships/hyperlink" Target="https://www.nrg-farms.com/FarMS/harvest/reference?harvest_id=71514" TargetMode="External"/><Relationship Id="rId214" Type="http://schemas.openxmlformats.org/officeDocument/2006/relationships/hyperlink" Target="https://www.nrg-farms.com/FarMS/harvest/reference?harvest_id=72861" TargetMode="External"/><Relationship Id="rId298" Type="http://schemas.openxmlformats.org/officeDocument/2006/relationships/hyperlink" Target="https://www.nrg-farms.com/FarMS/harvest/reference?harvest_id=72086" TargetMode="External"/><Relationship Id="rId421" Type="http://schemas.openxmlformats.org/officeDocument/2006/relationships/hyperlink" Target="https://www.nrg-farms.com/FarMS/harvest/reference?harvest_id=71683" TargetMode="External"/><Relationship Id="rId519" Type="http://schemas.openxmlformats.org/officeDocument/2006/relationships/hyperlink" Target="https://www.nrg-farms.com/FarMS/harvest/reference?harvest_id=70980" TargetMode="External"/><Relationship Id="rId158" Type="http://schemas.openxmlformats.org/officeDocument/2006/relationships/hyperlink" Target="https://www.nrg-farms.com/FarMS/harvest/reference?harvest_id=73341" TargetMode="External"/><Relationship Id="rId726" Type="http://schemas.openxmlformats.org/officeDocument/2006/relationships/hyperlink" Target="https://www.nrg-farms.com/FarMS/harvest/reference?harvest_id=71017" TargetMode="External"/><Relationship Id="rId62" Type="http://schemas.openxmlformats.org/officeDocument/2006/relationships/hyperlink" Target="https://www.nrg-farms.com/FarMS/harvest/reference?harvest_id=72967" TargetMode="External"/><Relationship Id="rId365" Type="http://schemas.openxmlformats.org/officeDocument/2006/relationships/hyperlink" Target="https://www.nrg-farms.com/FarMS/harvest/reference?harvest_id=71931" TargetMode="External"/><Relationship Id="rId572" Type="http://schemas.openxmlformats.org/officeDocument/2006/relationships/hyperlink" Target="https://www.nrg-farms.com/FarMS/harvest/reference?harvest_id=70989" TargetMode="External"/><Relationship Id="rId225" Type="http://schemas.openxmlformats.org/officeDocument/2006/relationships/hyperlink" Target="https://www.nrg-farms.com/FarMS/harvest/reference?harvest_id=72850" TargetMode="External"/><Relationship Id="rId432" Type="http://schemas.openxmlformats.org/officeDocument/2006/relationships/hyperlink" Target="https://www.nrg-farms.com/FarMS/harvest/reference?harvest_id=71672" TargetMode="External"/><Relationship Id="rId737" Type="http://schemas.openxmlformats.org/officeDocument/2006/relationships/hyperlink" Target="https://www.nrg-farms.com/FarMS/harvest/reference?harvest_id=70855" TargetMode="External"/><Relationship Id="rId73" Type="http://schemas.openxmlformats.org/officeDocument/2006/relationships/hyperlink" Target="https://www.nrg-farms.com/FarMS/harvest/reference?harvest_id=72959" TargetMode="External"/><Relationship Id="rId169" Type="http://schemas.openxmlformats.org/officeDocument/2006/relationships/hyperlink" Target="https://www.nrg-farms.com/FarMS/harvest/reference?harvest_id=73330" TargetMode="External"/><Relationship Id="rId376" Type="http://schemas.openxmlformats.org/officeDocument/2006/relationships/hyperlink" Target="https://www.nrg-farms.com/FarMS/harvest/reference?harvest_id=71920" TargetMode="External"/><Relationship Id="rId583" Type="http://schemas.openxmlformats.org/officeDocument/2006/relationships/hyperlink" Target="https://www.nrg-farms.com/FarMS/harvest/reference?harvest_id=71588" TargetMode="External"/><Relationship Id="rId790" Type="http://schemas.openxmlformats.org/officeDocument/2006/relationships/hyperlink" Target="https://www.nrg-farms.com/FarMS/harvest/reference?harvest_id=70802" TargetMode="External"/><Relationship Id="rId804" Type="http://schemas.openxmlformats.org/officeDocument/2006/relationships/printerSettings" Target="../printerSettings/printerSettings2.bin"/><Relationship Id="rId4" Type="http://schemas.openxmlformats.org/officeDocument/2006/relationships/hyperlink" Target="https://www.nrg-farms.com/FarMS/harvest/reference?harvest_id=73476" TargetMode="External"/><Relationship Id="rId236" Type="http://schemas.openxmlformats.org/officeDocument/2006/relationships/hyperlink" Target="https://www.nrg-farms.com/FarMS/harvest/reference?harvest_id=72839" TargetMode="External"/><Relationship Id="rId443" Type="http://schemas.openxmlformats.org/officeDocument/2006/relationships/hyperlink" Target="https://www.nrg-farms.com/FarMS/harvest/reference?harvest_id=73446" TargetMode="External"/><Relationship Id="rId650" Type="http://schemas.openxmlformats.org/officeDocument/2006/relationships/hyperlink" Target="https://www.nrg-farms.com/FarMS/harvest/reference?harvest_id=71523" TargetMode="External"/><Relationship Id="rId303" Type="http://schemas.openxmlformats.org/officeDocument/2006/relationships/hyperlink" Target="https://www.nrg-farms.com/FarMS/harvest/reference?harvest_id=72081" TargetMode="External"/><Relationship Id="rId748" Type="http://schemas.openxmlformats.org/officeDocument/2006/relationships/hyperlink" Target="https://www.nrg-farms.com/FarMS/harvest/reference?harvest_id=70844" TargetMode="External"/><Relationship Id="rId84" Type="http://schemas.openxmlformats.org/officeDocument/2006/relationships/hyperlink" Target="https://www.nrg-farms.com/FarMS/harvest/reference?harvest_id=72948" TargetMode="External"/><Relationship Id="rId387" Type="http://schemas.openxmlformats.org/officeDocument/2006/relationships/hyperlink" Target="https://www.nrg-farms.com/FarMS/harvest/reference?harvest_id=71878" TargetMode="External"/><Relationship Id="rId510" Type="http://schemas.openxmlformats.org/officeDocument/2006/relationships/hyperlink" Target="https://www.nrg-farms.com/FarMS/harvest/reference?harvest_id=71599" TargetMode="External"/><Relationship Id="rId594" Type="http://schemas.openxmlformats.org/officeDocument/2006/relationships/hyperlink" Target="https://www.nrg-farms.com/FarMS/harvest/reference?harvest_id=71577" TargetMode="External"/><Relationship Id="rId608" Type="http://schemas.openxmlformats.org/officeDocument/2006/relationships/hyperlink" Target="https://www.nrg-farms.com/FarMS/harvest/reference?harvest_id=71563" TargetMode="External"/><Relationship Id="rId247" Type="http://schemas.openxmlformats.org/officeDocument/2006/relationships/hyperlink" Target="https://www.nrg-farms.com/FarMS/harvest/reference?harvest_id=72828" TargetMode="External"/><Relationship Id="rId107" Type="http://schemas.openxmlformats.org/officeDocument/2006/relationships/hyperlink" Target="https://www.nrg-farms.com/FarMS/harvest/reference?harvest_id=72925" TargetMode="External"/><Relationship Id="rId454" Type="http://schemas.openxmlformats.org/officeDocument/2006/relationships/hyperlink" Target="https://www.nrg-farms.com/FarMS/harvest/reference?harvest_id=71655" TargetMode="External"/><Relationship Id="rId661" Type="http://schemas.openxmlformats.org/officeDocument/2006/relationships/hyperlink" Target="https://www.nrg-farms.com/FarMS/harvest/reference?harvest_id=71512" TargetMode="External"/><Relationship Id="rId759" Type="http://schemas.openxmlformats.org/officeDocument/2006/relationships/hyperlink" Target="https://www.nrg-farms.com/FarMS/harvest/reference?harvest_id=70833" TargetMode="External"/><Relationship Id="rId11" Type="http://schemas.openxmlformats.org/officeDocument/2006/relationships/hyperlink" Target="https://www.nrg-farms.com/FarMS/harvest/reference?harvest_id=73469" TargetMode="External"/><Relationship Id="rId314" Type="http://schemas.openxmlformats.org/officeDocument/2006/relationships/hyperlink" Target="https://www.nrg-farms.com/FarMS/harvest/reference?harvest_id=73382" TargetMode="External"/><Relationship Id="rId398" Type="http://schemas.openxmlformats.org/officeDocument/2006/relationships/hyperlink" Target="https://www.nrg-farms.com/FarMS/harvest/reference?harvest_id=71867" TargetMode="External"/><Relationship Id="rId521" Type="http://schemas.openxmlformats.org/officeDocument/2006/relationships/hyperlink" Target="https://www.nrg-farms.com/FarMS/harvest/reference?harvest_id=70978" TargetMode="External"/><Relationship Id="rId619" Type="http://schemas.openxmlformats.org/officeDocument/2006/relationships/hyperlink" Target="https://www.nrg-farms.com/FarMS/harvest/reference?harvest_id=71554" TargetMode="External"/><Relationship Id="rId95" Type="http://schemas.openxmlformats.org/officeDocument/2006/relationships/hyperlink" Target="https://www.nrg-farms.com/FarMS/harvest/reference?harvest_id=72937" TargetMode="External"/><Relationship Id="rId160" Type="http://schemas.openxmlformats.org/officeDocument/2006/relationships/hyperlink" Target="https://www.nrg-farms.com/FarMS/harvest/reference?harvest_id=73339" TargetMode="External"/><Relationship Id="rId258" Type="http://schemas.openxmlformats.org/officeDocument/2006/relationships/hyperlink" Target="https://www.nrg-farms.com/FarMS/harvest/reference?harvest_id=72817" TargetMode="External"/><Relationship Id="rId465" Type="http://schemas.openxmlformats.org/officeDocument/2006/relationships/hyperlink" Target="https://www.nrg-farms.com/FarMS/harvest/reference?harvest_id=71644" TargetMode="External"/><Relationship Id="rId672" Type="http://schemas.openxmlformats.org/officeDocument/2006/relationships/hyperlink" Target="https://www.nrg-farms.com/FarMS/harvest/reference?harvest_id=71498" TargetMode="External"/><Relationship Id="rId22" Type="http://schemas.openxmlformats.org/officeDocument/2006/relationships/hyperlink" Target="https://www.nrg-farms.com/FarMS/harvest/reference?harvest_id=73391" TargetMode="External"/><Relationship Id="rId118" Type="http://schemas.openxmlformats.org/officeDocument/2006/relationships/hyperlink" Target="https://www.nrg-farms.com/FarMS/harvest/reference?harvest_id=72914" TargetMode="External"/><Relationship Id="rId325" Type="http://schemas.openxmlformats.org/officeDocument/2006/relationships/hyperlink" Target="https://www.nrg-farms.com/FarMS/harvest/reference?harvest_id=72067" TargetMode="External"/><Relationship Id="rId532" Type="http://schemas.openxmlformats.org/officeDocument/2006/relationships/hyperlink" Target="https://www.nrg-farms.com/FarMS/harvest/reference?harvest_id=70967" TargetMode="External"/><Relationship Id="rId171" Type="http://schemas.openxmlformats.org/officeDocument/2006/relationships/hyperlink" Target="https://www.nrg-farms.com/FarMS/harvest/reference?harvest_id=73451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nrg-farms.com/FarMS/harvest/reference?harvest_id=70283" TargetMode="External"/><Relationship Id="rId1" Type="http://schemas.openxmlformats.org/officeDocument/2006/relationships/hyperlink" Target="https://www.nrg-farms.com/FarMS/harvest/reference?harvest_id=7028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696"/>
  <sheetViews>
    <sheetView workbookViewId="0">
      <selection activeCell="A15" sqref="A15"/>
    </sheetView>
  </sheetViews>
  <sheetFormatPr defaultRowHeight="18"/>
  <cols>
    <col min="1" max="1" width="27.9140625" bestFit="1" customWidth="1"/>
    <col min="2" max="2" width="9.1640625" bestFit="1" customWidth="1"/>
    <col min="3" max="4" width="22.08203125" bestFit="1" customWidth="1"/>
    <col min="5" max="5" width="22.08203125" customWidth="1"/>
    <col min="6" max="6" width="22.08203125" bestFit="1" customWidth="1"/>
    <col min="7" max="7" width="12.33203125" bestFit="1" customWidth="1"/>
    <col min="8" max="9" width="22.08203125" bestFit="1" customWidth="1"/>
  </cols>
  <sheetData>
    <row r="1" spans="1:9">
      <c r="A1" t="s">
        <v>0</v>
      </c>
      <c r="B1" t="s">
        <v>1</v>
      </c>
      <c r="C1" t="s">
        <v>19</v>
      </c>
      <c r="D1" t="s">
        <v>20</v>
      </c>
      <c r="E1" t="s">
        <v>21</v>
      </c>
      <c r="F1" t="s">
        <v>22</v>
      </c>
    </row>
    <row r="2" spans="1:9">
      <c r="A2" t="s">
        <v>2</v>
      </c>
      <c r="B2">
        <v>730</v>
      </c>
      <c r="C2" t="str" cm="1">
        <f t="array" ref="C2">IF(
  AND(ISNUMBER(SEARCH("加工品",SUBSTITUTE(A2,"　"," "))), ISNUMBER(SEARCH("ベビーリーフ",SUBSTITUTE(A2,"　"," ")))),
  "ベビーリーフ（加工品）",
  IFERROR(
    INDEX($I$2:$I$10, MATCH(TRUE, ISNUMBER(SEARCH($H$2:$H$10, SUBSTITUTE(A2,"　"," "))), 0)),
    TRIM(SUBSTITUTE(A2,"　"," "))
  )
)</f>
        <v>グリーンオーク</v>
      </c>
      <c r="D2">
        <f>--SUBSTITUTE(B2,",","")</f>
        <v>730</v>
      </c>
      <c r="E2">
        <f>SUMIF($C:$C,#REF!, $D:$D)</f>
        <v>0</v>
      </c>
      <c r="F2" t="str" cm="1">
        <f t="array" ref="F2:F11">_xlfn._xlws.SORT(_xlfn.UNIQUE($C$2:$C$9999))</f>
        <v>アマランサス</v>
      </c>
      <c r="H2" t="s">
        <v>18</v>
      </c>
      <c r="I2" t="s">
        <v>18</v>
      </c>
    </row>
    <row r="3" spans="1:9">
      <c r="A3" t="s">
        <v>3</v>
      </c>
      <c r="B3">
        <v>160</v>
      </c>
      <c r="C3" t="str" cm="1">
        <f t="array" ref="C3">IF(
  AND(ISNUMBER(SEARCH("加工品",SUBSTITUTE(A3,"　"," "))), ISNUMBER(SEARCH("ベビーリーフ",SUBSTITUTE(A3,"　"," ")))),
  "ベビーリーフ（加工品）",
  IFERROR(
    INDEX($I$2:$I$10, MATCH(TRUE, ISNUMBER(SEARCH($H$2:$H$10, SUBSTITUTE(A3,"　"," "))), 0)),
    TRIM(SUBSTITUTE(A3,"　"," "))
  )
)</f>
        <v>ベビーリーフ（加工品）</v>
      </c>
      <c r="D3">
        <f t="shared" ref="D3:D66" si="0">--SUBSTITUTE(B3,",","")</f>
        <v>160</v>
      </c>
      <c r="E3">
        <f t="shared" ref="E3:E11" si="1">SUMIF($C:$C, F3, $D:$D)</f>
        <v>7648</v>
      </c>
      <c r="F3" t="str">
        <v>イチゴ</v>
      </c>
      <c r="H3" t="s">
        <v>5</v>
      </c>
      <c r="I3" t="s">
        <v>5</v>
      </c>
    </row>
    <row r="4" spans="1:9">
      <c r="A4" t="s">
        <v>2</v>
      </c>
      <c r="B4" s="1">
        <v>1770</v>
      </c>
      <c r="C4" t="str" cm="1">
        <f t="array" ref="C4">IF(
  AND(ISNUMBER(SEARCH("加工品",SUBSTITUTE(A4,"　"," "))), ISNUMBER(SEARCH("ベビーリーフ",SUBSTITUTE(A4,"　"," ")))),
  "ベビーリーフ（加工品）",
  IFERROR(
    INDEX($I$2:$I$10, MATCH(TRUE, ISNUMBER(SEARCH($H$2:$H$10, SUBSTITUTE(A4,"　"," "))), 0)),
    TRIM(SUBSTITUTE(A4,"　"," "))
  )
)</f>
        <v>グリーンオーク</v>
      </c>
      <c r="D4">
        <f t="shared" si="0"/>
        <v>1770</v>
      </c>
      <c r="E4">
        <f t="shared" si="1"/>
        <v>63450</v>
      </c>
      <c r="F4" t="str">
        <v>グリーンオーク</v>
      </c>
      <c r="H4" t="s">
        <v>7</v>
      </c>
      <c r="I4" t="s">
        <v>7</v>
      </c>
    </row>
    <row r="5" spans="1:9">
      <c r="A5" t="s">
        <v>4</v>
      </c>
      <c r="B5" s="1">
        <v>1580</v>
      </c>
      <c r="C5" t="str" cm="1">
        <f t="array" ref="C5">IF(
  AND(ISNUMBER(SEARCH("加工品",SUBSTITUTE(A5,"　"," "))), ISNUMBER(SEARCH("ベビーリーフ",SUBSTITUTE(A5,"　"," ")))),
  "ベビーリーフ（加工品）",
  IFERROR(
    INDEX($I$2:$I$10, MATCH(TRUE, ISNUMBER(SEARCH($H$2:$H$10, SUBSTITUTE(A5,"　"," "))), 0)),
    TRIM(SUBSTITUTE(A5,"　"," "))
  )
)</f>
        <v>ピノグリーン</v>
      </c>
      <c r="D5">
        <f t="shared" si="0"/>
        <v>1580</v>
      </c>
      <c r="E5">
        <f t="shared" si="1"/>
        <v>30670</v>
      </c>
      <c r="F5" t="str">
        <v>ピノグリーン</v>
      </c>
      <c r="H5" t="s">
        <v>15</v>
      </c>
      <c r="I5" t="s">
        <v>15</v>
      </c>
    </row>
    <row r="6" spans="1:9">
      <c r="A6" t="s">
        <v>3</v>
      </c>
      <c r="B6">
        <v>200</v>
      </c>
      <c r="C6" t="str" cm="1">
        <f t="array" ref="C6">IF(
  AND(ISNUMBER(SEARCH("加工品",SUBSTITUTE(A6,"　"," "))), ISNUMBER(SEARCH("ベビーリーフ",SUBSTITUTE(A6,"　"," ")))),
  "ベビーリーフ（加工品）",
  IFERROR(
    INDEX($I$2:$I$10, MATCH(TRUE, ISNUMBER(SEARCH($H$2:$H$10, SUBSTITUTE(A6,"　"," "))), 0)),
    TRIM(SUBSTITUTE(A6,"　"," "))
  )
)</f>
        <v>ベビーリーフ（加工品）</v>
      </c>
      <c r="D6">
        <f t="shared" si="0"/>
        <v>200</v>
      </c>
      <c r="E6">
        <f t="shared" si="1"/>
        <v>1890</v>
      </c>
      <c r="F6" t="str">
        <v>ブロッコリースプラウト</v>
      </c>
      <c r="H6" t="s">
        <v>8</v>
      </c>
      <c r="I6" t="s">
        <v>8</v>
      </c>
    </row>
    <row r="7" spans="1:9">
      <c r="A7" t="s">
        <v>4</v>
      </c>
      <c r="B7">
        <v>160</v>
      </c>
      <c r="C7" t="str" cm="1">
        <f t="array" ref="C7">IF(
  AND(ISNUMBER(SEARCH("加工品",SUBSTITUTE(A7,"　"," "))), ISNUMBER(SEARCH("ベビーリーフ",SUBSTITUTE(A7,"　"," ")))),
  "ベビーリーフ（加工品）",
  IFERROR(
    INDEX($I$2:$I$10, MATCH(TRUE, ISNUMBER(SEARCH($H$2:$H$10, SUBSTITUTE(A7,"　"," "))), 0)),
    TRIM(SUBSTITUTE(A7,"　"," "))
  )
)</f>
        <v>ピノグリーン</v>
      </c>
      <c r="D7">
        <f t="shared" si="0"/>
        <v>160</v>
      </c>
      <c r="E7">
        <f t="shared" si="1"/>
        <v>121230</v>
      </c>
      <c r="F7" t="str">
        <v>ベビーリーフ（加工品）</v>
      </c>
      <c r="H7" t="s">
        <v>12</v>
      </c>
      <c r="I7" t="s">
        <v>12</v>
      </c>
    </row>
    <row r="8" spans="1:9">
      <c r="A8" t="s">
        <v>2</v>
      </c>
      <c r="B8">
        <v>120</v>
      </c>
      <c r="C8" t="str" cm="1">
        <f t="array" ref="C8">IF(
  AND(ISNUMBER(SEARCH("加工品",SUBSTITUTE(A8,"　"," "))), ISNUMBER(SEARCH("ベビーリーフ",SUBSTITUTE(A8,"　"," ")))),
  "ベビーリーフ（加工品）",
  IFERROR(
    INDEX($I$2:$I$10, MATCH(TRUE, ISNUMBER(SEARCH($H$2:$H$10, SUBSTITUTE(A8,"　"," "))), 0)),
    TRIM(SUBSTITUTE(A8,"　"," "))
  )
)</f>
        <v>グリーンオーク</v>
      </c>
      <c r="D8">
        <f t="shared" si="0"/>
        <v>120</v>
      </c>
      <c r="E8">
        <f t="shared" si="1"/>
        <v>61930</v>
      </c>
      <c r="F8" t="str">
        <v>レッドオーク</v>
      </c>
      <c r="H8" t="s">
        <v>16</v>
      </c>
      <c r="I8" t="s">
        <v>16</v>
      </c>
    </row>
    <row r="9" spans="1:9">
      <c r="A9" t="s">
        <v>3</v>
      </c>
      <c r="B9">
        <v>280</v>
      </c>
      <c r="C9" t="str" cm="1">
        <f t="array" ref="C9">IF(
  AND(ISNUMBER(SEARCH("加工品",SUBSTITUTE(A9,"　"," "))), ISNUMBER(SEARCH("ベビーリーフ",SUBSTITUTE(A9,"　"," ")))),
  "ベビーリーフ（加工品）",
  IFERROR(
    INDEX($I$2:$I$10, MATCH(TRUE, ISNUMBER(SEARCH($H$2:$H$10, SUBSTITUTE(A9,"　"," "))), 0)),
    TRIM(SUBSTITUTE(A9,"　"," "))
  )
)</f>
        <v>ベビーリーフ（加工品）</v>
      </c>
      <c r="D9">
        <f t="shared" si="0"/>
        <v>280</v>
      </c>
      <c r="E9">
        <f t="shared" si="1"/>
        <v>104090</v>
      </c>
      <c r="F9" t="str">
        <v>ロロロッサ</v>
      </c>
      <c r="H9" t="s">
        <v>13</v>
      </c>
      <c r="I9" t="s">
        <v>13</v>
      </c>
    </row>
    <row r="10" spans="1:9">
      <c r="A10" t="s">
        <v>4</v>
      </c>
      <c r="B10">
        <v>220</v>
      </c>
      <c r="C10" t="str" cm="1">
        <f t="array" ref="C10">IF(
  AND(ISNUMBER(SEARCH("加工品",SUBSTITUTE(A10,"　"," "))), ISNUMBER(SEARCH("ベビーリーフ",SUBSTITUTE(A10,"　"," ")))),
  "ベビーリーフ（加工品）",
  IFERROR(
    INDEX($I$2:$I$10, MATCH(TRUE, ISNUMBER(SEARCH($H$2:$H$10, SUBSTITUTE(A10,"　"," "))), 0)),
    TRIM(SUBSTITUTE(A10,"　"," "))
  )
)</f>
        <v>ピノグリーン</v>
      </c>
      <c r="D10">
        <f t="shared" si="0"/>
        <v>220</v>
      </c>
      <c r="E10">
        <f t="shared" si="1"/>
        <v>60</v>
      </c>
      <c r="F10" t="str">
        <v>縮緬ケール</v>
      </c>
      <c r="H10" t="s">
        <v>3</v>
      </c>
      <c r="I10" t="s">
        <v>17</v>
      </c>
    </row>
    <row r="11" spans="1:9">
      <c r="A11" t="s">
        <v>2</v>
      </c>
      <c r="B11">
        <v>200</v>
      </c>
      <c r="C11" t="str" cm="1">
        <f t="array" ref="C11">IF(
  AND(ISNUMBER(SEARCH("加工品",SUBSTITUTE(A11,"　"," "))), ISNUMBER(SEARCH("ベビーリーフ",SUBSTITUTE(A11,"　"," ")))),
  "ベビーリーフ（加工品）",
  IFERROR(
    INDEX($I$2:$I$10, MATCH(TRUE, ISNUMBER(SEARCH($H$2:$H$10, SUBSTITUTE(A11,"　"," "))), 0)),
    TRIM(SUBSTITUTE(A11,"　"," "))
  )
)</f>
        <v>グリーンオーク</v>
      </c>
      <c r="D11">
        <f t="shared" si="0"/>
        <v>200</v>
      </c>
      <c r="E11">
        <f t="shared" si="1"/>
        <v>0</v>
      </c>
      <c r="F11">
        <v>0</v>
      </c>
    </row>
    <row r="12" spans="1:9">
      <c r="A12" t="s">
        <v>4</v>
      </c>
      <c r="B12">
        <v>380</v>
      </c>
      <c r="C12" t="str" cm="1">
        <f t="array" ref="C12">IF(
  AND(ISNUMBER(SEARCH("加工品",SUBSTITUTE(A12,"　"," "))), ISNUMBER(SEARCH("ベビーリーフ",SUBSTITUTE(A12,"　"," ")))),
  "ベビーリーフ（加工品）",
  IFERROR(
    INDEX($I$2:$I$10, MATCH(TRUE, ISNUMBER(SEARCH($H$2:$H$10, SUBSTITUTE(A12,"　"," "))), 0)),
    TRIM(SUBSTITUTE(A12,"　"," "))
  )
)</f>
        <v>ピノグリーン</v>
      </c>
      <c r="D12">
        <f t="shared" si="0"/>
        <v>380</v>
      </c>
    </row>
    <row r="13" spans="1:9">
      <c r="A13" t="s">
        <v>2</v>
      </c>
      <c r="B13">
        <v>200</v>
      </c>
      <c r="C13" t="str" cm="1">
        <f t="array" ref="C13">IF(
  AND(ISNUMBER(SEARCH("加工品",SUBSTITUTE(A13,"　"," "))), ISNUMBER(SEARCH("ベビーリーフ",SUBSTITUTE(A13,"　"," ")))),
  "ベビーリーフ（加工品）",
  IFERROR(
    INDEX($I$2:$I$10, MATCH(TRUE, ISNUMBER(SEARCH($H$2:$H$10, SUBSTITUTE(A13,"　"," "))), 0)),
    TRIM(SUBSTITUTE(A13,"　"," "))
  )
)</f>
        <v>グリーンオーク</v>
      </c>
      <c r="D13">
        <f t="shared" si="0"/>
        <v>200</v>
      </c>
    </row>
    <row r="14" spans="1:9">
      <c r="A14" t="s">
        <v>3</v>
      </c>
      <c r="B14">
        <v>160</v>
      </c>
      <c r="C14" t="str" cm="1">
        <f t="array" ref="C14">IF(
  AND(ISNUMBER(SEARCH("加工品",SUBSTITUTE(A14,"　"," "))), ISNUMBER(SEARCH("ベビーリーフ",SUBSTITUTE(A14,"　"," ")))),
  "ベビーリーフ（加工品）",
  IFERROR(
    INDEX($I$2:$I$10, MATCH(TRUE, ISNUMBER(SEARCH($H$2:$H$10, SUBSTITUTE(A14,"　"," "))), 0)),
    TRIM(SUBSTITUTE(A14,"　"," "))
  )
)</f>
        <v>ベビーリーフ（加工品）</v>
      </c>
      <c r="D14">
        <f t="shared" si="0"/>
        <v>160</v>
      </c>
    </row>
    <row r="15" spans="1:9">
      <c r="A15" t="s">
        <v>3</v>
      </c>
      <c r="B15">
        <v>100</v>
      </c>
      <c r="C15" t="str" cm="1">
        <f t="array" ref="C15">IF(
  AND(ISNUMBER(SEARCH("加工品",SUBSTITUTE(A15,"　"," "))), ISNUMBER(SEARCH("ベビーリーフ",SUBSTITUTE(A15,"　"," ")))),
  "ベビーリーフ（加工品）",
  IFERROR(
    INDEX($I$2:$I$10, MATCH(TRUE, ISNUMBER(SEARCH($H$2:$H$10, SUBSTITUTE(A15,"　"," "))), 0)),
    TRIM(SUBSTITUTE(A15,"　"," "))
  )
)</f>
        <v>ベビーリーフ（加工品）</v>
      </c>
      <c r="D15">
        <f t="shared" si="0"/>
        <v>100</v>
      </c>
    </row>
    <row r="16" spans="1:9">
      <c r="A16" t="s">
        <v>4</v>
      </c>
      <c r="B16">
        <v>320</v>
      </c>
      <c r="C16" t="str" cm="1">
        <f t="array" ref="C16">IF(
  AND(ISNUMBER(SEARCH("加工品",SUBSTITUTE(A16,"　"," "))), ISNUMBER(SEARCH("ベビーリーフ",SUBSTITUTE(A16,"　"," ")))),
  "ベビーリーフ（加工品）",
  IFERROR(
    INDEX($I$2:$I$10, MATCH(TRUE, ISNUMBER(SEARCH($H$2:$H$10, SUBSTITUTE(A16,"　"," "))), 0)),
    TRIM(SUBSTITUTE(A16,"　"," "))
  )
)</f>
        <v>ピノグリーン</v>
      </c>
      <c r="D16">
        <f t="shared" si="0"/>
        <v>320</v>
      </c>
    </row>
    <row r="17" spans="1:4">
      <c r="A17" t="s">
        <v>2</v>
      </c>
      <c r="B17">
        <v>240</v>
      </c>
      <c r="C17" t="str" cm="1">
        <f t="array" ref="C17">IF(
  AND(ISNUMBER(SEARCH("加工品",SUBSTITUTE(A17,"　"," "))), ISNUMBER(SEARCH("ベビーリーフ",SUBSTITUTE(A17,"　"," ")))),
  "ベビーリーフ（加工品）",
  IFERROR(
    INDEX($I$2:$I$10, MATCH(TRUE, ISNUMBER(SEARCH($H$2:$H$10, SUBSTITUTE(A17,"　"," "))), 0)),
    TRIM(SUBSTITUTE(A17,"　"," "))
  )
)</f>
        <v>グリーンオーク</v>
      </c>
      <c r="D17">
        <f t="shared" si="0"/>
        <v>240</v>
      </c>
    </row>
    <row r="18" spans="1:4">
      <c r="A18" t="s">
        <v>3</v>
      </c>
      <c r="B18">
        <v>320</v>
      </c>
      <c r="C18" t="str" cm="1">
        <f t="array" ref="C18">IF(
  AND(ISNUMBER(SEARCH("加工品",SUBSTITUTE(A18,"　"," "))), ISNUMBER(SEARCH("ベビーリーフ",SUBSTITUTE(A18,"　"," ")))),
  "ベビーリーフ（加工品）",
  IFERROR(
    INDEX($I$2:$I$10, MATCH(TRUE, ISNUMBER(SEARCH($H$2:$H$10, SUBSTITUTE(A18,"　"," "))), 0)),
    TRIM(SUBSTITUTE(A18,"　"," "))
  )
)</f>
        <v>ベビーリーフ（加工品）</v>
      </c>
      <c r="D18">
        <f t="shared" si="0"/>
        <v>320</v>
      </c>
    </row>
    <row r="19" spans="1:4">
      <c r="A19" t="s">
        <v>4</v>
      </c>
      <c r="B19">
        <v>300</v>
      </c>
      <c r="C19" t="str" cm="1">
        <f t="array" ref="C19">IF(
  AND(ISNUMBER(SEARCH("加工品",SUBSTITUTE(A19,"　"," "))), ISNUMBER(SEARCH("ベビーリーフ",SUBSTITUTE(A19,"　"," ")))),
  "ベビーリーフ（加工品）",
  IFERROR(
    INDEX($I$2:$I$10, MATCH(TRUE, ISNUMBER(SEARCH($H$2:$H$10, SUBSTITUTE(A19,"　"," "))), 0)),
    TRIM(SUBSTITUTE(A19,"　"," "))
  )
)</f>
        <v>ピノグリーン</v>
      </c>
      <c r="D19">
        <f t="shared" si="0"/>
        <v>300</v>
      </c>
    </row>
    <row r="20" spans="1:4">
      <c r="A20" t="s">
        <v>2</v>
      </c>
      <c r="B20">
        <v>340</v>
      </c>
      <c r="C20" t="str" cm="1">
        <f t="array" ref="C20">IF(
  AND(ISNUMBER(SEARCH("加工品",SUBSTITUTE(A20,"　"," "))), ISNUMBER(SEARCH("ベビーリーフ",SUBSTITUTE(A20,"　"," ")))),
  "ベビーリーフ（加工品）",
  IFERROR(
    INDEX($I$2:$I$10, MATCH(TRUE, ISNUMBER(SEARCH($H$2:$H$10, SUBSTITUTE(A20,"　"," "))), 0)),
    TRIM(SUBSTITUTE(A20,"　"," "))
  )
)</f>
        <v>グリーンオーク</v>
      </c>
      <c r="D20">
        <f t="shared" si="0"/>
        <v>340</v>
      </c>
    </row>
    <row r="21" spans="1:4">
      <c r="A21" t="s">
        <v>3</v>
      </c>
      <c r="B21">
        <v>160</v>
      </c>
      <c r="C21" t="str" cm="1">
        <f t="array" ref="C21">IF(
  AND(ISNUMBER(SEARCH("加工品",SUBSTITUTE(A21,"　"," "))), ISNUMBER(SEARCH("ベビーリーフ",SUBSTITUTE(A21,"　"," ")))),
  "ベビーリーフ（加工品）",
  IFERROR(
    INDEX($I$2:$I$10, MATCH(TRUE, ISNUMBER(SEARCH($H$2:$H$10, SUBSTITUTE(A21,"　"," "))), 0)),
    TRIM(SUBSTITUTE(A21,"　"," "))
  )
)</f>
        <v>ベビーリーフ（加工品）</v>
      </c>
      <c r="D21">
        <f t="shared" si="0"/>
        <v>160</v>
      </c>
    </row>
    <row r="22" spans="1:4">
      <c r="A22" t="s">
        <v>2</v>
      </c>
      <c r="B22">
        <v>180</v>
      </c>
      <c r="C22" t="str" cm="1">
        <f t="array" ref="C22">IF(
  AND(ISNUMBER(SEARCH("加工品",SUBSTITUTE(A22,"　"," "))), ISNUMBER(SEARCH("ベビーリーフ",SUBSTITUTE(A22,"　"," ")))),
  "ベビーリーフ（加工品）",
  IFERROR(
    INDEX($I$2:$I$10, MATCH(TRUE, ISNUMBER(SEARCH($H$2:$H$10, SUBSTITUTE(A22,"　"," "))), 0)),
    TRIM(SUBSTITUTE(A22,"　"," "))
  )
)</f>
        <v>グリーンオーク</v>
      </c>
      <c r="D22">
        <f t="shared" si="0"/>
        <v>180</v>
      </c>
    </row>
    <row r="23" spans="1:4">
      <c r="A23" t="s">
        <v>4</v>
      </c>
      <c r="B23">
        <v>80</v>
      </c>
      <c r="C23" t="str" cm="1">
        <f t="array" ref="C23">IF(
  AND(ISNUMBER(SEARCH("加工品",SUBSTITUTE(A23,"　"," "))), ISNUMBER(SEARCH("ベビーリーフ",SUBSTITUTE(A23,"　"," ")))),
  "ベビーリーフ（加工品）",
  IFERROR(
    INDEX($I$2:$I$10, MATCH(TRUE, ISNUMBER(SEARCH($H$2:$H$10, SUBSTITUTE(A23,"　"," "))), 0)),
    TRIM(SUBSTITUTE(A23,"　"," "))
  )
)</f>
        <v>ピノグリーン</v>
      </c>
      <c r="D23">
        <f t="shared" si="0"/>
        <v>80</v>
      </c>
    </row>
    <row r="24" spans="1:4">
      <c r="A24" t="s">
        <v>3</v>
      </c>
      <c r="B24">
        <v>260</v>
      </c>
      <c r="C24" t="str" cm="1">
        <f t="array" ref="C24">IF(
  AND(ISNUMBER(SEARCH("加工品",SUBSTITUTE(A24,"　"," "))), ISNUMBER(SEARCH("ベビーリーフ",SUBSTITUTE(A24,"　"," ")))),
  "ベビーリーフ（加工品）",
  IFERROR(
    INDEX($I$2:$I$10, MATCH(TRUE, ISNUMBER(SEARCH($H$2:$H$10, SUBSTITUTE(A24,"　"," "))), 0)),
    TRIM(SUBSTITUTE(A24,"　"," "))
  )
)</f>
        <v>ベビーリーフ（加工品）</v>
      </c>
      <c r="D24">
        <f t="shared" si="0"/>
        <v>260</v>
      </c>
    </row>
    <row r="25" spans="1:4">
      <c r="A25" t="s">
        <v>4</v>
      </c>
      <c r="B25">
        <v>140</v>
      </c>
      <c r="C25" t="str" cm="1">
        <f t="array" ref="C25">IF(
  AND(ISNUMBER(SEARCH("加工品",SUBSTITUTE(A25,"　"," "))), ISNUMBER(SEARCH("ベビーリーフ",SUBSTITUTE(A25,"　"," ")))),
  "ベビーリーフ（加工品）",
  IFERROR(
    INDEX($I$2:$I$10, MATCH(TRUE, ISNUMBER(SEARCH($H$2:$H$10, SUBSTITUTE(A25,"　"," "))), 0)),
    TRIM(SUBSTITUTE(A25,"　"," "))
  )
)</f>
        <v>ピノグリーン</v>
      </c>
      <c r="D25">
        <f t="shared" si="0"/>
        <v>140</v>
      </c>
    </row>
    <row r="26" spans="1:4">
      <c r="A26" t="s">
        <v>2</v>
      </c>
      <c r="B26">
        <v>440</v>
      </c>
      <c r="C26" t="str" cm="1">
        <f t="array" ref="C26">IF(
  AND(ISNUMBER(SEARCH("加工品",SUBSTITUTE(A26,"　"," "))), ISNUMBER(SEARCH("ベビーリーフ",SUBSTITUTE(A26,"　"," ")))),
  "ベビーリーフ（加工品）",
  IFERROR(
    INDEX($I$2:$I$10, MATCH(TRUE, ISNUMBER(SEARCH($H$2:$H$10, SUBSTITUTE(A26,"　"," "))), 0)),
    TRIM(SUBSTITUTE(A26,"　"," "))
  )
)</f>
        <v>グリーンオーク</v>
      </c>
      <c r="D26">
        <f t="shared" si="0"/>
        <v>440</v>
      </c>
    </row>
    <row r="27" spans="1:4">
      <c r="A27" t="s">
        <v>3</v>
      </c>
      <c r="B27">
        <v>140</v>
      </c>
      <c r="C27" t="str" cm="1">
        <f t="array" ref="C27">IF(
  AND(ISNUMBER(SEARCH("加工品",SUBSTITUTE(A27,"　"," "))), ISNUMBER(SEARCH("ベビーリーフ",SUBSTITUTE(A27,"　"," ")))),
  "ベビーリーフ（加工品）",
  IFERROR(
    INDEX($I$2:$I$10, MATCH(TRUE, ISNUMBER(SEARCH($H$2:$H$10, SUBSTITUTE(A27,"　"," "))), 0)),
    TRIM(SUBSTITUTE(A27,"　"," "))
  )
)</f>
        <v>ベビーリーフ（加工品）</v>
      </c>
      <c r="D27">
        <f t="shared" si="0"/>
        <v>140</v>
      </c>
    </row>
    <row r="28" spans="1:4">
      <c r="A28" t="s">
        <v>4</v>
      </c>
      <c r="B28">
        <v>320</v>
      </c>
      <c r="C28" t="str" cm="1">
        <f t="array" ref="C28">IF(
  AND(ISNUMBER(SEARCH("加工品",SUBSTITUTE(A28,"　"," "))), ISNUMBER(SEARCH("ベビーリーフ",SUBSTITUTE(A28,"　"," ")))),
  "ベビーリーフ（加工品）",
  IFERROR(
    INDEX($I$2:$I$10, MATCH(TRUE, ISNUMBER(SEARCH($H$2:$H$10, SUBSTITUTE(A28,"　"," "))), 0)),
    TRIM(SUBSTITUTE(A28,"　"," "))
  )
)</f>
        <v>ピノグリーン</v>
      </c>
      <c r="D28">
        <f t="shared" si="0"/>
        <v>320</v>
      </c>
    </row>
    <row r="29" spans="1:4">
      <c r="A29" t="s">
        <v>3</v>
      </c>
      <c r="B29">
        <v>280</v>
      </c>
      <c r="C29" t="str" cm="1">
        <f t="array" ref="C29">IF(
  AND(ISNUMBER(SEARCH("加工品",SUBSTITUTE(A29,"　"," "))), ISNUMBER(SEARCH("ベビーリーフ",SUBSTITUTE(A29,"　"," ")))),
  "ベビーリーフ（加工品）",
  IFERROR(
    INDEX($I$2:$I$10, MATCH(TRUE, ISNUMBER(SEARCH($H$2:$H$10, SUBSTITUTE(A29,"　"," "))), 0)),
    TRIM(SUBSTITUTE(A29,"　"," "))
  )
)</f>
        <v>ベビーリーフ（加工品）</v>
      </c>
      <c r="D29">
        <f t="shared" si="0"/>
        <v>280</v>
      </c>
    </row>
    <row r="30" spans="1:4">
      <c r="A30" t="s">
        <v>4</v>
      </c>
      <c r="B30">
        <v>160</v>
      </c>
      <c r="C30" t="str" cm="1">
        <f t="array" ref="C30">IF(
  AND(ISNUMBER(SEARCH("加工品",SUBSTITUTE(A30,"　"," "))), ISNUMBER(SEARCH("ベビーリーフ",SUBSTITUTE(A30,"　"," ")))),
  "ベビーリーフ（加工品）",
  IFERROR(
    INDEX($I$2:$I$10, MATCH(TRUE, ISNUMBER(SEARCH($H$2:$H$10, SUBSTITUTE(A30,"　"," "))), 0)),
    TRIM(SUBSTITUTE(A30,"　"," "))
  )
)</f>
        <v>ピノグリーン</v>
      </c>
      <c r="D30">
        <f t="shared" si="0"/>
        <v>160</v>
      </c>
    </row>
    <row r="31" spans="1:4">
      <c r="A31" t="s">
        <v>2</v>
      </c>
      <c r="B31">
        <v>360</v>
      </c>
      <c r="C31" t="str" cm="1">
        <f t="array" ref="C31">IF(
  AND(ISNUMBER(SEARCH("加工品",SUBSTITUTE(A31,"　"," "))), ISNUMBER(SEARCH("ベビーリーフ",SUBSTITUTE(A31,"　"," ")))),
  "ベビーリーフ（加工品）",
  IFERROR(
    INDEX($I$2:$I$10, MATCH(TRUE, ISNUMBER(SEARCH($H$2:$H$10, SUBSTITUTE(A31,"　"," "))), 0)),
    TRIM(SUBSTITUTE(A31,"　"," "))
  )
)</f>
        <v>グリーンオーク</v>
      </c>
      <c r="D31">
        <f t="shared" si="0"/>
        <v>360</v>
      </c>
    </row>
    <row r="32" spans="1:4">
      <c r="A32" t="s">
        <v>2</v>
      </c>
      <c r="B32">
        <v>750</v>
      </c>
      <c r="C32" t="str" cm="1">
        <f t="array" ref="C32">IF(
  AND(ISNUMBER(SEARCH("加工品",SUBSTITUTE(A32,"　"," "))), ISNUMBER(SEARCH("ベビーリーフ",SUBSTITUTE(A32,"　"," ")))),
  "ベビーリーフ（加工品）",
  IFERROR(
    INDEX($I$2:$I$10, MATCH(TRUE, ISNUMBER(SEARCH($H$2:$H$10, SUBSTITUTE(A32,"　"," "))), 0)),
    TRIM(SUBSTITUTE(A32,"　"," "))
  )
)</f>
        <v>グリーンオーク</v>
      </c>
      <c r="D32">
        <f t="shared" si="0"/>
        <v>750</v>
      </c>
    </row>
    <row r="33" spans="1:4">
      <c r="A33" t="s">
        <v>2</v>
      </c>
      <c r="B33">
        <v>180</v>
      </c>
      <c r="C33" t="str" cm="1">
        <f t="array" ref="C33">IF(
  AND(ISNUMBER(SEARCH("加工品",SUBSTITUTE(A33,"　"," "))), ISNUMBER(SEARCH("ベビーリーフ",SUBSTITUTE(A33,"　"," ")))),
  "ベビーリーフ（加工品）",
  IFERROR(
    INDEX($I$2:$I$10, MATCH(TRUE, ISNUMBER(SEARCH($H$2:$H$10, SUBSTITUTE(A33,"　"," "))), 0)),
    TRIM(SUBSTITUTE(A33,"　"," "))
  )
)</f>
        <v>グリーンオーク</v>
      </c>
      <c r="D33">
        <f t="shared" si="0"/>
        <v>180</v>
      </c>
    </row>
    <row r="34" spans="1:4">
      <c r="A34" t="s">
        <v>4</v>
      </c>
      <c r="B34">
        <v>280</v>
      </c>
      <c r="C34" t="str" cm="1">
        <f t="array" ref="C34">IF(
  AND(ISNUMBER(SEARCH("加工品",SUBSTITUTE(A34,"　"," "))), ISNUMBER(SEARCH("ベビーリーフ",SUBSTITUTE(A34,"　"," ")))),
  "ベビーリーフ（加工品）",
  IFERROR(
    INDEX($I$2:$I$10, MATCH(TRUE, ISNUMBER(SEARCH($H$2:$H$10, SUBSTITUTE(A34,"　"," "))), 0)),
    TRIM(SUBSTITUTE(A34,"　"," "))
  )
)</f>
        <v>ピノグリーン</v>
      </c>
      <c r="D34">
        <f t="shared" si="0"/>
        <v>280</v>
      </c>
    </row>
    <row r="35" spans="1:4">
      <c r="A35" t="s">
        <v>2</v>
      </c>
      <c r="B35">
        <v>600</v>
      </c>
      <c r="C35" t="str" cm="1">
        <f t="array" ref="C35">IF(
  AND(ISNUMBER(SEARCH("加工品",SUBSTITUTE(A35,"　"," "))), ISNUMBER(SEARCH("ベビーリーフ",SUBSTITUTE(A35,"　"," ")))),
  "ベビーリーフ（加工品）",
  IFERROR(
    INDEX($I$2:$I$10, MATCH(TRUE, ISNUMBER(SEARCH($H$2:$H$10, SUBSTITUTE(A35,"　"," "))), 0)),
    TRIM(SUBSTITUTE(A35,"　"," "))
  )
)</f>
        <v>グリーンオーク</v>
      </c>
      <c r="D35">
        <f t="shared" si="0"/>
        <v>600</v>
      </c>
    </row>
    <row r="36" spans="1:4">
      <c r="A36" t="s">
        <v>2</v>
      </c>
      <c r="B36">
        <v>160</v>
      </c>
      <c r="C36" t="str" cm="1">
        <f t="array" ref="C36">IF(
  AND(ISNUMBER(SEARCH("加工品",SUBSTITUTE(A36,"　"," "))), ISNUMBER(SEARCH("ベビーリーフ",SUBSTITUTE(A36,"　"," ")))),
  "ベビーリーフ（加工品）",
  IFERROR(
    INDEX($I$2:$I$10, MATCH(TRUE, ISNUMBER(SEARCH($H$2:$H$10, SUBSTITUTE(A36,"　"," "))), 0)),
    TRIM(SUBSTITUTE(A36,"　"," "))
  )
)</f>
        <v>グリーンオーク</v>
      </c>
      <c r="D36">
        <f t="shared" si="0"/>
        <v>160</v>
      </c>
    </row>
    <row r="37" spans="1:4">
      <c r="A37" t="s">
        <v>3</v>
      </c>
      <c r="B37">
        <v>120</v>
      </c>
      <c r="C37" t="str" cm="1">
        <f t="array" ref="C37">IF(
  AND(ISNUMBER(SEARCH("加工品",SUBSTITUTE(A37,"　"," "))), ISNUMBER(SEARCH("ベビーリーフ",SUBSTITUTE(A37,"　"," ")))),
  "ベビーリーフ（加工品）",
  IFERROR(
    INDEX($I$2:$I$10, MATCH(TRUE, ISNUMBER(SEARCH($H$2:$H$10, SUBSTITUTE(A37,"　"," "))), 0)),
    TRIM(SUBSTITUTE(A37,"　"," "))
  )
)</f>
        <v>ベビーリーフ（加工品）</v>
      </c>
      <c r="D37">
        <f t="shared" si="0"/>
        <v>120</v>
      </c>
    </row>
    <row r="38" spans="1:4">
      <c r="A38" t="s">
        <v>4</v>
      </c>
      <c r="B38">
        <v>100</v>
      </c>
      <c r="C38" t="str" cm="1">
        <f t="array" ref="C38">IF(
  AND(ISNUMBER(SEARCH("加工品",SUBSTITUTE(A38,"　"," "))), ISNUMBER(SEARCH("ベビーリーフ",SUBSTITUTE(A38,"　"," ")))),
  "ベビーリーフ（加工品）",
  IFERROR(
    INDEX($I$2:$I$10, MATCH(TRUE, ISNUMBER(SEARCH($H$2:$H$10, SUBSTITUTE(A38,"　"," "))), 0)),
    TRIM(SUBSTITUTE(A38,"　"," "))
  )
)</f>
        <v>ピノグリーン</v>
      </c>
      <c r="D38">
        <f t="shared" si="0"/>
        <v>100</v>
      </c>
    </row>
    <row r="39" spans="1:4">
      <c r="A39" t="s">
        <v>2</v>
      </c>
      <c r="B39">
        <v>200</v>
      </c>
      <c r="C39" t="str" cm="1">
        <f t="array" ref="C39">IF(
  AND(ISNUMBER(SEARCH("加工品",SUBSTITUTE(A39,"　"," "))), ISNUMBER(SEARCH("ベビーリーフ",SUBSTITUTE(A39,"　"," ")))),
  "ベビーリーフ（加工品）",
  IFERROR(
    INDEX($I$2:$I$10, MATCH(TRUE, ISNUMBER(SEARCH($H$2:$H$10, SUBSTITUTE(A39,"　"," "))), 0)),
    TRIM(SUBSTITUTE(A39,"　"," "))
  )
)</f>
        <v>グリーンオーク</v>
      </c>
      <c r="D39">
        <f t="shared" si="0"/>
        <v>200</v>
      </c>
    </row>
    <row r="40" spans="1:4">
      <c r="A40" t="s">
        <v>4</v>
      </c>
      <c r="B40">
        <v>100</v>
      </c>
      <c r="C40" t="str" cm="1">
        <f t="array" ref="C40">IF(
  AND(ISNUMBER(SEARCH("加工品",SUBSTITUTE(A40,"　"," "))), ISNUMBER(SEARCH("ベビーリーフ",SUBSTITUTE(A40,"　"," ")))),
  "ベビーリーフ（加工品）",
  IFERROR(
    INDEX($I$2:$I$10, MATCH(TRUE, ISNUMBER(SEARCH($H$2:$H$10, SUBSTITUTE(A40,"　"," "))), 0)),
    TRIM(SUBSTITUTE(A40,"　"," "))
  )
)</f>
        <v>ピノグリーン</v>
      </c>
      <c r="D40">
        <f t="shared" si="0"/>
        <v>100</v>
      </c>
    </row>
    <row r="41" spans="1:4">
      <c r="A41" t="s">
        <v>3</v>
      </c>
      <c r="B41">
        <v>280</v>
      </c>
      <c r="C41" t="str" cm="1">
        <f t="array" ref="C41">IF(
  AND(ISNUMBER(SEARCH("加工品",SUBSTITUTE(A41,"　"," "))), ISNUMBER(SEARCH("ベビーリーフ",SUBSTITUTE(A41,"　"," ")))),
  "ベビーリーフ（加工品）",
  IFERROR(
    INDEX($I$2:$I$10, MATCH(TRUE, ISNUMBER(SEARCH($H$2:$H$10, SUBSTITUTE(A41,"　"," "))), 0)),
    TRIM(SUBSTITUTE(A41,"　"," "))
  )
)</f>
        <v>ベビーリーフ（加工品）</v>
      </c>
      <c r="D41">
        <f t="shared" si="0"/>
        <v>280</v>
      </c>
    </row>
    <row r="42" spans="1:4">
      <c r="A42" t="s">
        <v>4</v>
      </c>
      <c r="B42">
        <v>200</v>
      </c>
      <c r="C42" t="str" cm="1">
        <f t="array" ref="C42">IF(
  AND(ISNUMBER(SEARCH("加工品",SUBSTITUTE(A42,"　"," "))), ISNUMBER(SEARCH("ベビーリーフ",SUBSTITUTE(A42,"　"," ")))),
  "ベビーリーフ（加工品）",
  IFERROR(
    INDEX($I$2:$I$10, MATCH(TRUE, ISNUMBER(SEARCH($H$2:$H$10, SUBSTITUTE(A42,"　"," "))), 0)),
    TRIM(SUBSTITUTE(A42,"　"," "))
  )
)</f>
        <v>ピノグリーン</v>
      </c>
      <c r="D42">
        <f t="shared" si="0"/>
        <v>200</v>
      </c>
    </row>
    <row r="43" spans="1:4">
      <c r="A43" t="s">
        <v>3</v>
      </c>
      <c r="B43">
        <v>160</v>
      </c>
      <c r="C43" t="str" cm="1">
        <f t="array" ref="C43">IF(
  AND(ISNUMBER(SEARCH("加工品",SUBSTITUTE(A43,"　"," "))), ISNUMBER(SEARCH("ベビーリーフ",SUBSTITUTE(A43,"　"," ")))),
  "ベビーリーフ（加工品）",
  IFERROR(
    INDEX($I$2:$I$10, MATCH(TRUE, ISNUMBER(SEARCH($H$2:$H$10, SUBSTITUTE(A43,"　"," "))), 0)),
    TRIM(SUBSTITUTE(A43,"　"," "))
  )
)</f>
        <v>ベビーリーフ（加工品）</v>
      </c>
      <c r="D43">
        <f t="shared" si="0"/>
        <v>160</v>
      </c>
    </row>
    <row r="44" spans="1:4">
      <c r="A44" t="s">
        <v>4</v>
      </c>
      <c r="B44">
        <v>80</v>
      </c>
      <c r="C44" t="str" cm="1">
        <f t="array" ref="C44">IF(
  AND(ISNUMBER(SEARCH("加工品",SUBSTITUTE(A44,"　"," "))), ISNUMBER(SEARCH("ベビーリーフ",SUBSTITUTE(A44,"　"," ")))),
  "ベビーリーフ（加工品）",
  IFERROR(
    INDEX($I$2:$I$10, MATCH(TRUE, ISNUMBER(SEARCH($H$2:$H$10, SUBSTITUTE(A44,"　"," "))), 0)),
    TRIM(SUBSTITUTE(A44,"　"," "))
  )
)</f>
        <v>ピノグリーン</v>
      </c>
      <c r="D44">
        <f t="shared" si="0"/>
        <v>80</v>
      </c>
    </row>
    <row r="45" spans="1:4">
      <c r="A45" t="s">
        <v>3</v>
      </c>
      <c r="B45">
        <v>540</v>
      </c>
      <c r="C45" t="str" cm="1">
        <f t="array" ref="C45">IF(
  AND(ISNUMBER(SEARCH("加工品",SUBSTITUTE(A45,"　"," "))), ISNUMBER(SEARCH("ベビーリーフ",SUBSTITUTE(A45,"　"," ")))),
  "ベビーリーフ（加工品）",
  IFERROR(
    INDEX($I$2:$I$10, MATCH(TRUE, ISNUMBER(SEARCH($H$2:$H$10, SUBSTITUTE(A45,"　"," "))), 0)),
    TRIM(SUBSTITUTE(A45,"　"," "))
  )
)</f>
        <v>ベビーリーフ（加工品）</v>
      </c>
      <c r="D45">
        <f t="shared" si="0"/>
        <v>540</v>
      </c>
    </row>
    <row r="46" spans="1:4">
      <c r="A46" t="s">
        <v>4</v>
      </c>
      <c r="B46">
        <v>280</v>
      </c>
      <c r="C46" t="str" cm="1">
        <f t="array" ref="C46">IF(
  AND(ISNUMBER(SEARCH("加工品",SUBSTITUTE(A46,"　"," "))), ISNUMBER(SEARCH("ベビーリーフ",SUBSTITUTE(A46,"　"," ")))),
  "ベビーリーフ（加工品）",
  IFERROR(
    INDEX($I$2:$I$10, MATCH(TRUE, ISNUMBER(SEARCH($H$2:$H$10, SUBSTITUTE(A46,"　"," "))), 0)),
    TRIM(SUBSTITUTE(A46,"　"," "))
  )
)</f>
        <v>ピノグリーン</v>
      </c>
      <c r="D46">
        <f t="shared" si="0"/>
        <v>280</v>
      </c>
    </row>
    <row r="47" spans="1:4">
      <c r="A47" t="s">
        <v>2</v>
      </c>
      <c r="B47">
        <v>660</v>
      </c>
      <c r="C47" t="str" cm="1">
        <f t="array" ref="C47">IF(
  AND(ISNUMBER(SEARCH("加工品",SUBSTITUTE(A47,"　"," "))), ISNUMBER(SEARCH("ベビーリーフ",SUBSTITUTE(A47,"　"," ")))),
  "ベビーリーフ（加工品）",
  IFERROR(
    INDEX($I$2:$I$10, MATCH(TRUE, ISNUMBER(SEARCH($H$2:$H$10, SUBSTITUTE(A47,"　"," "))), 0)),
    TRIM(SUBSTITUTE(A47,"　"," "))
  )
)</f>
        <v>グリーンオーク</v>
      </c>
      <c r="D47">
        <f t="shared" si="0"/>
        <v>660</v>
      </c>
    </row>
    <row r="48" spans="1:4">
      <c r="A48" t="s">
        <v>3</v>
      </c>
      <c r="B48">
        <v>280</v>
      </c>
      <c r="C48" t="str" cm="1">
        <f t="array" ref="C48">IF(
  AND(ISNUMBER(SEARCH("加工品",SUBSTITUTE(A48,"　"," "))), ISNUMBER(SEARCH("ベビーリーフ",SUBSTITUTE(A48,"　"," ")))),
  "ベビーリーフ（加工品）",
  IFERROR(
    INDEX($I$2:$I$10, MATCH(TRUE, ISNUMBER(SEARCH($H$2:$H$10, SUBSTITUTE(A48,"　"," "))), 0)),
    TRIM(SUBSTITUTE(A48,"　"," "))
  )
)</f>
        <v>ベビーリーフ（加工品）</v>
      </c>
      <c r="D48">
        <f t="shared" si="0"/>
        <v>280</v>
      </c>
    </row>
    <row r="49" spans="1:4">
      <c r="A49" t="s">
        <v>4</v>
      </c>
      <c r="B49">
        <v>320</v>
      </c>
      <c r="C49" t="str" cm="1">
        <f t="array" ref="C49">IF(
  AND(ISNUMBER(SEARCH("加工品",SUBSTITUTE(A49,"　"," "))), ISNUMBER(SEARCH("ベビーリーフ",SUBSTITUTE(A49,"　"," ")))),
  "ベビーリーフ（加工品）",
  IFERROR(
    INDEX($I$2:$I$10, MATCH(TRUE, ISNUMBER(SEARCH($H$2:$H$10, SUBSTITUTE(A49,"　"," "))), 0)),
    TRIM(SUBSTITUTE(A49,"　"," "))
  )
)</f>
        <v>ピノグリーン</v>
      </c>
      <c r="D49">
        <f t="shared" si="0"/>
        <v>320</v>
      </c>
    </row>
    <row r="50" spans="1:4">
      <c r="A50" t="s">
        <v>3</v>
      </c>
      <c r="B50">
        <v>280</v>
      </c>
      <c r="C50" t="str" cm="1">
        <f t="array" ref="C50">IF(
  AND(ISNUMBER(SEARCH("加工品",SUBSTITUTE(A50,"　"," "))), ISNUMBER(SEARCH("ベビーリーフ",SUBSTITUTE(A50,"　"," ")))),
  "ベビーリーフ（加工品）",
  IFERROR(
    INDEX($I$2:$I$10, MATCH(TRUE, ISNUMBER(SEARCH($H$2:$H$10, SUBSTITUTE(A50,"　"," "))), 0)),
    TRIM(SUBSTITUTE(A50,"　"," "))
  )
)</f>
        <v>ベビーリーフ（加工品）</v>
      </c>
      <c r="D50">
        <f t="shared" si="0"/>
        <v>280</v>
      </c>
    </row>
    <row r="51" spans="1:4">
      <c r="A51" t="s">
        <v>4</v>
      </c>
      <c r="B51">
        <v>320</v>
      </c>
      <c r="C51" t="str" cm="1">
        <f t="array" ref="C51">IF(
  AND(ISNUMBER(SEARCH("加工品",SUBSTITUTE(A51,"　"," "))), ISNUMBER(SEARCH("ベビーリーフ",SUBSTITUTE(A51,"　"," ")))),
  "ベビーリーフ（加工品）",
  IFERROR(
    INDEX($I$2:$I$10, MATCH(TRUE, ISNUMBER(SEARCH($H$2:$H$10, SUBSTITUTE(A51,"　"," "))), 0)),
    TRIM(SUBSTITUTE(A51,"　"," "))
  )
)</f>
        <v>ピノグリーン</v>
      </c>
      <c r="D51">
        <f t="shared" si="0"/>
        <v>320</v>
      </c>
    </row>
    <row r="52" spans="1:4">
      <c r="A52" t="s">
        <v>3</v>
      </c>
      <c r="B52">
        <v>280</v>
      </c>
      <c r="C52" t="str" cm="1">
        <f t="array" ref="C52">IF(
  AND(ISNUMBER(SEARCH("加工品",SUBSTITUTE(A52,"　"," "))), ISNUMBER(SEARCH("ベビーリーフ",SUBSTITUTE(A52,"　"," ")))),
  "ベビーリーフ（加工品）",
  IFERROR(
    INDEX($I$2:$I$10, MATCH(TRUE, ISNUMBER(SEARCH($H$2:$H$10, SUBSTITUTE(A52,"　"," "))), 0)),
    TRIM(SUBSTITUTE(A52,"　"," "))
  )
)</f>
        <v>ベビーリーフ（加工品）</v>
      </c>
      <c r="D52">
        <f t="shared" si="0"/>
        <v>280</v>
      </c>
    </row>
    <row r="53" spans="1:4">
      <c r="A53" t="s">
        <v>4</v>
      </c>
      <c r="B53">
        <v>320</v>
      </c>
      <c r="C53" t="str" cm="1">
        <f t="array" ref="C53">IF(
  AND(ISNUMBER(SEARCH("加工品",SUBSTITUTE(A53,"　"," "))), ISNUMBER(SEARCH("ベビーリーフ",SUBSTITUTE(A53,"　"," ")))),
  "ベビーリーフ（加工品）",
  IFERROR(
    INDEX($I$2:$I$10, MATCH(TRUE, ISNUMBER(SEARCH($H$2:$H$10, SUBSTITUTE(A53,"　"," "))), 0)),
    TRIM(SUBSTITUTE(A53,"　"," "))
  )
)</f>
        <v>ピノグリーン</v>
      </c>
      <c r="D53">
        <f t="shared" si="0"/>
        <v>320</v>
      </c>
    </row>
    <row r="54" spans="1:4">
      <c r="A54" t="s">
        <v>3</v>
      </c>
      <c r="B54">
        <v>280</v>
      </c>
      <c r="C54" t="str" cm="1">
        <f t="array" ref="C54">IF(
  AND(ISNUMBER(SEARCH("加工品",SUBSTITUTE(A54,"　"," "))), ISNUMBER(SEARCH("ベビーリーフ",SUBSTITUTE(A54,"　"," ")))),
  "ベビーリーフ（加工品）",
  IFERROR(
    INDEX($I$2:$I$10, MATCH(TRUE, ISNUMBER(SEARCH($H$2:$H$10, SUBSTITUTE(A54,"　"," "))), 0)),
    TRIM(SUBSTITUTE(A54,"　"," "))
  )
)</f>
        <v>ベビーリーフ（加工品）</v>
      </c>
      <c r="D54">
        <f t="shared" si="0"/>
        <v>280</v>
      </c>
    </row>
    <row r="55" spans="1:4">
      <c r="A55" t="s">
        <v>2</v>
      </c>
      <c r="B55">
        <v>410</v>
      </c>
      <c r="C55" t="str" cm="1">
        <f t="array" ref="C55">IF(
  AND(ISNUMBER(SEARCH("加工品",SUBSTITUTE(A55,"　"," "))), ISNUMBER(SEARCH("ベビーリーフ",SUBSTITUTE(A55,"　"," ")))),
  "ベビーリーフ（加工品）",
  IFERROR(
    INDEX($I$2:$I$10, MATCH(TRUE, ISNUMBER(SEARCH($H$2:$H$10, SUBSTITUTE(A55,"　"," "))), 0)),
    TRIM(SUBSTITUTE(A55,"　"," "))
  )
)</f>
        <v>グリーンオーク</v>
      </c>
      <c r="D55">
        <f t="shared" si="0"/>
        <v>410</v>
      </c>
    </row>
    <row r="56" spans="1:4">
      <c r="A56" t="s">
        <v>4</v>
      </c>
      <c r="B56">
        <v>240</v>
      </c>
      <c r="C56" t="str" cm="1">
        <f t="array" ref="C56">IF(
  AND(ISNUMBER(SEARCH("加工品",SUBSTITUTE(A56,"　"," "))), ISNUMBER(SEARCH("ベビーリーフ",SUBSTITUTE(A56,"　"," ")))),
  "ベビーリーフ（加工品）",
  IFERROR(
    INDEX($I$2:$I$10, MATCH(TRUE, ISNUMBER(SEARCH($H$2:$H$10, SUBSTITUTE(A56,"　"," "))), 0)),
    TRIM(SUBSTITUTE(A56,"　"," "))
  )
)</f>
        <v>ピノグリーン</v>
      </c>
      <c r="D56">
        <f t="shared" si="0"/>
        <v>240</v>
      </c>
    </row>
    <row r="57" spans="1:4">
      <c r="A57" t="s">
        <v>3</v>
      </c>
      <c r="B57">
        <v>280</v>
      </c>
      <c r="C57" t="str" cm="1">
        <f t="array" ref="C57">IF(
  AND(ISNUMBER(SEARCH("加工品",SUBSTITUTE(A57,"　"," "))), ISNUMBER(SEARCH("ベビーリーフ",SUBSTITUTE(A57,"　"," ")))),
  "ベビーリーフ（加工品）",
  IFERROR(
    INDEX($I$2:$I$10, MATCH(TRUE, ISNUMBER(SEARCH($H$2:$H$10, SUBSTITUTE(A57,"　"," "))), 0)),
    TRIM(SUBSTITUTE(A57,"　"," "))
  )
)</f>
        <v>ベビーリーフ（加工品）</v>
      </c>
      <c r="D57">
        <f t="shared" si="0"/>
        <v>280</v>
      </c>
    </row>
    <row r="58" spans="1:4">
      <c r="A58" t="s">
        <v>2</v>
      </c>
      <c r="B58">
        <v>410</v>
      </c>
      <c r="C58" t="str" cm="1">
        <f t="array" ref="C58">IF(
  AND(ISNUMBER(SEARCH("加工品",SUBSTITUTE(A58,"　"," "))), ISNUMBER(SEARCH("ベビーリーフ",SUBSTITUTE(A58,"　"," ")))),
  "ベビーリーフ（加工品）",
  IFERROR(
    INDEX($I$2:$I$10, MATCH(TRUE, ISNUMBER(SEARCH($H$2:$H$10, SUBSTITUTE(A58,"　"," "))), 0)),
    TRIM(SUBSTITUTE(A58,"　"," "))
  )
)</f>
        <v>グリーンオーク</v>
      </c>
      <c r="D58">
        <f t="shared" si="0"/>
        <v>410</v>
      </c>
    </row>
    <row r="59" spans="1:4">
      <c r="A59" t="s">
        <v>4</v>
      </c>
      <c r="B59">
        <v>240</v>
      </c>
      <c r="C59" t="str" cm="1">
        <f t="array" ref="C59">IF(
  AND(ISNUMBER(SEARCH("加工品",SUBSTITUTE(A59,"　"," "))), ISNUMBER(SEARCH("ベビーリーフ",SUBSTITUTE(A59,"　"," ")))),
  "ベビーリーフ（加工品）",
  IFERROR(
    INDEX($I$2:$I$10, MATCH(TRUE, ISNUMBER(SEARCH($H$2:$H$10, SUBSTITUTE(A59,"　"," "))), 0)),
    TRIM(SUBSTITUTE(A59,"　"," "))
  )
)</f>
        <v>ピノグリーン</v>
      </c>
      <c r="D59">
        <f t="shared" si="0"/>
        <v>240</v>
      </c>
    </row>
    <row r="60" spans="1:4">
      <c r="A60" t="s">
        <v>3</v>
      </c>
      <c r="B60">
        <v>280</v>
      </c>
      <c r="C60" t="str" cm="1">
        <f t="array" ref="C60">IF(
  AND(ISNUMBER(SEARCH("加工品",SUBSTITUTE(A60,"　"," "))), ISNUMBER(SEARCH("ベビーリーフ",SUBSTITUTE(A60,"　"," ")))),
  "ベビーリーフ（加工品）",
  IFERROR(
    INDEX($I$2:$I$10, MATCH(TRUE, ISNUMBER(SEARCH($H$2:$H$10, SUBSTITUTE(A60,"　"," "))), 0)),
    TRIM(SUBSTITUTE(A60,"　"," "))
  )
)</f>
        <v>ベビーリーフ（加工品）</v>
      </c>
      <c r="D60">
        <f t="shared" si="0"/>
        <v>280</v>
      </c>
    </row>
    <row r="61" spans="1:4">
      <c r="A61" t="s">
        <v>2</v>
      </c>
      <c r="B61">
        <v>410</v>
      </c>
      <c r="C61" t="str" cm="1">
        <f t="array" ref="C61">IF(
  AND(ISNUMBER(SEARCH("加工品",SUBSTITUTE(A61,"　"," "))), ISNUMBER(SEARCH("ベビーリーフ",SUBSTITUTE(A61,"　"," ")))),
  "ベビーリーフ（加工品）",
  IFERROR(
    INDEX($I$2:$I$10, MATCH(TRUE, ISNUMBER(SEARCH($H$2:$H$10, SUBSTITUTE(A61,"　"," "))), 0)),
    TRIM(SUBSTITUTE(A61,"　"," "))
  )
)</f>
        <v>グリーンオーク</v>
      </c>
      <c r="D61">
        <f t="shared" si="0"/>
        <v>410</v>
      </c>
    </row>
    <row r="62" spans="1:4">
      <c r="A62" t="s">
        <v>4</v>
      </c>
      <c r="B62">
        <v>240</v>
      </c>
      <c r="C62" t="str" cm="1">
        <f t="array" ref="C62">IF(
  AND(ISNUMBER(SEARCH("加工品",SUBSTITUTE(A62,"　"," "))), ISNUMBER(SEARCH("ベビーリーフ",SUBSTITUTE(A62,"　"," ")))),
  "ベビーリーフ（加工品）",
  IFERROR(
    INDEX($I$2:$I$10, MATCH(TRUE, ISNUMBER(SEARCH($H$2:$H$10, SUBSTITUTE(A62,"　"," "))), 0)),
    TRIM(SUBSTITUTE(A62,"　"," "))
  )
)</f>
        <v>ピノグリーン</v>
      </c>
      <c r="D62">
        <f t="shared" si="0"/>
        <v>240</v>
      </c>
    </row>
    <row r="63" spans="1:4">
      <c r="A63" t="s">
        <v>2</v>
      </c>
      <c r="B63">
        <v>180</v>
      </c>
      <c r="C63" t="str" cm="1">
        <f t="array" ref="C63">IF(
  AND(ISNUMBER(SEARCH("加工品",SUBSTITUTE(A63,"　"," "))), ISNUMBER(SEARCH("ベビーリーフ",SUBSTITUTE(A63,"　"," ")))),
  "ベビーリーフ（加工品）",
  IFERROR(
    INDEX($I$2:$I$10, MATCH(TRUE, ISNUMBER(SEARCH($H$2:$H$10, SUBSTITUTE(A63,"　"," "))), 0)),
    TRIM(SUBSTITUTE(A63,"　"," "))
  )
)</f>
        <v>グリーンオーク</v>
      </c>
      <c r="D63">
        <f t="shared" si="0"/>
        <v>180</v>
      </c>
    </row>
    <row r="64" spans="1:4">
      <c r="A64" t="s">
        <v>3</v>
      </c>
      <c r="B64">
        <v>140</v>
      </c>
      <c r="C64" t="str" cm="1">
        <f t="array" ref="C64">IF(
  AND(ISNUMBER(SEARCH("加工品",SUBSTITUTE(A64,"　"," "))), ISNUMBER(SEARCH("ベビーリーフ",SUBSTITUTE(A64,"　"," ")))),
  "ベビーリーフ（加工品）",
  IFERROR(
    INDEX($I$2:$I$10, MATCH(TRUE, ISNUMBER(SEARCH($H$2:$H$10, SUBSTITUTE(A64,"　"," "))), 0)),
    TRIM(SUBSTITUTE(A64,"　"," "))
  )
)</f>
        <v>ベビーリーフ（加工品）</v>
      </c>
      <c r="D64">
        <f t="shared" si="0"/>
        <v>140</v>
      </c>
    </row>
    <row r="65" spans="1:4">
      <c r="A65" t="s">
        <v>4</v>
      </c>
      <c r="B65">
        <v>420</v>
      </c>
      <c r="C65" t="str" cm="1">
        <f t="array" ref="C65">IF(
  AND(ISNUMBER(SEARCH("加工品",SUBSTITUTE(A65,"　"," "))), ISNUMBER(SEARCH("ベビーリーフ",SUBSTITUTE(A65,"　"," ")))),
  "ベビーリーフ（加工品）",
  IFERROR(
    INDEX($I$2:$I$10, MATCH(TRUE, ISNUMBER(SEARCH($H$2:$H$10, SUBSTITUTE(A65,"　"," "))), 0)),
    TRIM(SUBSTITUTE(A65,"　"," "))
  )
)</f>
        <v>ピノグリーン</v>
      </c>
      <c r="D65">
        <f t="shared" si="0"/>
        <v>420</v>
      </c>
    </row>
    <row r="66" spans="1:4">
      <c r="A66" t="s">
        <v>2</v>
      </c>
      <c r="B66">
        <v>180</v>
      </c>
      <c r="C66" t="str" cm="1">
        <f t="array" ref="C66">IF(
  AND(ISNUMBER(SEARCH("加工品",SUBSTITUTE(A66,"　"," "))), ISNUMBER(SEARCH("ベビーリーフ",SUBSTITUTE(A66,"　"," ")))),
  "ベビーリーフ（加工品）",
  IFERROR(
    INDEX($I$2:$I$10, MATCH(TRUE, ISNUMBER(SEARCH($H$2:$H$10, SUBSTITUTE(A66,"　"," "))), 0)),
    TRIM(SUBSTITUTE(A66,"　"," "))
  )
)</f>
        <v>グリーンオーク</v>
      </c>
      <c r="D66">
        <f t="shared" si="0"/>
        <v>180</v>
      </c>
    </row>
    <row r="67" spans="1:4">
      <c r="A67" t="s">
        <v>3</v>
      </c>
      <c r="B67">
        <v>140</v>
      </c>
      <c r="C67" t="str" cm="1">
        <f t="array" ref="C67">IF(
  AND(ISNUMBER(SEARCH("加工品",SUBSTITUTE(A67,"　"," "))), ISNUMBER(SEARCH("ベビーリーフ",SUBSTITUTE(A67,"　"," ")))),
  "ベビーリーフ（加工品）",
  IFERROR(
    INDEX($I$2:$I$10, MATCH(TRUE, ISNUMBER(SEARCH($H$2:$H$10, SUBSTITUTE(A67,"　"," "))), 0)),
    TRIM(SUBSTITUTE(A67,"　"," "))
  )
)</f>
        <v>ベビーリーフ（加工品）</v>
      </c>
      <c r="D67">
        <f t="shared" ref="D67:D130" si="2">--SUBSTITUTE(B67,",","")</f>
        <v>140</v>
      </c>
    </row>
    <row r="68" spans="1:4">
      <c r="A68" t="s">
        <v>4</v>
      </c>
      <c r="B68">
        <v>420</v>
      </c>
      <c r="C68" t="str" cm="1">
        <f t="array" ref="C68">IF(
  AND(ISNUMBER(SEARCH("加工品",SUBSTITUTE(A68,"　"," "))), ISNUMBER(SEARCH("ベビーリーフ",SUBSTITUTE(A68,"　"," ")))),
  "ベビーリーフ（加工品）",
  IFERROR(
    INDEX($I$2:$I$10, MATCH(TRUE, ISNUMBER(SEARCH($H$2:$H$10, SUBSTITUTE(A68,"　"," "))), 0)),
    TRIM(SUBSTITUTE(A68,"　"," "))
  )
)</f>
        <v>ピノグリーン</v>
      </c>
      <c r="D68">
        <f t="shared" si="2"/>
        <v>420</v>
      </c>
    </row>
    <row r="69" spans="1:4">
      <c r="A69" t="s">
        <v>2</v>
      </c>
      <c r="B69">
        <v>180</v>
      </c>
      <c r="C69" t="str" cm="1">
        <f t="array" ref="C69">IF(
  AND(ISNUMBER(SEARCH("加工品",SUBSTITUTE(A69,"　"," "))), ISNUMBER(SEARCH("ベビーリーフ",SUBSTITUTE(A69,"　"," ")))),
  "ベビーリーフ（加工品）",
  IFERROR(
    INDEX($I$2:$I$10, MATCH(TRUE, ISNUMBER(SEARCH($H$2:$H$10, SUBSTITUTE(A69,"　"," "))), 0)),
    TRIM(SUBSTITUTE(A69,"　"," "))
  )
)</f>
        <v>グリーンオーク</v>
      </c>
      <c r="D69">
        <f t="shared" si="2"/>
        <v>180</v>
      </c>
    </row>
    <row r="70" spans="1:4">
      <c r="A70" t="s">
        <v>3</v>
      </c>
      <c r="B70">
        <v>140</v>
      </c>
      <c r="C70" t="str" cm="1">
        <f t="array" ref="C70">IF(
  AND(ISNUMBER(SEARCH("加工品",SUBSTITUTE(A70,"　"," "))), ISNUMBER(SEARCH("ベビーリーフ",SUBSTITUTE(A70,"　"," ")))),
  "ベビーリーフ（加工品）",
  IFERROR(
    INDEX($I$2:$I$10, MATCH(TRUE, ISNUMBER(SEARCH($H$2:$H$10, SUBSTITUTE(A70,"　"," "))), 0)),
    TRIM(SUBSTITUTE(A70,"　"," "))
  )
)</f>
        <v>ベビーリーフ（加工品）</v>
      </c>
      <c r="D70">
        <f t="shared" si="2"/>
        <v>140</v>
      </c>
    </row>
    <row r="71" spans="1:4">
      <c r="A71" t="s">
        <v>4</v>
      </c>
      <c r="B71">
        <v>420</v>
      </c>
      <c r="C71" t="str" cm="1">
        <f t="array" ref="C71">IF(
  AND(ISNUMBER(SEARCH("加工品",SUBSTITUTE(A71,"　"," "))), ISNUMBER(SEARCH("ベビーリーフ",SUBSTITUTE(A71,"　"," ")))),
  "ベビーリーフ（加工品）",
  IFERROR(
    INDEX($I$2:$I$10, MATCH(TRUE, ISNUMBER(SEARCH($H$2:$H$10, SUBSTITUTE(A71,"　"," "))), 0)),
    TRIM(SUBSTITUTE(A71,"　"," "))
  )
)</f>
        <v>ピノグリーン</v>
      </c>
      <c r="D71">
        <f t="shared" si="2"/>
        <v>420</v>
      </c>
    </row>
    <row r="72" spans="1:4">
      <c r="A72" t="s">
        <v>3</v>
      </c>
      <c r="B72">
        <v>520</v>
      </c>
      <c r="C72" t="str" cm="1">
        <f t="array" ref="C72">IF(
  AND(ISNUMBER(SEARCH("加工品",SUBSTITUTE(A72,"　"," "))), ISNUMBER(SEARCH("ベビーリーフ",SUBSTITUTE(A72,"　"," ")))),
  "ベビーリーフ（加工品）",
  IFERROR(
    INDEX($I$2:$I$10, MATCH(TRUE, ISNUMBER(SEARCH($H$2:$H$10, SUBSTITUTE(A72,"　"," "))), 0)),
    TRIM(SUBSTITUTE(A72,"　"," "))
  )
)</f>
        <v>ベビーリーフ（加工品）</v>
      </c>
      <c r="D72">
        <f t="shared" si="2"/>
        <v>520</v>
      </c>
    </row>
    <row r="73" spans="1:4">
      <c r="A73" t="s">
        <v>2</v>
      </c>
      <c r="B73">
        <v>580</v>
      </c>
      <c r="C73" t="str" cm="1">
        <f t="array" ref="C73">IF(
  AND(ISNUMBER(SEARCH("加工品",SUBSTITUTE(A73,"　"," "))), ISNUMBER(SEARCH("ベビーリーフ",SUBSTITUTE(A73,"　"," ")))),
  "ベビーリーフ（加工品）",
  IFERROR(
    INDEX($I$2:$I$10, MATCH(TRUE, ISNUMBER(SEARCH($H$2:$H$10, SUBSTITUTE(A73,"　"," "))), 0)),
    TRIM(SUBSTITUTE(A73,"　"," "))
  )
)</f>
        <v>グリーンオーク</v>
      </c>
      <c r="D73">
        <f t="shared" si="2"/>
        <v>580</v>
      </c>
    </row>
    <row r="74" spans="1:4">
      <c r="A74" t="s">
        <v>4</v>
      </c>
      <c r="B74">
        <v>820</v>
      </c>
      <c r="C74" t="str" cm="1">
        <f t="array" ref="C74">IF(
  AND(ISNUMBER(SEARCH("加工品",SUBSTITUTE(A74,"　"," "))), ISNUMBER(SEARCH("ベビーリーフ",SUBSTITUTE(A74,"　"," ")))),
  "ベビーリーフ（加工品）",
  IFERROR(
    INDEX($I$2:$I$10, MATCH(TRUE, ISNUMBER(SEARCH($H$2:$H$10, SUBSTITUTE(A74,"　"," "))), 0)),
    TRIM(SUBSTITUTE(A74,"　"," "))
  )
)</f>
        <v>ピノグリーン</v>
      </c>
      <c r="D74">
        <f t="shared" si="2"/>
        <v>820</v>
      </c>
    </row>
    <row r="75" spans="1:4">
      <c r="A75" t="s">
        <v>3</v>
      </c>
      <c r="B75">
        <v>520</v>
      </c>
      <c r="C75" t="str" cm="1">
        <f t="array" ref="C75">IF(
  AND(ISNUMBER(SEARCH("加工品",SUBSTITUTE(A75,"　"," "))), ISNUMBER(SEARCH("ベビーリーフ",SUBSTITUTE(A75,"　"," ")))),
  "ベビーリーフ（加工品）",
  IFERROR(
    INDEX($I$2:$I$10, MATCH(TRUE, ISNUMBER(SEARCH($H$2:$H$10, SUBSTITUTE(A75,"　"," "))), 0)),
    TRIM(SUBSTITUTE(A75,"　"," "))
  )
)</f>
        <v>ベビーリーフ（加工品）</v>
      </c>
      <c r="D75">
        <f t="shared" si="2"/>
        <v>520</v>
      </c>
    </row>
    <row r="76" spans="1:4">
      <c r="A76" t="s">
        <v>2</v>
      </c>
      <c r="B76">
        <v>580</v>
      </c>
      <c r="C76" t="str" cm="1">
        <f t="array" ref="C76">IF(
  AND(ISNUMBER(SEARCH("加工品",SUBSTITUTE(A76,"　"," "))), ISNUMBER(SEARCH("ベビーリーフ",SUBSTITUTE(A76,"　"," ")))),
  "ベビーリーフ（加工品）",
  IFERROR(
    INDEX($I$2:$I$10, MATCH(TRUE, ISNUMBER(SEARCH($H$2:$H$10, SUBSTITUTE(A76,"　"," "))), 0)),
    TRIM(SUBSTITUTE(A76,"　"," "))
  )
)</f>
        <v>グリーンオーク</v>
      </c>
      <c r="D76">
        <f t="shared" si="2"/>
        <v>580</v>
      </c>
    </row>
    <row r="77" spans="1:4">
      <c r="A77" t="s">
        <v>4</v>
      </c>
      <c r="B77">
        <v>820</v>
      </c>
      <c r="C77" t="str" cm="1">
        <f t="array" ref="C77">IF(
  AND(ISNUMBER(SEARCH("加工品",SUBSTITUTE(A77,"　"," "))), ISNUMBER(SEARCH("ベビーリーフ",SUBSTITUTE(A77,"　"," ")))),
  "ベビーリーフ（加工品）",
  IFERROR(
    INDEX($I$2:$I$10, MATCH(TRUE, ISNUMBER(SEARCH($H$2:$H$10, SUBSTITUTE(A77,"　"," "))), 0)),
    TRIM(SUBSTITUTE(A77,"　"," "))
  )
)</f>
        <v>ピノグリーン</v>
      </c>
      <c r="D77">
        <f t="shared" si="2"/>
        <v>820</v>
      </c>
    </row>
    <row r="78" spans="1:4">
      <c r="A78" t="s">
        <v>3</v>
      </c>
      <c r="B78">
        <v>520</v>
      </c>
      <c r="C78" t="str" cm="1">
        <f t="array" ref="C78">IF(
  AND(ISNUMBER(SEARCH("加工品",SUBSTITUTE(A78,"　"," "))), ISNUMBER(SEARCH("ベビーリーフ",SUBSTITUTE(A78,"　"," ")))),
  "ベビーリーフ（加工品）",
  IFERROR(
    INDEX($I$2:$I$10, MATCH(TRUE, ISNUMBER(SEARCH($H$2:$H$10, SUBSTITUTE(A78,"　"," "))), 0)),
    TRIM(SUBSTITUTE(A78,"　"," "))
  )
)</f>
        <v>ベビーリーフ（加工品）</v>
      </c>
      <c r="D78">
        <f t="shared" si="2"/>
        <v>520</v>
      </c>
    </row>
    <row r="79" spans="1:4">
      <c r="A79" t="s">
        <v>2</v>
      </c>
      <c r="B79">
        <v>580</v>
      </c>
      <c r="C79" t="str" cm="1">
        <f t="array" ref="C79">IF(
  AND(ISNUMBER(SEARCH("加工品",SUBSTITUTE(A79,"　"," "))), ISNUMBER(SEARCH("ベビーリーフ",SUBSTITUTE(A79,"　"," ")))),
  "ベビーリーフ（加工品）",
  IFERROR(
    INDEX($I$2:$I$10, MATCH(TRUE, ISNUMBER(SEARCH($H$2:$H$10, SUBSTITUTE(A79,"　"," "))), 0)),
    TRIM(SUBSTITUTE(A79,"　"," "))
  )
)</f>
        <v>グリーンオーク</v>
      </c>
      <c r="D79">
        <f t="shared" si="2"/>
        <v>580</v>
      </c>
    </row>
    <row r="80" spans="1:4">
      <c r="A80" t="s">
        <v>4</v>
      </c>
      <c r="B80">
        <v>820</v>
      </c>
      <c r="C80" t="str" cm="1">
        <f t="array" ref="C80">IF(
  AND(ISNUMBER(SEARCH("加工品",SUBSTITUTE(A80,"　"," "))), ISNUMBER(SEARCH("ベビーリーフ",SUBSTITUTE(A80,"　"," ")))),
  "ベビーリーフ（加工品）",
  IFERROR(
    INDEX($I$2:$I$10, MATCH(TRUE, ISNUMBER(SEARCH($H$2:$H$10, SUBSTITUTE(A80,"　"," "))), 0)),
    TRIM(SUBSTITUTE(A80,"　"," "))
  )
)</f>
        <v>ピノグリーン</v>
      </c>
      <c r="D80">
        <f t="shared" si="2"/>
        <v>820</v>
      </c>
    </row>
    <row r="81" spans="1:4">
      <c r="A81" t="s">
        <v>3</v>
      </c>
      <c r="B81">
        <v>280</v>
      </c>
      <c r="C81" t="str" cm="1">
        <f t="array" ref="C81">IF(
  AND(ISNUMBER(SEARCH("加工品",SUBSTITUTE(A81,"　"," "))), ISNUMBER(SEARCH("ベビーリーフ",SUBSTITUTE(A81,"　"," ")))),
  "ベビーリーフ（加工品）",
  IFERROR(
    INDEX($I$2:$I$10, MATCH(TRUE, ISNUMBER(SEARCH($H$2:$H$10, SUBSTITUTE(A81,"　"," "))), 0)),
    TRIM(SUBSTITUTE(A81,"　"," "))
  )
)</f>
        <v>ベビーリーフ（加工品）</v>
      </c>
      <c r="D81">
        <f t="shared" si="2"/>
        <v>280</v>
      </c>
    </row>
    <row r="82" spans="1:4">
      <c r="A82" t="s">
        <v>4</v>
      </c>
      <c r="B82">
        <v>240</v>
      </c>
      <c r="C82" t="str" cm="1">
        <f t="array" ref="C82">IF(
  AND(ISNUMBER(SEARCH("加工品",SUBSTITUTE(A82,"　"," "))), ISNUMBER(SEARCH("ベビーリーフ",SUBSTITUTE(A82,"　"," ")))),
  "ベビーリーフ（加工品）",
  IFERROR(
    INDEX($I$2:$I$10, MATCH(TRUE, ISNUMBER(SEARCH($H$2:$H$10, SUBSTITUTE(A82,"　"," "))), 0)),
    TRIM(SUBSTITUTE(A82,"　"," "))
  )
)</f>
        <v>ピノグリーン</v>
      </c>
      <c r="D82">
        <f t="shared" si="2"/>
        <v>240</v>
      </c>
    </row>
    <row r="83" spans="1:4">
      <c r="A83" t="s">
        <v>2</v>
      </c>
      <c r="B83">
        <v>460</v>
      </c>
      <c r="C83" t="str" cm="1">
        <f t="array" ref="C83">IF(
  AND(ISNUMBER(SEARCH("加工品",SUBSTITUTE(A83,"　"," "))), ISNUMBER(SEARCH("ベビーリーフ",SUBSTITUTE(A83,"　"," ")))),
  "ベビーリーフ（加工品）",
  IFERROR(
    INDEX($I$2:$I$10, MATCH(TRUE, ISNUMBER(SEARCH($H$2:$H$10, SUBSTITUTE(A83,"　"," "))), 0)),
    TRIM(SUBSTITUTE(A83,"　"," "))
  )
)</f>
        <v>グリーンオーク</v>
      </c>
      <c r="D83">
        <f t="shared" si="2"/>
        <v>460</v>
      </c>
    </row>
    <row r="84" spans="1:4">
      <c r="A84" t="s">
        <v>4</v>
      </c>
      <c r="B84">
        <v>820</v>
      </c>
      <c r="C84" t="str" cm="1">
        <f t="array" ref="C84">IF(
  AND(ISNUMBER(SEARCH("加工品",SUBSTITUTE(A84,"　"," "))), ISNUMBER(SEARCH("ベビーリーフ",SUBSTITUTE(A84,"　"," ")))),
  "ベビーリーフ（加工品）",
  IFERROR(
    INDEX($I$2:$I$10, MATCH(TRUE, ISNUMBER(SEARCH($H$2:$H$10, SUBSTITUTE(A84,"　"," "))), 0)),
    TRIM(SUBSTITUTE(A84,"　"," "))
  )
)</f>
        <v>ピノグリーン</v>
      </c>
      <c r="D84">
        <f t="shared" si="2"/>
        <v>820</v>
      </c>
    </row>
    <row r="85" spans="1:4">
      <c r="A85" t="s">
        <v>2</v>
      </c>
      <c r="B85" s="1">
        <v>1060</v>
      </c>
      <c r="C85" t="str" cm="1">
        <f t="array" ref="C85">IF(
  AND(ISNUMBER(SEARCH("加工品",SUBSTITUTE(A85,"　"," "))), ISNUMBER(SEARCH("ベビーリーフ",SUBSTITUTE(A85,"　"," ")))),
  "ベビーリーフ（加工品）",
  IFERROR(
    INDEX($I$2:$I$10, MATCH(TRUE, ISNUMBER(SEARCH($H$2:$H$10, SUBSTITUTE(A85,"　"," "))), 0)),
    TRIM(SUBSTITUTE(A85,"　"," "))
  )
)</f>
        <v>グリーンオーク</v>
      </c>
      <c r="D85">
        <f t="shared" si="2"/>
        <v>1060</v>
      </c>
    </row>
    <row r="86" spans="1:4">
      <c r="A86" t="s">
        <v>3</v>
      </c>
      <c r="B86">
        <v>400</v>
      </c>
      <c r="C86" t="str" cm="1">
        <f t="array" ref="C86">IF(
  AND(ISNUMBER(SEARCH("加工品",SUBSTITUTE(A86,"　"," "))), ISNUMBER(SEARCH("ベビーリーフ",SUBSTITUTE(A86,"　"," ")))),
  "ベビーリーフ（加工品）",
  IFERROR(
    INDEX($I$2:$I$10, MATCH(TRUE, ISNUMBER(SEARCH($H$2:$H$10, SUBSTITUTE(A86,"　"," "))), 0)),
    TRIM(SUBSTITUTE(A86,"　"," "))
  )
)</f>
        <v>ベビーリーフ（加工品）</v>
      </c>
      <c r="D86">
        <f t="shared" si="2"/>
        <v>400</v>
      </c>
    </row>
    <row r="87" spans="1:4">
      <c r="A87" t="s">
        <v>4</v>
      </c>
      <c r="B87">
        <v>520</v>
      </c>
      <c r="C87" t="str" cm="1">
        <f t="array" ref="C87">IF(
  AND(ISNUMBER(SEARCH("加工品",SUBSTITUTE(A87,"　"," "))), ISNUMBER(SEARCH("ベビーリーフ",SUBSTITUTE(A87,"　"," ")))),
  "ベビーリーフ（加工品）",
  IFERROR(
    INDEX($I$2:$I$10, MATCH(TRUE, ISNUMBER(SEARCH($H$2:$H$10, SUBSTITUTE(A87,"　"," "))), 0)),
    TRIM(SUBSTITUTE(A87,"　"," "))
  )
)</f>
        <v>ピノグリーン</v>
      </c>
      <c r="D87">
        <f t="shared" si="2"/>
        <v>520</v>
      </c>
    </row>
    <row r="88" spans="1:4">
      <c r="A88" t="s">
        <v>2</v>
      </c>
      <c r="B88">
        <v>360</v>
      </c>
      <c r="C88" t="str" cm="1">
        <f t="array" ref="C88">IF(
  AND(ISNUMBER(SEARCH("加工品",SUBSTITUTE(A88,"　"," "))), ISNUMBER(SEARCH("ベビーリーフ",SUBSTITUTE(A88,"　"," ")))),
  "ベビーリーフ（加工品）",
  IFERROR(
    INDEX($I$2:$I$10, MATCH(TRUE, ISNUMBER(SEARCH($H$2:$H$10, SUBSTITUTE(A88,"　"," "))), 0)),
    TRIM(SUBSTITUTE(A88,"　"," "))
  )
)</f>
        <v>グリーンオーク</v>
      </c>
      <c r="D88">
        <f t="shared" si="2"/>
        <v>360</v>
      </c>
    </row>
    <row r="89" spans="1:4">
      <c r="A89" t="s">
        <v>3</v>
      </c>
      <c r="B89">
        <v>370</v>
      </c>
      <c r="C89" t="str" cm="1">
        <f t="array" ref="C89">IF(
  AND(ISNUMBER(SEARCH("加工品",SUBSTITUTE(A89,"　"," "))), ISNUMBER(SEARCH("ベビーリーフ",SUBSTITUTE(A89,"　"," ")))),
  "ベビーリーフ（加工品）",
  IFERROR(
    INDEX($I$2:$I$10, MATCH(TRUE, ISNUMBER(SEARCH($H$2:$H$10, SUBSTITUTE(A89,"　"," "))), 0)),
    TRIM(SUBSTITUTE(A89,"　"," "))
  )
)</f>
        <v>ベビーリーフ（加工品）</v>
      </c>
      <c r="D89">
        <f t="shared" si="2"/>
        <v>370</v>
      </c>
    </row>
    <row r="90" spans="1:4">
      <c r="A90" t="s">
        <v>3</v>
      </c>
      <c r="B90">
        <v>380</v>
      </c>
      <c r="C90" t="str" cm="1">
        <f t="array" ref="C90">IF(
  AND(ISNUMBER(SEARCH("加工品",SUBSTITUTE(A90,"　"," "))), ISNUMBER(SEARCH("ベビーリーフ",SUBSTITUTE(A90,"　"," ")))),
  "ベビーリーフ（加工品）",
  IFERROR(
    INDEX($I$2:$I$10, MATCH(TRUE, ISNUMBER(SEARCH($H$2:$H$10, SUBSTITUTE(A90,"　"," "))), 0)),
    TRIM(SUBSTITUTE(A90,"　"," "))
  )
)</f>
        <v>ベビーリーフ（加工品）</v>
      </c>
      <c r="D90">
        <f t="shared" si="2"/>
        <v>380</v>
      </c>
    </row>
    <row r="91" spans="1:4">
      <c r="A91" t="s">
        <v>2</v>
      </c>
      <c r="B91">
        <v>100</v>
      </c>
      <c r="C91" t="str" cm="1">
        <f t="array" ref="C91">IF(
  AND(ISNUMBER(SEARCH("加工品",SUBSTITUTE(A91,"　"," "))), ISNUMBER(SEARCH("ベビーリーフ",SUBSTITUTE(A91,"　"," ")))),
  "ベビーリーフ（加工品）",
  IFERROR(
    INDEX($I$2:$I$10, MATCH(TRUE, ISNUMBER(SEARCH($H$2:$H$10, SUBSTITUTE(A91,"　"," "))), 0)),
    TRIM(SUBSTITUTE(A91,"　"," "))
  )
)</f>
        <v>グリーンオーク</v>
      </c>
      <c r="D91">
        <f t="shared" si="2"/>
        <v>100</v>
      </c>
    </row>
    <row r="92" spans="1:4">
      <c r="A92" t="s">
        <v>4</v>
      </c>
      <c r="B92">
        <v>200</v>
      </c>
      <c r="C92" t="str" cm="1">
        <f t="array" ref="C92">IF(
  AND(ISNUMBER(SEARCH("加工品",SUBSTITUTE(A92,"　"," "))), ISNUMBER(SEARCH("ベビーリーフ",SUBSTITUTE(A92,"　"," ")))),
  "ベビーリーフ（加工品）",
  IFERROR(
    INDEX($I$2:$I$10, MATCH(TRUE, ISNUMBER(SEARCH($H$2:$H$10, SUBSTITUTE(A92,"　"," "))), 0)),
    TRIM(SUBSTITUTE(A92,"　"," "))
  )
)</f>
        <v>ピノグリーン</v>
      </c>
      <c r="D92">
        <f t="shared" si="2"/>
        <v>200</v>
      </c>
    </row>
    <row r="93" spans="1:4">
      <c r="A93" t="s">
        <v>3</v>
      </c>
      <c r="B93">
        <v>380</v>
      </c>
      <c r="C93" t="str" cm="1">
        <f t="array" ref="C93">IF(
  AND(ISNUMBER(SEARCH("加工品",SUBSTITUTE(A93,"　"," "))), ISNUMBER(SEARCH("ベビーリーフ",SUBSTITUTE(A93,"　"," ")))),
  "ベビーリーフ（加工品）",
  IFERROR(
    INDEX($I$2:$I$10, MATCH(TRUE, ISNUMBER(SEARCH($H$2:$H$10, SUBSTITUTE(A93,"　"," "))), 0)),
    TRIM(SUBSTITUTE(A93,"　"," "))
  )
)</f>
        <v>ベビーリーフ（加工品）</v>
      </c>
      <c r="D93">
        <f t="shared" si="2"/>
        <v>380</v>
      </c>
    </row>
    <row r="94" spans="1:4">
      <c r="A94" t="s">
        <v>2</v>
      </c>
      <c r="B94">
        <v>100</v>
      </c>
      <c r="C94" t="str" cm="1">
        <f t="array" ref="C94">IF(
  AND(ISNUMBER(SEARCH("加工品",SUBSTITUTE(A94,"　"," "))), ISNUMBER(SEARCH("ベビーリーフ",SUBSTITUTE(A94,"　"," ")))),
  "ベビーリーフ（加工品）",
  IFERROR(
    INDEX($I$2:$I$10, MATCH(TRUE, ISNUMBER(SEARCH($H$2:$H$10, SUBSTITUTE(A94,"　"," "))), 0)),
    TRIM(SUBSTITUTE(A94,"　"," "))
  )
)</f>
        <v>グリーンオーク</v>
      </c>
      <c r="D94">
        <f t="shared" si="2"/>
        <v>100</v>
      </c>
    </row>
    <row r="95" spans="1:4">
      <c r="A95" t="s">
        <v>4</v>
      </c>
      <c r="B95">
        <v>200</v>
      </c>
      <c r="C95" t="str" cm="1">
        <f t="array" ref="C95">IF(
  AND(ISNUMBER(SEARCH("加工品",SUBSTITUTE(A95,"　"," "))), ISNUMBER(SEARCH("ベビーリーフ",SUBSTITUTE(A95,"　"," ")))),
  "ベビーリーフ（加工品）",
  IFERROR(
    INDEX($I$2:$I$10, MATCH(TRUE, ISNUMBER(SEARCH($H$2:$H$10, SUBSTITUTE(A95,"　"," "))), 0)),
    TRIM(SUBSTITUTE(A95,"　"," "))
  )
)</f>
        <v>ピノグリーン</v>
      </c>
      <c r="D95">
        <f t="shared" si="2"/>
        <v>200</v>
      </c>
    </row>
    <row r="96" spans="1:4">
      <c r="A96" t="s">
        <v>3</v>
      </c>
      <c r="B96">
        <v>320</v>
      </c>
      <c r="C96" t="str" cm="1">
        <f t="array" ref="C96">IF(
  AND(ISNUMBER(SEARCH("加工品",SUBSTITUTE(A96,"　"," "))), ISNUMBER(SEARCH("ベビーリーフ",SUBSTITUTE(A96,"　"," ")))),
  "ベビーリーフ（加工品）",
  IFERROR(
    INDEX($I$2:$I$10, MATCH(TRUE, ISNUMBER(SEARCH($H$2:$H$10, SUBSTITUTE(A96,"　"," "))), 0)),
    TRIM(SUBSTITUTE(A96,"　"," "))
  )
)</f>
        <v>ベビーリーフ（加工品）</v>
      </c>
      <c r="D96">
        <f t="shared" si="2"/>
        <v>320</v>
      </c>
    </row>
    <row r="97" spans="1:4">
      <c r="A97" t="s">
        <v>4</v>
      </c>
      <c r="B97">
        <v>280</v>
      </c>
      <c r="C97" t="str" cm="1">
        <f t="array" ref="C97">IF(
  AND(ISNUMBER(SEARCH("加工品",SUBSTITUTE(A97,"　"," "))), ISNUMBER(SEARCH("ベビーリーフ",SUBSTITUTE(A97,"　"," ")))),
  "ベビーリーフ（加工品）",
  IFERROR(
    INDEX($I$2:$I$10, MATCH(TRUE, ISNUMBER(SEARCH($H$2:$H$10, SUBSTITUTE(A97,"　"," "))), 0)),
    TRIM(SUBSTITUTE(A97,"　"," "))
  )
)</f>
        <v>ピノグリーン</v>
      </c>
      <c r="D97">
        <f t="shared" si="2"/>
        <v>280</v>
      </c>
    </row>
    <row r="98" spans="1:4">
      <c r="A98" t="s">
        <v>2</v>
      </c>
      <c r="B98">
        <v>500</v>
      </c>
      <c r="C98" t="str" cm="1">
        <f t="array" ref="C98">IF(
  AND(ISNUMBER(SEARCH("加工品",SUBSTITUTE(A98,"　"," "))), ISNUMBER(SEARCH("ベビーリーフ",SUBSTITUTE(A98,"　"," ")))),
  "ベビーリーフ（加工品）",
  IFERROR(
    INDEX($I$2:$I$10, MATCH(TRUE, ISNUMBER(SEARCH($H$2:$H$10, SUBSTITUTE(A98,"　"," "))), 0)),
    TRIM(SUBSTITUTE(A98,"　"," "))
  )
)</f>
        <v>グリーンオーク</v>
      </c>
      <c r="D98">
        <f t="shared" si="2"/>
        <v>500</v>
      </c>
    </row>
    <row r="99" spans="1:4">
      <c r="A99" t="s">
        <v>3</v>
      </c>
      <c r="B99">
        <v>320</v>
      </c>
      <c r="C99" t="str" cm="1">
        <f t="array" ref="C99">IF(
  AND(ISNUMBER(SEARCH("加工品",SUBSTITUTE(A99,"　"," "))), ISNUMBER(SEARCH("ベビーリーフ",SUBSTITUTE(A99,"　"," ")))),
  "ベビーリーフ（加工品）",
  IFERROR(
    INDEX($I$2:$I$10, MATCH(TRUE, ISNUMBER(SEARCH($H$2:$H$10, SUBSTITUTE(A99,"　"," "))), 0)),
    TRIM(SUBSTITUTE(A99,"　"," "))
  )
)</f>
        <v>ベビーリーフ（加工品）</v>
      </c>
      <c r="D99">
        <f t="shared" si="2"/>
        <v>320</v>
      </c>
    </row>
    <row r="100" spans="1:4">
      <c r="A100" t="s">
        <v>4</v>
      </c>
      <c r="B100">
        <v>280</v>
      </c>
      <c r="C100" t="str" cm="1">
        <f t="array" ref="C100">IF(
  AND(ISNUMBER(SEARCH("加工品",SUBSTITUTE(A100,"　"," "))), ISNUMBER(SEARCH("ベビーリーフ",SUBSTITUTE(A100,"　"," ")))),
  "ベビーリーフ（加工品）",
  IFERROR(
    INDEX($I$2:$I$10, MATCH(TRUE, ISNUMBER(SEARCH($H$2:$H$10, SUBSTITUTE(A100,"　"," "))), 0)),
    TRIM(SUBSTITUTE(A100,"　"," "))
  )
)</f>
        <v>ピノグリーン</v>
      </c>
      <c r="D100">
        <f t="shared" si="2"/>
        <v>280</v>
      </c>
    </row>
    <row r="101" spans="1:4">
      <c r="A101" t="s">
        <v>2</v>
      </c>
      <c r="B101">
        <v>500</v>
      </c>
      <c r="C101" t="str" cm="1">
        <f t="array" ref="C101">IF(
  AND(ISNUMBER(SEARCH("加工品",SUBSTITUTE(A101,"　"," "))), ISNUMBER(SEARCH("ベビーリーフ",SUBSTITUTE(A101,"　"," ")))),
  "ベビーリーフ（加工品）",
  IFERROR(
    INDEX($I$2:$I$10, MATCH(TRUE, ISNUMBER(SEARCH($H$2:$H$10, SUBSTITUTE(A101,"　"," "))), 0)),
    TRIM(SUBSTITUTE(A101,"　"," "))
  )
)</f>
        <v>グリーンオーク</v>
      </c>
      <c r="D101">
        <f t="shared" si="2"/>
        <v>500</v>
      </c>
    </row>
    <row r="102" spans="1:4">
      <c r="A102" t="s">
        <v>3</v>
      </c>
      <c r="B102">
        <v>240</v>
      </c>
      <c r="C102" t="str" cm="1">
        <f t="array" ref="C102">IF(
  AND(ISNUMBER(SEARCH("加工品",SUBSTITUTE(A102,"　"," "))), ISNUMBER(SEARCH("ベビーリーフ",SUBSTITUTE(A102,"　"," ")))),
  "ベビーリーフ（加工品）",
  IFERROR(
    INDEX($I$2:$I$10, MATCH(TRUE, ISNUMBER(SEARCH($H$2:$H$10, SUBSTITUTE(A102,"　"," "))), 0)),
    TRIM(SUBSTITUTE(A102,"　"," "))
  )
)</f>
        <v>ベビーリーフ（加工品）</v>
      </c>
      <c r="D102">
        <f t="shared" si="2"/>
        <v>240</v>
      </c>
    </row>
    <row r="103" spans="1:4">
      <c r="A103" t="s">
        <v>4</v>
      </c>
      <c r="B103">
        <v>200</v>
      </c>
      <c r="C103" t="str" cm="1">
        <f t="array" ref="C103">IF(
  AND(ISNUMBER(SEARCH("加工品",SUBSTITUTE(A103,"　"," "))), ISNUMBER(SEARCH("ベビーリーフ",SUBSTITUTE(A103,"　"," ")))),
  "ベビーリーフ（加工品）",
  IFERROR(
    INDEX($I$2:$I$10, MATCH(TRUE, ISNUMBER(SEARCH($H$2:$H$10, SUBSTITUTE(A103,"　"," "))), 0)),
    TRIM(SUBSTITUTE(A103,"　"," "))
  )
)</f>
        <v>ピノグリーン</v>
      </c>
      <c r="D103">
        <f t="shared" si="2"/>
        <v>200</v>
      </c>
    </row>
    <row r="104" spans="1:4">
      <c r="A104" t="s">
        <v>3</v>
      </c>
      <c r="B104">
        <v>240</v>
      </c>
      <c r="C104" t="str" cm="1">
        <f t="array" ref="C104">IF(
  AND(ISNUMBER(SEARCH("加工品",SUBSTITUTE(A104,"　"," "))), ISNUMBER(SEARCH("ベビーリーフ",SUBSTITUTE(A104,"　"," ")))),
  "ベビーリーフ（加工品）",
  IFERROR(
    INDEX($I$2:$I$10, MATCH(TRUE, ISNUMBER(SEARCH($H$2:$H$10, SUBSTITUTE(A104,"　"," "))), 0)),
    TRIM(SUBSTITUTE(A104,"　"," "))
  )
)</f>
        <v>ベビーリーフ（加工品）</v>
      </c>
      <c r="D104">
        <f t="shared" si="2"/>
        <v>240</v>
      </c>
    </row>
    <row r="105" spans="1:4">
      <c r="A105" t="s">
        <v>4</v>
      </c>
      <c r="B105">
        <v>200</v>
      </c>
      <c r="C105" t="str" cm="1">
        <f t="array" ref="C105">IF(
  AND(ISNUMBER(SEARCH("加工品",SUBSTITUTE(A105,"　"," "))), ISNUMBER(SEARCH("ベビーリーフ",SUBSTITUTE(A105,"　"," ")))),
  "ベビーリーフ（加工品）",
  IFERROR(
    INDEX($I$2:$I$10, MATCH(TRUE, ISNUMBER(SEARCH($H$2:$H$10, SUBSTITUTE(A105,"　"," "))), 0)),
    TRIM(SUBSTITUTE(A105,"　"," "))
  )
)</f>
        <v>ピノグリーン</v>
      </c>
      <c r="D105">
        <f t="shared" si="2"/>
        <v>200</v>
      </c>
    </row>
    <row r="106" spans="1:4">
      <c r="A106" t="s">
        <v>2</v>
      </c>
      <c r="B106">
        <v>400</v>
      </c>
      <c r="C106" t="str" cm="1">
        <f t="array" ref="C106">IF(
  AND(ISNUMBER(SEARCH("加工品",SUBSTITUTE(A106,"　"," "))), ISNUMBER(SEARCH("ベビーリーフ",SUBSTITUTE(A106,"　"," ")))),
  "ベビーリーフ（加工品）",
  IFERROR(
    INDEX($I$2:$I$10, MATCH(TRUE, ISNUMBER(SEARCH($H$2:$H$10, SUBSTITUTE(A106,"　"," "))), 0)),
    TRIM(SUBSTITUTE(A106,"　"," "))
  )
)</f>
        <v>グリーンオーク</v>
      </c>
      <c r="D106">
        <f t="shared" si="2"/>
        <v>400</v>
      </c>
    </row>
    <row r="107" spans="1:4">
      <c r="A107" t="s">
        <v>3</v>
      </c>
      <c r="B107">
        <v>300</v>
      </c>
      <c r="C107" t="str" cm="1">
        <f t="array" ref="C107">IF(
  AND(ISNUMBER(SEARCH("加工品",SUBSTITUTE(A107,"　"," "))), ISNUMBER(SEARCH("ベビーリーフ",SUBSTITUTE(A107,"　"," ")))),
  "ベビーリーフ（加工品）",
  IFERROR(
    INDEX($I$2:$I$10, MATCH(TRUE, ISNUMBER(SEARCH($H$2:$H$10, SUBSTITUTE(A107,"　"," "))), 0)),
    TRIM(SUBSTITUTE(A107,"　"," "))
  )
)</f>
        <v>ベビーリーフ（加工品）</v>
      </c>
      <c r="D107">
        <f t="shared" si="2"/>
        <v>300</v>
      </c>
    </row>
    <row r="108" spans="1:4">
      <c r="A108" t="s">
        <v>4</v>
      </c>
      <c r="B108">
        <v>280</v>
      </c>
      <c r="C108" t="str" cm="1">
        <f t="array" ref="C108">IF(
  AND(ISNUMBER(SEARCH("加工品",SUBSTITUTE(A108,"　"," "))), ISNUMBER(SEARCH("ベビーリーフ",SUBSTITUTE(A108,"　"," ")))),
  "ベビーリーフ（加工品）",
  IFERROR(
    INDEX($I$2:$I$10, MATCH(TRUE, ISNUMBER(SEARCH($H$2:$H$10, SUBSTITUTE(A108,"　"," "))), 0)),
    TRIM(SUBSTITUTE(A108,"　"," "))
  )
)</f>
        <v>ピノグリーン</v>
      </c>
      <c r="D108">
        <f t="shared" si="2"/>
        <v>280</v>
      </c>
    </row>
    <row r="109" spans="1:4">
      <c r="A109" t="s">
        <v>2</v>
      </c>
      <c r="B109">
        <v>400</v>
      </c>
      <c r="C109" t="str" cm="1">
        <f t="array" ref="C109">IF(
  AND(ISNUMBER(SEARCH("加工品",SUBSTITUTE(A109,"　"," "))), ISNUMBER(SEARCH("ベビーリーフ",SUBSTITUTE(A109,"　"," ")))),
  "ベビーリーフ（加工品）",
  IFERROR(
    INDEX($I$2:$I$10, MATCH(TRUE, ISNUMBER(SEARCH($H$2:$H$10, SUBSTITUTE(A109,"　"," "))), 0)),
    TRIM(SUBSTITUTE(A109,"　"," "))
  )
)</f>
        <v>グリーンオーク</v>
      </c>
      <c r="D109">
        <f t="shared" si="2"/>
        <v>400</v>
      </c>
    </row>
    <row r="110" spans="1:4">
      <c r="A110" t="s">
        <v>3</v>
      </c>
      <c r="B110">
        <v>300</v>
      </c>
      <c r="C110" t="str" cm="1">
        <f t="array" ref="C110">IF(
  AND(ISNUMBER(SEARCH("加工品",SUBSTITUTE(A110,"　"," "))), ISNUMBER(SEARCH("ベビーリーフ",SUBSTITUTE(A110,"　"," ")))),
  "ベビーリーフ（加工品）",
  IFERROR(
    INDEX($I$2:$I$10, MATCH(TRUE, ISNUMBER(SEARCH($H$2:$H$10, SUBSTITUTE(A110,"　"," "))), 0)),
    TRIM(SUBSTITUTE(A110,"　"," "))
  )
)</f>
        <v>ベビーリーフ（加工品）</v>
      </c>
      <c r="D110">
        <f t="shared" si="2"/>
        <v>300</v>
      </c>
    </row>
    <row r="111" spans="1:4">
      <c r="A111" t="s">
        <v>4</v>
      </c>
      <c r="B111">
        <v>280</v>
      </c>
      <c r="C111" t="str" cm="1">
        <f t="array" ref="C111">IF(
  AND(ISNUMBER(SEARCH("加工品",SUBSTITUTE(A111,"　"," "))), ISNUMBER(SEARCH("ベビーリーフ",SUBSTITUTE(A111,"　"," ")))),
  "ベビーリーフ（加工品）",
  IFERROR(
    INDEX($I$2:$I$10, MATCH(TRUE, ISNUMBER(SEARCH($H$2:$H$10, SUBSTITUTE(A111,"　"," "))), 0)),
    TRIM(SUBSTITUTE(A111,"　"," "))
  )
)</f>
        <v>ピノグリーン</v>
      </c>
      <c r="D111">
        <f t="shared" si="2"/>
        <v>280</v>
      </c>
    </row>
    <row r="112" spans="1:4">
      <c r="A112" t="s">
        <v>3</v>
      </c>
      <c r="B112">
        <v>500</v>
      </c>
      <c r="C112" t="str" cm="1">
        <f t="array" ref="C112">IF(
  AND(ISNUMBER(SEARCH("加工品",SUBSTITUTE(A112,"　"," "))), ISNUMBER(SEARCH("ベビーリーフ",SUBSTITUTE(A112,"　"," ")))),
  "ベビーリーフ（加工品）",
  IFERROR(
    INDEX($I$2:$I$10, MATCH(TRUE, ISNUMBER(SEARCH($H$2:$H$10, SUBSTITUTE(A112,"　"," "))), 0)),
    TRIM(SUBSTITUTE(A112,"　"," "))
  )
)</f>
        <v>ベビーリーフ（加工品）</v>
      </c>
      <c r="D112">
        <f t="shared" si="2"/>
        <v>500</v>
      </c>
    </row>
    <row r="113" spans="1:4">
      <c r="A113" t="s">
        <v>4</v>
      </c>
      <c r="B113">
        <v>280</v>
      </c>
      <c r="C113" t="str" cm="1">
        <f t="array" ref="C113">IF(
  AND(ISNUMBER(SEARCH("加工品",SUBSTITUTE(A113,"　"," "))), ISNUMBER(SEARCH("ベビーリーフ",SUBSTITUTE(A113,"　"," ")))),
  "ベビーリーフ（加工品）",
  IFERROR(
    INDEX($I$2:$I$10, MATCH(TRUE, ISNUMBER(SEARCH($H$2:$H$10, SUBSTITUTE(A113,"　"," "))), 0)),
    TRIM(SUBSTITUTE(A113,"　"," "))
  )
)</f>
        <v>ピノグリーン</v>
      </c>
      <c r="D113">
        <f t="shared" si="2"/>
        <v>280</v>
      </c>
    </row>
    <row r="114" spans="1:4">
      <c r="A114" t="s">
        <v>3</v>
      </c>
      <c r="B114">
        <v>500</v>
      </c>
      <c r="C114" t="str" cm="1">
        <f t="array" ref="C114">IF(
  AND(ISNUMBER(SEARCH("加工品",SUBSTITUTE(A114,"　"," "))), ISNUMBER(SEARCH("ベビーリーフ",SUBSTITUTE(A114,"　"," ")))),
  "ベビーリーフ（加工品）",
  IFERROR(
    INDEX($I$2:$I$10, MATCH(TRUE, ISNUMBER(SEARCH($H$2:$H$10, SUBSTITUTE(A114,"　"," "))), 0)),
    TRIM(SUBSTITUTE(A114,"　"," "))
  )
)</f>
        <v>ベビーリーフ（加工品）</v>
      </c>
      <c r="D114">
        <f t="shared" si="2"/>
        <v>500</v>
      </c>
    </row>
    <row r="115" spans="1:4">
      <c r="A115" t="s">
        <v>4</v>
      </c>
      <c r="B115">
        <v>280</v>
      </c>
      <c r="C115" t="str" cm="1">
        <f t="array" ref="C115">IF(
  AND(ISNUMBER(SEARCH("加工品",SUBSTITUTE(A115,"　"," "))), ISNUMBER(SEARCH("ベビーリーフ",SUBSTITUTE(A115,"　"," ")))),
  "ベビーリーフ（加工品）",
  IFERROR(
    INDEX($I$2:$I$10, MATCH(TRUE, ISNUMBER(SEARCH($H$2:$H$10, SUBSTITUTE(A115,"　"," "))), 0)),
    TRIM(SUBSTITUTE(A115,"　"," "))
  )
)</f>
        <v>ピノグリーン</v>
      </c>
      <c r="D115">
        <f t="shared" si="2"/>
        <v>280</v>
      </c>
    </row>
    <row r="116" spans="1:4">
      <c r="A116" t="s">
        <v>3</v>
      </c>
      <c r="B116">
        <v>380</v>
      </c>
      <c r="C116" t="str" cm="1">
        <f t="array" ref="C116">IF(
  AND(ISNUMBER(SEARCH("加工品",SUBSTITUTE(A116,"　"," "))), ISNUMBER(SEARCH("ベビーリーフ",SUBSTITUTE(A116,"　"," ")))),
  "ベビーリーフ（加工品）",
  IFERROR(
    INDEX($I$2:$I$10, MATCH(TRUE, ISNUMBER(SEARCH($H$2:$H$10, SUBSTITUTE(A116,"　"," "))), 0)),
    TRIM(SUBSTITUTE(A116,"　"," "))
  )
)</f>
        <v>ベビーリーフ（加工品）</v>
      </c>
      <c r="D116">
        <f t="shared" si="2"/>
        <v>380</v>
      </c>
    </row>
    <row r="117" spans="1:4">
      <c r="A117" t="s">
        <v>2</v>
      </c>
      <c r="B117">
        <v>350</v>
      </c>
      <c r="C117" t="str" cm="1">
        <f t="array" ref="C117">IF(
  AND(ISNUMBER(SEARCH("加工品",SUBSTITUTE(A117,"　"," "))), ISNUMBER(SEARCH("ベビーリーフ",SUBSTITUTE(A117,"　"," ")))),
  "ベビーリーフ（加工品）",
  IFERROR(
    INDEX($I$2:$I$10, MATCH(TRUE, ISNUMBER(SEARCH($H$2:$H$10, SUBSTITUTE(A117,"　"," "))), 0)),
    TRIM(SUBSTITUTE(A117,"　"," "))
  )
)</f>
        <v>グリーンオーク</v>
      </c>
      <c r="D117">
        <f t="shared" si="2"/>
        <v>350</v>
      </c>
    </row>
    <row r="118" spans="1:4">
      <c r="A118" t="s">
        <v>5</v>
      </c>
      <c r="B118">
        <v>300</v>
      </c>
      <c r="C118" t="str" cm="1">
        <f t="array" ref="C118">IF(
  AND(ISNUMBER(SEARCH("加工品",SUBSTITUTE(A118,"　"," "))), ISNUMBER(SEARCH("ベビーリーフ",SUBSTITUTE(A118,"　"," ")))),
  "ベビーリーフ（加工品）",
  IFERROR(
    INDEX($I$2:$I$10, MATCH(TRUE, ISNUMBER(SEARCH($H$2:$H$10, SUBSTITUTE(A118,"　"," "))), 0)),
    TRIM(SUBSTITUTE(A118,"　"," "))
  )
)</f>
        <v>グリーンオーク</v>
      </c>
      <c r="D118">
        <f t="shared" si="2"/>
        <v>300</v>
      </c>
    </row>
    <row r="119" spans="1:4">
      <c r="A119" t="s">
        <v>2</v>
      </c>
      <c r="B119">
        <v>550</v>
      </c>
      <c r="C119" t="str" cm="1">
        <f t="array" ref="C119">IF(
  AND(ISNUMBER(SEARCH("加工品",SUBSTITUTE(A119,"　"," "))), ISNUMBER(SEARCH("ベビーリーフ",SUBSTITUTE(A119,"　"," ")))),
  "ベビーリーフ（加工品）",
  IFERROR(
    INDEX($I$2:$I$10, MATCH(TRUE, ISNUMBER(SEARCH($H$2:$H$10, SUBSTITUTE(A119,"　"," "))), 0)),
    TRIM(SUBSTITUTE(A119,"　"," "))
  )
)</f>
        <v>グリーンオーク</v>
      </c>
      <c r="D119">
        <f t="shared" si="2"/>
        <v>550</v>
      </c>
    </row>
    <row r="120" spans="1:4">
      <c r="A120" t="s">
        <v>3</v>
      </c>
      <c r="B120">
        <v>700</v>
      </c>
      <c r="C120" t="str" cm="1">
        <f t="array" ref="C120">IF(
  AND(ISNUMBER(SEARCH("加工品",SUBSTITUTE(A120,"　"," "))), ISNUMBER(SEARCH("ベビーリーフ",SUBSTITUTE(A120,"　"," ")))),
  "ベビーリーフ（加工品）",
  IFERROR(
    INDEX($I$2:$I$10, MATCH(TRUE, ISNUMBER(SEARCH($H$2:$H$10, SUBSTITUTE(A120,"　"," "))), 0)),
    TRIM(SUBSTITUTE(A120,"　"," "))
  )
)</f>
        <v>ベビーリーフ（加工品）</v>
      </c>
      <c r="D120">
        <f t="shared" si="2"/>
        <v>700</v>
      </c>
    </row>
    <row r="121" spans="1:4">
      <c r="A121" t="s">
        <v>4</v>
      </c>
      <c r="B121">
        <v>340</v>
      </c>
      <c r="C121" t="str" cm="1">
        <f t="array" ref="C121">IF(
  AND(ISNUMBER(SEARCH("加工品",SUBSTITUTE(A121,"　"," "))), ISNUMBER(SEARCH("ベビーリーフ",SUBSTITUTE(A121,"　"," ")))),
  "ベビーリーフ（加工品）",
  IFERROR(
    INDEX($I$2:$I$10, MATCH(TRUE, ISNUMBER(SEARCH($H$2:$H$10, SUBSTITUTE(A121,"　"," "))), 0)),
    TRIM(SUBSTITUTE(A121,"　"," "))
  )
)</f>
        <v>ピノグリーン</v>
      </c>
      <c r="D121">
        <f t="shared" si="2"/>
        <v>340</v>
      </c>
    </row>
    <row r="122" spans="1:4">
      <c r="A122" t="s">
        <v>3</v>
      </c>
      <c r="B122">
        <v>300</v>
      </c>
      <c r="C122" t="str" cm="1">
        <f t="array" ref="C122">IF(
  AND(ISNUMBER(SEARCH("加工品",SUBSTITUTE(A122,"　"," "))), ISNUMBER(SEARCH("ベビーリーフ",SUBSTITUTE(A122,"　"," ")))),
  "ベビーリーフ（加工品）",
  IFERROR(
    INDEX($I$2:$I$10, MATCH(TRUE, ISNUMBER(SEARCH($H$2:$H$10, SUBSTITUTE(A122,"　"," "))), 0)),
    TRIM(SUBSTITUTE(A122,"　"," "))
  )
)</f>
        <v>ベビーリーフ（加工品）</v>
      </c>
      <c r="D122">
        <f t="shared" si="2"/>
        <v>300</v>
      </c>
    </row>
    <row r="123" spans="1:4">
      <c r="A123" t="s">
        <v>4</v>
      </c>
      <c r="B123">
        <v>240</v>
      </c>
      <c r="C123" t="str" cm="1">
        <f t="array" ref="C123">IF(
  AND(ISNUMBER(SEARCH("加工品",SUBSTITUTE(A123,"　"," "))), ISNUMBER(SEARCH("ベビーリーフ",SUBSTITUTE(A123,"　"," ")))),
  "ベビーリーフ（加工品）",
  IFERROR(
    INDEX($I$2:$I$10, MATCH(TRUE, ISNUMBER(SEARCH($H$2:$H$10, SUBSTITUTE(A123,"　"," "))), 0)),
    TRIM(SUBSTITUTE(A123,"　"," "))
  )
)</f>
        <v>ピノグリーン</v>
      </c>
      <c r="D123">
        <f t="shared" si="2"/>
        <v>240</v>
      </c>
    </row>
    <row r="124" spans="1:4">
      <c r="A124" t="s">
        <v>2</v>
      </c>
      <c r="B124">
        <v>200</v>
      </c>
      <c r="C124" t="str" cm="1">
        <f t="array" ref="C124">IF(
  AND(ISNUMBER(SEARCH("加工品",SUBSTITUTE(A124,"　"," "))), ISNUMBER(SEARCH("ベビーリーフ",SUBSTITUTE(A124,"　"," ")))),
  "ベビーリーフ（加工品）",
  IFERROR(
    INDEX($I$2:$I$10, MATCH(TRUE, ISNUMBER(SEARCH($H$2:$H$10, SUBSTITUTE(A124,"　"," "))), 0)),
    TRIM(SUBSTITUTE(A124,"　"," "))
  )
)</f>
        <v>グリーンオーク</v>
      </c>
      <c r="D124">
        <f t="shared" si="2"/>
        <v>200</v>
      </c>
    </row>
    <row r="125" spans="1:4">
      <c r="A125" t="s">
        <v>3</v>
      </c>
      <c r="B125">
        <v>280</v>
      </c>
      <c r="C125" t="str" cm="1">
        <f t="array" ref="C125">IF(
  AND(ISNUMBER(SEARCH("加工品",SUBSTITUTE(A125,"　"," "))), ISNUMBER(SEARCH("ベビーリーフ",SUBSTITUTE(A125,"　"," ")))),
  "ベビーリーフ（加工品）",
  IFERROR(
    INDEX($I$2:$I$10, MATCH(TRUE, ISNUMBER(SEARCH($H$2:$H$10, SUBSTITUTE(A125,"　"," "))), 0)),
    TRIM(SUBSTITUTE(A125,"　"," "))
  )
)</f>
        <v>ベビーリーフ（加工品）</v>
      </c>
      <c r="D125">
        <f t="shared" si="2"/>
        <v>280</v>
      </c>
    </row>
    <row r="126" spans="1:4">
      <c r="A126" t="s">
        <v>4</v>
      </c>
      <c r="B126">
        <v>520</v>
      </c>
      <c r="C126" t="str" cm="1">
        <f t="array" ref="C126">IF(
  AND(ISNUMBER(SEARCH("加工品",SUBSTITUTE(A126,"　"," "))), ISNUMBER(SEARCH("ベビーリーフ",SUBSTITUTE(A126,"　"," ")))),
  "ベビーリーフ（加工品）",
  IFERROR(
    INDEX($I$2:$I$10, MATCH(TRUE, ISNUMBER(SEARCH($H$2:$H$10, SUBSTITUTE(A126,"　"," "))), 0)),
    TRIM(SUBSTITUTE(A126,"　"," "))
  )
)</f>
        <v>ピノグリーン</v>
      </c>
      <c r="D126">
        <f t="shared" si="2"/>
        <v>520</v>
      </c>
    </row>
    <row r="127" spans="1:4">
      <c r="A127" t="s">
        <v>3</v>
      </c>
      <c r="B127">
        <v>120</v>
      </c>
      <c r="C127" t="str" cm="1">
        <f t="array" ref="C127">IF(
  AND(ISNUMBER(SEARCH("加工品",SUBSTITUTE(A127,"　"," "))), ISNUMBER(SEARCH("ベビーリーフ",SUBSTITUTE(A127,"　"," ")))),
  "ベビーリーフ（加工品）",
  IFERROR(
    INDEX($I$2:$I$10, MATCH(TRUE, ISNUMBER(SEARCH($H$2:$H$10, SUBSTITUTE(A127,"　"," "))), 0)),
    TRIM(SUBSTITUTE(A127,"　"," "))
  )
)</f>
        <v>ベビーリーフ（加工品）</v>
      </c>
      <c r="D127">
        <f t="shared" si="2"/>
        <v>120</v>
      </c>
    </row>
    <row r="128" spans="1:4">
      <c r="A128" t="s">
        <v>2</v>
      </c>
      <c r="B128">
        <v>380</v>
      </c>
      <c r="C128" t="str" cm="1">
        <f t="array" ref="C128">IF(
  AND(ISNUMBER(SEARCH("加工品",SUBSTITUTE(A128,"　"," "))), ISNUMBER(SEARCH("ベビーリーフ",SUBSTITUTE(A128,"　"," ")))),
  "ベビーリーフ（加工品）",
  IFERROR(
    INDEX($I$2:$I$10, MATCH(TRUE, ISNUMBER(SEARCH($H$2:$H$10, SUBSTITUTE(A128,"　"," "))), 0)),
    TRIM(SUBSTITUTE(A128,"　"," "))
  )
)</f>
        <v>グリーンオーク</v>
      </c>
      <c r="D128">
        <f t="shared" si="2"/>
        <v>380</v>
      </c>
    </row>
    <row r="129" spans="1:4">
      <c r="A129" t="s">
        <v>4</v>
      </c>
      <c r="B129">
        <v>400</v>
      </c>
      <c r="C129" t="str" cm="1">
        <f t="array" ref="C129">IF(
  AND(ISNUMBER(SEARCH("加工品",SUBSTITUTE(A129,"　"," "))), ISNUMBER(SEARCH("ベビーリーフ",SUBSTITUTE(A129,"　"," ")))),
  "ベビーリーフ（加工品）",
  IFERROR(
    INDEX($I$2:$I$10, MATCH(TRUE, ISNUMBER(SEARCH($H$2:$H$10, SUBSTITUTE(A129,"　"," "))), 0)),
    TRIM(SUBSTITUTE(A129,"　"," "))
  )
)</f>
        <v>ピノグリーン</v>
      </c>
      <c r="D129">
        <f t="shared" si="2"/>
        <v>400</v>
      </c>
    </row>
    <row r="130" spans="1:4">
      <c r="A130" t="s">
        <v>5</v>
      </c>
      <c r="B130">
        <v>250</v>
      </c>
      <c r="C130" t="str" cm="1">
        <f t="array" ref="C130">IF(
  AND(ISNUMBER(SEARCH("加工品",SUBSTITUTE(A130,"　"," "))), ISNUMBER(SEARCH("ベビーリーフ",SUBSTITUTE(A130,"　"," ")))),
  "ベビーリーフ（加工品）",
  IFERROR(
    INDEX($I$2:$I$10, MATCH(TRUE, ISNUMBER(SEARCH($H$2:$H$10, SUBSTITUTE(A130,"　"," "))), 0)),
    TRIM(SUBSTITUTE(A130,"　"," "))
  )
)</f>
        <v>グリーンオーク</v>
      </c>
      <c r="D130">
        <f t="shared" si="2"/>
        <v>250</v>
      </c>
    </row>
    <row r="131" spans="1:4">
      <c r="A131" t="s">
        <v>3</v>
      </c>
      <c r="B131">
        <v>300</v>
      </c>
      <c r="C131" t="str" cm="1">
        <f t="array" ref="C131">IF(
  AND(ISNUMBER(SEARCH("加工品",SUBSTITUTE(A131,"　"," "))), ISNUMBER(SEARCH("ベビーリーフ",SUBSTITUTE(A131,"　"," ")))),
  "ベビーリーフ（加工品）",
  IFERROR(
    INDEX($I$2:$I$10, MATCH(TRUE, ISNUMBER(SEARCH($H$2:$H$10, SUBSTITUTE(A131,"　"," "))), 0)),
    TRIM(SUBSTITUTE(A131,"　"," "))
  )
)</f>
        <v>ベビーリーフ（加工品）</v>
      </c>
      <c r="D131">
        <f t="shared" ref="D131:D194" si="3">--SUBSTITUTE(B131,",","")</f>
        <v>300</v>
      </c>
    </row>
    <row r="132" spans="1:4">
      <c r="A132" t="s">
        <v>4</v>
      </c>
      <c r="B132">
        <v>160</v>
      </c>
      <c r="C132" t="str" cm="1">
        <f t="array" ref="C132">IF(
  AND(ISNUMBER(SEARCH("加工品",SUBSTITUTE(A132,"　"," "))), ISNUMBER(SEARCH("ベビーリーフ",SUBSTITUTE(A132,"　"," ")))),
  "ベビーリーフ（加工品）",
  IFERROR(
    INDEX($I$2:$I$10, MATCH(TRUE, ISNUMBER(SEARCH($H$2:$H$10, SUBSTITUTE(A132,"　"," "))), 0)),
    TRIM(SUBSTITUTE(A132,"　"," "))
  )
)</f>
        <v>ピノグリーン</v>
      </c>
      <c r="D132">
        <f t="shared" si="3"/>
        <v>160</v>
      </c>
    </row>
    <row r="133" spans="1:4">
      <c r="A133" t="s">
        <v>2</v>
      </c>
      <c r="B133">
        <v>170</v>
      </c>
      <c r="C133" t="str" cm="1">
        <f t="array" ref="C133">IF(
  AND(ISNUMBER(SEARCH("加工品",SUBSTITUTE(A133,"　"," "))), ISNUMBER(SEARCH("ベビーリーフ",SUBSTITUTE(A133,"　"," ")))),
  "ベビーリーフ（加工品）",
  IFERROR(
    INDEX($I$2:$I$10, MATCH(TRUE, ISNUMBER(SEARCH($H$2:$H$10, SUBSTITUTE(A133,"　"," "))), 0)),
    TRIM(SUBSTITUTE(A133,"　"," "))
  )
)</f>
        <v>グリーンオーク</v>
      </c>
      <c r="D133">
        <f t="shared" si="3"/>
        <v>170</v>
      </c>
    </row>
    <row r="134" spans="1:4">
      <c r="A134" t="s">
        <v>2</v>
      </c>
      <c r="B134">
        <v>300</v>
      </c>
      <c r="C134" t="str" cm="1">
        <f t="array" ref="C134">IF(
  AND(ISNUMBER(SEARCH("加工品",SUBSTITUTE(A134,"　"," "))), ISNUMBER(SEARCH("ベビーリーフ",SUBSTITUTE(A134,"　"," ")))),
  "ベビーリーフ（加工品）",
  IFERROR(
    INDEX($I$2:$I$10, MATCH(TRUE, ISNUMBER(SEARCH($H$2:$H$10, SUBSTITUTE(A134,"　"," "))), 0)),
    TRIM(SUBSTITUTE(A134,"　"," "))
  )
)</f>
        <v>グリーンオーク</v>
      </c>
      <c r="D134">
        <f t="shared" si="3"/>
        <v>300</v>
      </c>
    </row>
    <row r="135" spans="1:4">
      <c r="A135" t="s">
        <v>3</v>
      </c>
      <c r="B135">
        <v>460</v>
      </c>
      <c r="C135" t="str" cm="1">
        <f t="array" ref="C135">IF(
  AND(ISNUMBER(SEARCH("加工品",SUBSTITUTE(A135,"　"," "))), ISNUMBER(SEARCH("ベビーリーフ",SUBSTITUTE(A135,"　"," ")))),
  "ベビーリーフ（加工品）",
  IFERROR(
    INDEX($I$2:$I$10, MATCH(TRUE, ISNUMBER(SEARCH($H$2:$H$10, SUBSTITUTE(A135,"　"," "))), 0)),
    TRIM(SUBSTITUTE(A135,"　"," "))
  )
)</f>
        <v>ベビーリーフ（加工品）</v>
      </c>
      <c r="D135">
        <f t="shared" si="3"/>
        <v>460</v>
      </c>
    </row>
    <row r="136" spans="1:4">
      <c r="A136" t="s">
        <v>4</v>
      </c>
      <c r="B136">
        <v>280</v>
      </c>
      <c r="C136" t="str" cm="1">
        <f t="array" ref="C136">IF(
  AND(ISNUMBER(SEARCH("加工品",SUBSTITUTE(A136,"　"," "))), ISNUMBER(SEARCH("ベビーリーフ",SUBSTITUTE(A136,"　"," ")))),
  "ベビーリーフ（加工品）",
  IFERROR(
    INDEX($I$2:$I$10, MATCH(TRUE, ISNUMBER(SEARCH($H$2:$H$10, SUBSTITUTE(A136,"　"," "))), 0)),
    TRIM(SUBSTITUTE(A136,"　"," "))
  )
)</f>
        <v>ピノグリーン</v>
      </c>
      <c r="D136">
        <f t="shared" si="3"/>
        <v>280</v>
      </c>
    </row>
    <row r="137" spans="1:4">
      <c r="A137" t="s">
        <v>3</v>
      </c>
      <c r="B137">
        <v>340</v>
      </c>
      <c r="C137" t="str" cm="1">
        <f t="array" ref="C137">IF(
  AND(ISNUMBER(SEARCH("加工品",SUBSTITUTE(A137,"　"," "))), ISNUMBER(SEARCH("ベビーリーフ",SUBSTITUTE(A137,"　"," ")))),
  "ベビーリーフ（加工品）",
  IFERROR(
    INDEX($I$2:$I$10, MATCH(TRUE, ISNUMBER(SEARCH($H$2:$H$10, SUBSTITUTE(A137,"　"," "))), 0)),
    TRIM(SUBSTITUTE(A137,"　"," "))
  )
)</f>
        <v>ベビーリーフ（加工品）</v>
      </c>
      <c r="D137">
        <f t="shared" si="3"/>
        <v>340</v>
      </c>
    </row>
    <row r="138" spans="1:4">
      <c r="A138" t="s">
        <v>4</v>
      </c>
      <c r="B138">
        <v>120</v>
      </c>
      <c r="C138" t="str" cm="1">
        <f t="array" ref="C138">IF(
  AND(ISNUMBER(SEARCH("加工品",SUBSTITUTE(A138,"　"," "))), ISNUMBER(SEARCH("ベビーリーフ",SUBSTITUTE(A138,"　"," ")))),
  "ベビーリーフ（加工品）",
  IFERROR(
    INDEX($I$2:$I$10, MATCH(TRUE, ISNUMBER(SEARCH($H$2:$H$10, SUBSTITUTE(A138,"　"," "))), 0)),
    TRIM(SUBSTITUTE(A138,"　"," "))
  )
)</f>
        <v>ピノグリーン</v>
      </c>
      <c r="D138">
        <f t="shared" si="3"/>
        <v>120</v>
      </c>
    </row>
    <row r="139" spans="1:4">
      <c r="A139" t="s">
        <v>2</v>
      </c>
      <c r="B139">
        <v>500</v>
      </c>
      <c r="C139" t="str" cm="1">
        <f t="array" ref="C139">IF(
  AND(ISNUMBER(SEARCH("加工品",SUBSTITUTE(A139,"　"," "))), ISNUMBER(SEARCH("ベビーリーフ",SUBSTITUTE(A139,"　"," ")))),
  "ベビーリーフ（加工品）",
  IFERROR(
    INDEX($I$2:$I$10, MATCH(TRUE, ISNUMBER(SEARCH($H$2:$H$10, SUBSTITUTE(A139,"　"," "))), 0)),
    TRIM(SUBSTITUTE(A139,"　"," "))
  )
)</f>
        <v>グリーンオーク</v>
      </c>
      <c r="D139">
        <f t="shared" si="3"/>
        <v>500</v>
      </c>
    </row>
    <row r="140" spans="1:4">
      <c r="A140" t="s">
        <v>6</v>
      </c>
      <c r="B140">
        <v>480</v>
      </c>
      <c r="C140" t="str" cm="1">
        <f t="array" ref="C140">IF(
  AND(ISNUMBER(SEARCH("加工品",SUBSTITUTE(A140,"　"," "))), ISNUMBER(SEARCH("ベビーリーフ",SUBSTITUTE(A140,"　"," ")))),
  "ベビーリーフ（加工品）",
  IFERROR(
    INDEX($I$2:$I$10, MATCH(TRUE, ISNUMBER(SEARCH($H$2:$H$10, SUBSTITUTE(A140,"　"," "))), 0)),
    TRIM(SUBSTITUTE(A140,"　"," "))
  )
)</f>
        <v>ロロロッサ</v>
      </c>
      <c r="D140">
        <f t="shared" si="3"/>
        <v>480</v>
      </c>
    </row>
    <row r="141" spans="1:4">
      <c r="A141" t="s">
        <v>3</v>
      </c>
      <c r="B141">
        <v>700</v>
      </c>
      <c r="C141" t="str" cm="1">
        <f t="array" ref="C141">IF(
  AND(ISNUMBER(SEARCH("加工品",SUBSTITUTE(A141,"　"," "))), ISNUMBER(SEARCH("ベビーリーフ",SUBSTITUTE(A141,"　"," ")))),
  "ベビーリーフ（加工品）",
  IFERROR(
    INDEX($I$2:$I$10, MATCH(TRUE, ISNUMBER(SEARCH($H$2:$H$10, SUBSTITUTE(A141,"　"," "))), 0)),
    TRIM(SUBSTITUTE(A141,"　"," "))
  )
)</f>
        <v>ベビーリーフ（加工品）</v>
      </c>
      <c r="D141">
        <f t="shared" si="3"/>
        <v>700</v>
      </c>
    </row>
    <row r="142" spans="1:4">
      <c r="A142" t="s">
        <v>4</v>
      </c>
      <c r="B142">
        <v>180</v>
      </c>
      <c r="C142" t="str" cm="1">
        <f t="array" ref="C142">IF(
  AND(ISNUMBER(SEARCH("加工品",SUBSTITUTE(A142,"　"," "))), ISNUMBER(SEARCH("ベビーリーフ",SUBSTITUTE(A142,"　"," ")))),
  "ベビーリーフ（加工品）",
  IFERROR(
    INDEX($I$2:$I$10, MATCH(TRUE, ISNUMBER(SEARCH($H$2:$H$10, SUBSTITUTE(A142,"　"," "))), 0)),
    TRIM(SUBSTITUTE(A142,"　"," "))
  )
)</f>
        <v>ピノグリーン</v>
      </c>
      <c r="D142">
        <f t="shared" si="3"/>
        <v>180</v>
      </c>
    </row>
    <row r="143" spans="1:4">
      <c r="A143" t="s">
        <v>6</v>
      </c>
      <c r="B143">
        <v>480</v>
      </c>
      <c r="C143" t="str" cm="1">
        <f t="array" ref="C143">IF(
  AND(ISNUMBER(SEARCH("加工品",SUBSTITUTE(A143,"　"," "))), ISNUMBER(SEARCH("ベビーリーフ",SUBSTITUTE(A143,"　"," ")))),
  "ベビーリーフ（加工品）",
  IFERROR(
    INDEX($I$2:$I$10, MATCH(TRUE, ISNUMBER(SEARCH($H$2:$H$10, SUBSTITUTE(A143,"　"," "))), 0)),
    TRIM(SUBSTITUTE(A143,"　"," "))
  )
)</f>
        <v>ロロロッサ</v>
      </c>
      <c r="D143">
        <f t="shared" si="3"/>
        <v>480</v>
      </c>
    </row>
    <row r="144" spans="1:4">
      <c r="A144" t="s">
        <v>3</v>
      </c>
      <c r="B144">
        <v>700</v>
      </c>
      <c r="C144" t="str" cm="1">
        <f t="array" ref="C144">IF(
  AND(ISNUMBER(SEARCH("加工品",SUBSTITUTE(A144,"　"," "))), ISNUMBER(SEARCH("ベビーリーフ",SUBSTITUTE(A144,"　"," ")))),
  "ベビーリーフ（加工品）",
  IFERROR(
    INDEX($I$2:$I$10, MATCH(TRUE, ISNUMBER(SEARCH($H$2:$H$10, SUBSTITUTE(A144,"　"," "))), 0)),
    TRIM(SUBSTITUTE(A144,"　"," "))
  )
)</f>
        <v>ベビーリーフ（加工品）</v>
      </c>
      <c r="D144">
        <f t="shared" si="3"/>
        <v>700</v>
      </c>
    </row>
    <row r="145" spans="1:4">
      <c r="A145" t="s">
        <v>4</v>
      </c>
      <c r="B145">
        <v>180</v>
      </c>
      <c r="C145" t="str" cm="1">
        <f t="array" ref="C145">IF(
  AND(ISNUMBER(SEARCH("加工品",SUBSTITUTE(A145,"　"," "))), ISNUMBER(SEARCH("ベビーリーフ",SUBSTITUTE(A145,"　"," ")))),
  "ベビーリーフ（加工品）",
  IFERROR(
    INDEX($I$2:$I$10, MATCH(TRUE, ISNUMBER(SEARCH($H$2:$H$10, SUBSTITUTE(A145,"　"," "))), 0)),
    TRIM(SUBSTITUTE(A145,"　"," "))
  )
)</f>
        <v>ピノグリーン</v>
      </c>
      <c r="D145">
        <f t="shared" si="3"/>
        <v>180</v>
      </c>
    </row>
    <row r="146" spans="1:4">
      <c r="A146" t="s">
        <v>3</v>
      </c>
      <c r="B146">
        <v>300</v>
      </c>
      <c r="C146" t="str" cm="1">
        <f t="array" ref="C146">IF(
  AND(ISNUMBER(SEARCH("加工品",SUBSTITUTE(A146,"　"," "))), ISNUMBER(SEARCH("ベビーリーフ",SUBSTITUTE(A146,"　"," ")))),
  "ベビーリーフ（加工品）",
  IFERROR(
    INDEX($I$2:$I$10, MATCH(TRUE, ISNUMBER(SEARCH($H$2:$H$10, SUBSTITUTE(A146,"　"," "))), 0)),
    TRIM(SUBSTITUTE(A146,"　"," "))
  )
)</f>
        <v>ベビーリーフ（加工品）</v>
      </c>
      <c r="D146">
        <f t="shared" si="3"/>
        <v>300</v>
      </c>
    </row>
    <row r="147" spans="1:4">
      <c r="A147" t="s">
        <v>4</v>
      </c>
      <c r="B147">
        <v>280</v>
      </c>
      <c r="C147" t="str" cm="1">
        <f t="array" ref="C147">IF(
  AND(ISNUMBER(SEARCH("加工品",SUBSTITUTE(A147,"　"," "))), ISNUMBER(SEARCH("ベビーリーフ",SUBSTITUTE(A147,"　"," ")))),
  "ベビーリーフ（加工品）",
  IFERROR(
    INDEX($I$2:$I$10, MATCH(TRUE, ISNUMBER(SEARCH($H$2:$H$10, SUBSTITUTE(A147,"　"," "))), 0)),
    TRIM(SUBSTITUTE(A147,"　"," "))
  )
)</f>
        <v>ピノグリーン</v>
      </c>
      <c r="D147">
        <f t="shared" si="3"/>
        <v>280</v>
      </c>
    </row>
    <row r="148" spans="1:4">
      <c r="A148" t="s">
        <v>2</v>
      </c>
      <c r="B148">
        <v>200</v>
      </c>
      <c r="C148" t="str" cm="1">
        <f t="array" ref="C148">IF(
  AND(ISNUMBER(SEARCH("加工品",SUBSTITUTE(A148,"　"," "))), ISNUMBER(SEARCH("ベビーリーフ",SUBSTITUTE(A148,"　"," ")))),
  "ベビーリーフ（加工品）",
  IFERROR(
    INDEX($I$2:$I$10, MATCH(TRUE, ISNUMBER(SEARCH($H$2:$H$10, SUBSTITUTE(A148,"　"," "))), 0)),
    TRIM(SUBSTITUTE(A148,"　"," "))
  )
)</f>
        <v>グリーンオーク</v>
      </c>
      <c r="D148">
        <f t="shared" si="3"/>
        <v>200</v>
      </c>
    </row>
    <row r="149" spans="1:4">
      <c r="A149" t="s">
        <v>3</v>
      </c>
      <c r="B149">
        <v>240</v>
      </c>
      <c r="C149" t="str" cm="1">
        <f t="array" ref="C149">IF(
  AND(ISNUMBER(SEARCH("加工品",SUBSTITUTE(A149,"　"," "))), ISNUMBER(SEARCH("ベビーリーフ",SUBSTITUTE(A149,"　"," ")))),
  "ベビーリーフ（加工品）",
  IFERROR(
    INDEX($I$2:$I$10, MATCH(TRUE, ISNUMBER(SEARCH($H$2:$H$10, SUBSTITUTE(A149,"　"," "))), 0)),
    TRIM(SUBSTITUTE(A149,"　"," "))
  )
)</f>
        <v>ベビーリーフ（加工品）</v>
      </c>
      <c r="D149">
        <f t="shared" si="3"/>
        <v>240</v>
      </c>
    </row>
    <row r="150" spans="1:4">
      <c r="A150" t="s">
        <v>2</v>
      </c>
      <c r="B150">
        <v>220</v>
      </c>
      <c r="C150" t="str" cm="1">
        <f t="array" ref="C150">IF(
  AND(ISNUMBER(SEARCH("加工品",SUBSTITUTE(A150,"　"," "))), ISNUMBER(SEARCH("ベビーリーフ",SUBSTITUTE(A150,"　"," ")))),
  "ベビーリーフ（加工品）",
  IFERROR(
    INDEX($I$2:$I$10, MATCH(TRUE, ISNUMBER(SEARCH($H$2:$H$10, SUBSTITUTE(A150,"　"," "))), 0)),
    TRIM(SUBSTITUTE(A150,"　"," "))
  )
)</f>
        <v>グリーンオーク</v>
      </c>
      <c r="D150">
        <f t="shared" si="3"/>
        <v>220</v>
      </c>
    </row>
    <row r="151" spans="1:4">
      <c r="A151" t="s">
        <v>4</v>
      </c>
      <c r="B151">
        <v>160</v>
      </c>
      <c r="C151" t="str" cm="1">
        <f t="array" ref="C151">IF(
  AND(ISNUMBER(SEARCH("加工品",SUBSTITUTE(A151,"　"," "))), ISNUMBER(SEARCH("ベビーリーフ",SUBSTITUTE(A151,"　"," ")))),
  "ベビーリーフ（加工品）",
  IFERROR(
    INDEX($I$2:$I$10, MATCH(TRUE, ISNUMBER(SEARCH($H$2:$H$10, SUBSTITUTE(A151,"　"," "))), 0)),
    TRIM(SUBSTITUTE(A151,"　"," "))
  )
)</f>
        <v>ピノグリーン</v>
      </c>
      <c r="D151">
        <f t="shared" si="3"/>
        <v>160</v>
      </c>
    </row>
    <row r="152" spans="1:4">
      <c r="A152" t="s">
        <v>3</v>
      </c>
      <c r="B152">
        <v>260</v>
      </c>
      <c r="C152" t="str" cm="1">
        <f t="array" ref="C152">IF(
  AND(ISNUMBER(SEARCH("加工品",SUBSTITUTE(A152,"　"," "))), ISNUMBER(SEARCH("ベビーリーフ",SUBSTITUTE(A152,"　"," ")))),
  "ベビーリーフ（加工品）",
  IFERROR(
    INDEX($I$2:$I$10, MATCH(TRUE, ISNUMBER(SEARCH($H$2:$H$10, SUBSTITUTE(A152,"　"," "))), 0)),
    TRIM(SUBSTITUTE(A152,"　"," "))
  )
)</f>
        <v>ベビーリーフ（加工品）</v>
      </c>
      <c r="D152">
        <f t="shared" si="3"/>
        <v>260</v>
      </c>
    </row>
    <row r="153" spans="1:4">
      <c r="A153" t="s">
        <v>2</v>
      </c>
      <c r="B153">
        <v>100</v>
      </c>
      <c r="C153" t="str" cm="1">
        <f t="array" ref="C153">IF(
  AND(ISNUMBER(SEARCH("加工品",SUBSTITUTE(A153,"　"," "))), ISNUMBER(SEARCH("ベビーリーフ",SUBSTITUTE(A153,"　"," ")))),
  "ベビーリーフ（加工品）",
  IFERROR(
    INDEX($I$2:$I$10, MATCH(TRUE, ISNUMBER(SEARCH($H$2:$H$10, SUBSTITUTE(A153,"　"," "))), 0)),
    TRIM(SUBSTITUTE(A153,"　"," "))
  )
)</f>
        <v>グリーンオーク</v>
      </c>
      <c r="D153">
        <f t="shared" si="3"/>
        <v>100</v>
      </c>
    </row>
    <row r="154" spans="1:4">
      <c r="A154" t="s">
        <v>4</v>
      </c>
      <c r="B154">
        <v>200</v>
      </c>
      <c r="C154" t="str" cm="1">
        <f t="array" ref="C154">IF(
  AND(ISNUMBER(SEARCH("加工品",SUBSTITUTE(A154,"　"," "))), ISNUMBER(SEARCH("ベビーリーフ",SUBSTITUTE(A154,"　"," ")))),
  "ベビーリーフ（加工品）",
  IFERROR(
    INDEX($I$2:$I$10, MATCH(TRUE, ISNUMBER(SEARCH($H$2:$H$10, SUBSTITUTE(A154,"　"," "))), 0)),
    TRIM(SUBSTITUTE(A154,"　"," "))
  )
)</f>
        <v>ピノグリーン</v>
      </c>
      <c r="D154">
        <f t="shared" si="3"/>
        <v>200</v>
      </c>
    </row>
    <row r="155" spans="1:4">
      <c r="A155" t="s">
        <v>3</v>
      </c>
      <c r="B155">
        <v>220</v>
      </c>
      <c r="C155" t="str" cm="1">
        <f t="array" ref="C155">IF(
  AND(ISNUMBER(SEARCH("加工品",SUBSTITUTE(A155,"　"," "))), ISNUMBER(SEARCH("ベビーリーフ",SUBSTITUTE(A155,"　"," ")))),
  "ベビーリーフ（加工品）",
  IFERROR(
    INDEX($I$2:$I$10, MATCH(TRUE, ISNUMBER(SEARCH($H$2:$H$10, SUBSTITUTE(A155,"　"," "))), 0)),
    TRIM(SUBSTITUTE(A155,"　"," "))
  )
)</f>
        <v>ベビーリーフ（加工品）</v>
      </c>
      <c r="D155">
        <f t="shared" si="3"/>
        <v>220</v>
      </c>
    </row>
    <row r="156" spans="1:4">
      <c r="A156" t="s">
        <v>2</v>
      </c>
      <c r="B156">
        <v>180</v>
      </c>
      <c r="C156" t="str" cm="1">
        <f t="array" ref="C156">IF(
  AND(ISNUMBER(SEARCH("加工品",SUBSTITUTE(A156,"　"," "))), ISNUMBER(SEARCH("ベビーリーフ",SUBSTITUTE(A156,"　"," ")))),
  "ベビーリーフ（加工品）",
  IFERROR(
    INDEX($I$2:$I$10, MATCH(TRUE, ISNUMBER(SEARCH($H$2:$H$10, SUBSTITUTE(A156,"　"," "))), 0)),
    TRIM(SUBSTITUTE(A156,"　"," "))
  )
)</f>
        <v>グリーンオーク</v>
      </c>
      <c r="D156">
        <f t="shared" si="3"/>
        <v>180</v>
      </c>
    </row>
    <row r="157" spans="1:4">
      <c r="A157" t="s">
        <v>3</v>
      </c>
      <c r="B157">
        <v>200</v>
      </c>
      <c r="C157" t="str" cm="1">
        <f t="array" ref="C157">IF(
  AND(ISNUMBER(SEARCH("加工品",SUBSTITUTE(A157,"　"," "))), ISNUMBER(SEARCH("ベビーリーフ",SUBSTITUTE(A157,"　"," ")))),
  "ベビーリーフ（加工品）",
  IFERROR(
    INDEX($I$2:$I$10, MATCH(TRUE, ISNUMBER(SEARCH($H$2:$H$10, SUBSTITUTE(A157,"　"," "))), 0)),
    TRIM(SUBSTITUTE(A157,"　"," "))
  )
)</f>
        <v>ベビーリーフ（加工品）</v>
      </c>
      <c r="D157">
        <f t="shared" si="3"/>
        <v>200</v>
      </c>
    </row>
    <row r="158" spans="1:4">
      <c r="A158" t="s">
        <v>2</v>
      </c>
      <c r="B158">
        <v>600</v>
      </c>
      <c r="C158" t="str" cm="1">
        <f t="array" ref="C158">IF(
  AND(ISNUMBER(SEARCH("加工品",SUBSTITUTE(A158,"　"," "))), ISNUMBER(SEARCH("ベビーリーフ",SUBSTITUTE(A158,"　"," ")))),
  "ベビーリーフ（加工品）",
  IFERROR(
    INDEX($I$2:$I$10, MATCH(TRUE, ISNUMBER(SEARCH($H$2:$H$10, SUBSTITUTE(A158,"　"," "))), 0)),
    TRIM(SUBSTITUTE(A158,"　"," "))
  )
)</f>
        <v>グリーンオーク</v>
      </c>
      <c r="D158">
        <f t="shared" si="3"/>
        <v>600</v>
      </c>
    </row>
    <row r="159" spans="1:4">
      <c r="A159" t="s">
        <v>3</v>
      </c>
      <c r="B159">
        <v>300</v>
      </c>
      <c r="C159" t="str" cm="1">
        <f t="array" ref="C159">IF(
  AND(ISNUMBER(SEARCH("加工品",SUBSTITUTE(A159,"　"," "))), ISNUMBER(SEARCH("ベビーリーフ",SUBSTITUTE(A159,"　"," ")))),
  "ベビーリーフ（加工品）",
  IFERROR(
    INDEX($I$2:$I$10, MATCH(TRUE, ISNUMBER(SEARCH($H$2:$H$10, SUBSTITUTE(A159,"　"," "))), 0)),
    TRIM(SUBSTITUTE(A159,"　"," "))
  )
)</f>
        <v>ベビーリーフ（加工品）</v>
      </c>
      <c r="D159">
        <f t="shared" si="3"/>
        <v>300</v>
      </c>
    </row>
    <row r="160" spans="1:4">
      <c r="A160" t="s">
        <v>4</v>
      </c>
      <c r="B160">
        <v>300</v>
      </c>
      <c r="C160" t="str" cm="1">
        <f t="array" ref="C160">IF(
  AND(ISNUMBER(SEARCH("加工品",SUBSTITUTE(A160,"　"," "))), ISNUMBER(SEARCH("ベビーリーフ",SUBSTITUTE(A160,"　"," ")))),
  "ベビーリーフ（加工品）",
  IFERROR(
    INDEX($I$2:$I$10, MATCH(TRUE, ISNUMBER(SEARCH($H$2:$H$10, SUBSTITUTE(A160,"　"," "))), 0)),
    TRIM(SUBSTITUTE(A160,"　"," "))
  )
)</f>
        <v>ピノグリーン</v>
      </c>
      <c r="D160">
        <f t="shared" si="3"/>
        <v>300</v>
      </c>
    </row>
    <row r="161" spans="1:4">
      <c r="A161" t="s">
        <v>3</v>
      </c>
      <c r="B161">
        <v>720</v>
      </c>
      <c r="C161" t="str" cm="1">
        <f t="array" ref="C161">IF(
  AND(ISNUMBER(SEARCH("加工品",SUBSTITUTE(A161,"　"," "))), ISNUMBER(SEARCH("ベビーリーフ",SUBSTITUTE(A161,"　"," ")))),
  "ベビーリーフ（加工品）",
  IFERROR(
    INDEX($I$2:$I$10, MATCH(TRUE, ISNUMBER(SEARCH($H$2:$H$10, SUBSTITUTE(A161,"　"," "))), 0)),
    TRIM(SUBSTITUTE(A161,"　"," "))
  )
)</f>
        <v>ベビーリーフ（加工品）</v>
      </c>
      <c r="D161">
        <f t="shared" si="3"/>
        <v>720</v>
      </c>
    </row>
    <row r="162" spans="1:4">
      <c r="A162" t="s">
        <v>2</v>
      </c>
      <c r="B162">
        <v>700</v>
      </c>
      <c r="C162" t="str" cm="1">
        <f t="array" ref="C162">IF(
  AND(ISNUMBER(SEARCH("加工品",SUBSTITUTE(A162,"　"," "))), ISNUMBER(SEARCH("ベビーリーフ",SUBSTITUTE(A162,"　"," ")))),
  "ベビーリーフ（加工品）",
  IFERROR(
    INDEX($I$2:$I$10, MATCH(TRUE, ISNUMBER(SEARCH($H$2:$H$10, SUBSTITUTE(A162,"　"," "))), 0)),
    TRIM(SUBSTITUTE(A162,"　"," "))
  )
)</f>
        <v>グリーンオーク</v>
      </c>
      <c r="D162">
        <f t="shared" si="3"/>
        <v>700</v>
      </c>
    </row>
    <row r="163" spans="1:4">
      <c r="A163" t="s">
        <v>4</v>
      </c>
      <c r="B163">
        <v>440</v>
      </c>
      <c r="C163" t="str" cm="1">
        <f t="array" ref="C163">IF(
  AND(ISNUMBER(SEARCH("加工品",SUBSTITUTE(A163,"　"," "))), ISNUMBER(SEARCH("ベビーリーフ",SUBSTITUTE(A163,"　"," ")))),
  "ベビーリーフ（加工品）",
  IFERROR(
    INDEX($I$2:$I$10, MATCH(TRUE, ISNUMBER(SEARCH($H$2:$H$10, SUBSTITUTE(A163,"　"," "))), 0)),
    TRIM(SUBSTITUTE(A163,"　"," "))
  )
)</f>
        <v>ピノグリーン</v>
      </c>
      <c r="D163">
        <f t="shared" si="3"/>
        <v>440</v>
      </c>
    </row>
    <row r="164" spans="1:4">
      <c r="A164" t="s">
        <v>2</v>
      </c>
      <c r="B164">
        <v>450</v>
      </c>
      <c r="C164" t="str" cm="1">
        <f t="array" ref="C164">IF(
  AND(ISNUMBER(SEARCH("加工品",SUBSTITUTE(A164,"　"," "))), ISNUMBER(SEARCH("ベビーリーフ",SUBSTITUTE(A164,"　"," ")))),
  "ベビーリーフ（加工品）",
  IFERROR(
    INDEX($I$2:$I$10, MATCH(TRUE, ISNUMBER(SEARCH($H$2:$H$10, SUBSTITUTE(A164,"　"," "))), 0)),
    TRIM(SUBSTITUTE(A164,"　"," "))
  )
)</f>
        <v>グリーンオーク</v>
      </c>
      <c r="D164">
        <f t="shared" si="3"/>
        <v>450</v>
      </c>
    </row>
    <row r="165" spans="1:4">
      <c r="A165" t="s">
        <v>3</v>
      </c>
      <c r="B165">
        <v>340</v>
      </c>
      <c r="C165" t="str" cm="1">
        <f t="array" ref="C165">IF(
  AND(ISNUMBER(SEARCH("加工品",SUBSTITUTE(A165,"　"," "))), ISNUMBER(SEARCH("ベビーリーフ",SUBSTITUTE(A165,"　"," ")))),
  "ベビーリーフ（加工品）",
  IFERROR(
    INDEX($I$2:$I$10, MATCH(TRUE, ISNUMBER(SEARCH($H$2:$H$10, SUBSTITUTE(A165,"　"," "))), 0)),
    TRIM(SUBSTITUTE(A165,"　"," "))
  )
)</f>
        <v>ベビーリーフ（加工品）</v>
      </c>
      <c r="D165">
        <f t="shared" si="3"/>
        <v>340</v>
      </c>
    </row>
    <row r="166" spans="1:4">
      <c r="A166" t="s">
        <v>4</v>
      </c>
      <c r="B166">
        <v>220</v>
      </c>
      <c r="C166" t="str" cm="1">
        <f t="array" ref="C166">IF(
  AND(ISNUMBER(SEARCH("加工品",SUBSTITUTE(A166,"　"," "))), ISNUMBER(SEARCH("ベビーリーフ",SUBSTITUTE(A166,"　"," ")))),
  "ベビーリーフ（加工品）",
  IFERROR(
    INDEX($I$2:$I$10, MATCH(TRUE, ISNUMBER(SEARCH($H$2:$H$10, SUBSTITUTE(A166,"　"," "))), 0)),
    TRIM(SUBSTITUTE(A166,"　"," "))
  )
)</f>
        <v>ピノグリーン</v>
      </c>
      <c r="D166">
        <f t="shared" si="3"/>
        <v>220</v>
      </c>
    </row>
    <row r="167" spans="1:4">
      <c r="A167" t="s">
        <v>3</v>
      </c>
      <c r="B167">
        <v>340</v>
      </c>
      <c r="C167" t="str" cm="1">
        <f t="array" ref="C167">IF(
  AND(ISNUMBER(SEARCH("加工品",SUBSTITUTE(A167,"　"," "))), ISNUMBER(SEARCH("ベビーリーフ",SUBSTITUTE(A167,"　"," ")))),
  "ベビーリーフ（加工品）",
  IFERROR(
    INDEX($I$2:$I$10, MATCH(TRUE, ISNUMBER(SEARCH($H$2:$H$10, SUBSTITUTE(A167,"　"," "))), 0)),
    TRIM(SUBSTITUTE(A167,"　"," "))
  )
)</f>
        <v>ベビーリーフ（加工品）</v>
      </c>
      <c r="D167">
        <f t="shared" si="3"/>
        <v>340</v>
      </c>
    </row>
    <row r="168" spans="1:4">
      <c r="A168" t="s">
        <v>4</v>
      </c>
      <c r="B168">
        <v>160</v>
      </c>
      <c r="C168" t="str" cm="1">
        <f t="array" ref="C168">IF(
  AND(ISNUMBER(SEARCH("加工品",SUBSTITUTE(A168,"　"," "))), ISNUMBER(SEARCH("ベビーリーフ",SUBSTITUTE(A168,"　"," ")))),
  "ベビーリーフ（加工品）",
  IFERROR(
    INDEX($I$2:$I$10, MATCH(TRUE, ISNUMBER(SEARCH($H$2:$H$10, SUBSTITUTE(A168,"　"," "))), 0)),
    TRIM(SUBSTITUTE(A168,"　"," "))
  )
)</f>
        <v>ピノグリーン</v>
      </c>
      <c r="D168">
        <f t="shared" si="3"/>
        <v>160</v>
      </c>
    </row>
    <row r="169" spans="1:4">
      <c r="A169" t="s">
        <v>2</v>
      </c>
      <c r="B169" s="1">
        <v>1030</v>
      </c>
      <c r="C169" t="str" cm="1">
        <f t="array" ref="C169">IF(
  AND(ISNUMBER(SEARCH("加工品",SUBSTITUTE(A169,"　"," "))), ISNUMBER(SEARCH("ベビーリーフ",SUBSTITUTE(A169,"　"," ")))),
  "ベビーリーフ（加工品）",
  IFERROR(
    INDEX($I$2:$I$10, MATCH(TRUE, ISNUMBER(SEARCH($H$2:$H$10, SUBSTITUTE(A169,"　"," "))), 0)),
    TRIM(SUBSTITUTE(A169,"　"," "))
  )
)</f>
        <v>グリーンオーク</v>
      </c>
      <c r="D169">
        <f t="shared" si="3"/>
        <v>1030</v>
      </c>
    </row>
    <row r="170" spans="1:4">
      <c r="A170" t="s">
        <v>3</v>
      </c>
      <c r="B170">
        <v>200</v>
      </c>
      <c r="C170" t="str" cm="1">
        <f t="array" ref="C170">IF(
  AND(ISNUMBER(SEARCH("加工品",SUBSTITUTE(A170,"　"," "))), ISNUMBER(SEARCH("ベビーリーフ",SUBSTITUTE(A170,"　"," ")))),
  "ベビーリーフ（加工品）",
  IFERROR(
    INDEX($I$2:$I$10, MATCH(TRUE, ISNUMBER(SEARCH($H$2:$H$10, SUBSTITUTE(A170,"　"," "))), 0)),
    TRIM(SUBSTITUTE(A170,"　"," "))
  )
)</f>
        <v>ベビーリーフ（加工品）</v>
      </c>
      <c r="D170">
        <f t="shared" si="3"/>
        <v>200</v>
      </c>
    </row>
    <row r="171" spans="1:4">
      <c r="A171" t="s">
        <v>7</v>
      </c>
      <c r="B171">
        <v>250</v>
      </c>
      <c r="C171" t="str" cm="1">
        <f t="array" ref="C171">IF(
  AND(ISNUMBER(SEARCH("加工品",SUBSTITUTE(A171,"　"," "))), ISNUMBER(SEARCH("ベビーリーフ",SUBSTITUTE(A171,"　"," ")))),
  "ベビーリーフ（加工品）",
  IFERROR(
    INDEX($I$2:$I$10, MATCH(TRUE, ISNUMBER(SEARCH($H$2:$H$10, SUBSTITUTE(A171,"　"," "))), 0)),
    TRIM(SUBSTITUTE(A171,"　"," "))
  )
)</f>
        <v>レッドオーク</v>
      </c>
      <c r="D171">
        <f t="shared" si="3"/>
        <v>250</v>
      </c>
    </row>
    <row r="172" spans="1:4">
      <c r="A172" t="s">
        <v>3</v>
      </c>
      <c r="B172">
        <v>200</v>
      </c>
      <c r="C172" t="str" cm="1">
        <f t="array" ref="C172">IF(
  AND(ISNUMBER(SEARCH("加工品",SUBSTITUTE(A172,"　"," "))), ISNUMBER(SEARCH("ベビーリーフ",SUBSTITUTE(A172,"　"," ")))),
  "ベビーリーフ（加工品）",
  IFERROR(
    INDEX($I$2:$I$10, MATCH(TRUE, ISNUMBER(SEARCH($H$2:$H$10, SUBSTITUTE(A172,"　"," "))), 0)),
    TRIM(SUBSTITUTE(A172,"　"," "))
  )
)</f>
        <v>ベビーリーフ（加工品）</v>
      </c>
      <c r="D172">
        <f t="shared" si="3"/>
        <v>200</v>
      </c>
    </row>
    <row r="173" spans="1:4">
      <c r="A173" t="s">
        <v>4</v>
      </c>
      <c r="B173">
        <v>300</v>
      </c>
      <c r="C173" t="str" cm="1">
        <f t="array" ref="C173">IF(
  AND(ISNUMBER(SEARCH("加工品",SUBSTITUTE(A173,"　"," "))), ISNUMBER(SEARCH("ベビーリーフ",SUBSTITUTE(A173,"　"," ")))),
  "ベビーリーフ（加工品）",
  IFERROR(
    INDEX($I$2:$I$10, MATCH(TRUE, ISNUMBER(SEARCH($H$2:$H$10, SUBSTITUTE(A173,"　"," "))), 0)),
    TRIM(SUBSTITUTE(A173,"　"," "))
  )
)</f>
        <v>ピノグリーン</v>
      </c>
      <c r="D173">
        <f t="shared" si="3"/>
        <v>300</v>
      </c>
    </row>
    <row r="174" spans="1:4">
      <c r="A174" t="s">
        <v>2</v>
      </c>
      <c r="B174" s="1">
        <v>1090</v>
      </c>
      <c r="C174" t="str" cm="1">
        <f t="array" ref="C174">IF(
  AND(ISNUMBER(SEARCH("加工品",SUBSTITUTE(A174,"　"," "))), ISNUMBER(SEARCH("ベビーリーフ",SUBSTITUTE(A174,"　"," ")))),
  "ベビーリーフ（加工品）",
  IFERROR(
    INDEX($I$2:$I$10, MATCH(TRUE, ISNUMBER(SEARCH($H$2:$H$10, SUBSTITUTE(A174,"　"," "))), 0)),
    TRIM(SUBSTITUTE(A174,"　"," "))
  )
)</f>
        <v>グリーンオーク</v>
      </c>
      <c r="D174">
        <f t="shared" si="3"/>
        <v>1090</v>
      </c>
    </row>
    <row r="175" spans="1:4">
      <c r="A175" t="s">
        <v>3</v>
      </c>
      <c r="B175">
        <v>180</v>
      </c>
      <c r="C175" t="str" cm="1">
        <f t="array" ref="C175">IF(
  AND(ISNUMBER(SEARCH("加工品",SUBSTITUTE(A175,"　"," "))), ISNUMBER(SEARCH("ベビーリーフ",SUBSTITUTE(A175,"　"," ")))),
  "ベビーリーフ（加工品）",
  IFERROR(
    INDEX($I$2:$I$10, MATCH(TRUE, ISNUMBER(SEARCH($H$2:$H$10, SUBSTITUTE(A175,"　"," "))), 0)),
    TRIM(SUBSTITUTE(A175,"　"," "))
  )
)</f>
        <v>ベビーリーフ（加工品）</v>
      </c>
      <c r="D175">
        <f t="shared" si="3"/>
        <v>180</v>
      </c>
    </row>
    <row r="176" spans="1:4">
      <c r="A176" t="s">
        <v>4</v>
      </c>
      <c r="B176">
        <v>260</v>
      </c>
      <c r="C176" t="str" cm="1">
        <f t="array" ref="C176">IF(
  AND(ISNUMBER(SEARCH("加工品",SUBSTITUTE(A176,"　"," "))), ISNUMBER(SEARCH("ベビーリーフ",SUBSTITUTE(A176,"　"," ")))),
  "ベビーリーフ（加工品）",
  IFERROR(
    INDEX($I$2:$I$10, MATCH(TRUE, ISNUMBER(SEARCH($H$2:$H$10, SUBSTITUTE(A176,"　"," "))), 0)),
    TRIM(SUBSTITUTE(A176,"　"," "))
  )
)</f>
        <v>ピノグリーン</v>
      </c>
      <c r="D176">
        <f t="shared" si="3"/>
        <v>260</v>
      </c>
    </row>
    <row r="177" spans="1:4">
      <c r="A177" t="s">
        <v>2</v>
      </c>
      <c r="B177">
        <v>220</v>
      </c>
      <c r="C177" t="str" cm="1">
        <f t="array" ref="C177">IF(
  AND(ISNUMBER(SEARCH("加工品",SUBSTITUTE(A177,"　"," "))), ISNUMBER(SEARCH("ベビーリーフ",SUBSTITUTE(A177,"　"," ")))),
  "ベビーリーフ（加工品）",
  IFERROR(
    INDEX($I$2:$I$10, MATCH(TRUE, ISNUMBER(SEARCH($H$2:$H$10, SUBSTITUTE(A177,"　"," "))), 0)),
    TRIM(SUBSTITUTE(A177,"　"," "))
  )
)</f>
        <v>グリーンオーク</v>
      </c>
      <c r="D177">
        <f t="shared" si="3"/>
        <v>220</v>
      </c>
    </row>
    <row r="178" spans="1:4">
      <c r="A178" t="s">
        <v>3</v>
      </c>
      <c r="B178">
        <v>100</v>
      </c>
      <c r="C178" t="str" cm="1">
        <f t="array" ref="C178">IF(
  AND(ISNUMBER(SEARCH("加工品",SUBSTITUTE(A178,"　"," "))), ISNUMBER(SEARCH("ベビーリーフ",SUBSTITUTE(A178,"　"," ")))),
  "ベビーリーフ（加工品）",
  IFERROR(
    INDEX($I$2:$I$10, MATCH(TRUE, ISNUMBER(SEARCH($H$2:$H$10, SUBSTITUTE(A178,"　"," "))), 0)),
    TRIM(SUBSTITUTE(A178,"　"," "))
  )
)</f>
        <v>ベビーリーフ（加工品）</v>
      </c>
      <c r="D178">
        <f t="shared" si="3"/>
        <v>100</v>
      </c>
    </row>
    <row r="179" spans="1:4">
      <c r="A179" t="s">
        <v>2</v>
      </c>
      <c r="B179">
        <v>150</v>
      </c>
      <c r="C179" t="str" cm="1">
        <f t="array" ref="C179">IF(
  AND(ISNUMBER(SEARCH("加工品",SUBSTITUTE(A179,"　"," "))), ISNUMBER(SEARCH("ベビーリーフ",SUBSTITUTE(A179,"　"," ")))),
  "ベビーリーフ（加工品）",
  IFERROR(
    INDEX($I$2:$I$10, MATCH(TRUE, ISNUMBER(SEARCH($H$2:$H$10, SUBSTITUTE(A179,"　"," "))), 0)),
    TRIM(SUBSTITUTE(A179,"　"," "))
  )
)</f>
        <v>グリーンオーク</v>
      </c>
      <c r="D179">
        <f t="shared" si="3"/>
        <v>150</v>
      </c>
    </row>
    <row r="180" spans="1:4">
      <c r="A180" t="s">
        <v>2</v>
      </c>
      <c r="B180">
        <v>180</v>
      </c>
      <c r="C180" t="str" cm="1">
        <f t="array" ref="C180">IF(
  AND(ISNUMBER(SEARCH("加工品",SUBSTITUTE(A180,"　"," "))), ISNUMBER(SEARCH("ベビーリーフ",SUBSTITUTE(A180,"　"," ")))),
  "ベビーリーフ（加工品）",
  IFERROR(
    INDEX($I$2:$I$10, MATCH(TRUE, ISNUMBER(SEARCH($H$2:$H$10, SUBSTITUTE(A180,"　"," "))), 0)),
    TRIM(SUBSTITUTE(A180,"　"," "))
  )
)</f>
        <v>グリーンオーク</v>
      </c>
      <c r="D180">
        <f t="shared" si="3"/>
        <v>180</v>
      </c>
    </row>
    <row r="181" spans="1:4">
      <c r="A181" t="s">
        <v>4</v>
      </c>
      <c r="B181">
        <v>60</v>
      </c>
      <c r="C181" t="str" cm="1">
        <f t="array" ref="C181">IF(
  AND(ISNUMBER(SEARCH("加工品",SUBSTITUTE(A181,"　"," "))), ISNUMBER(SEARCH("ベビーリーフ",SUBSTITUTE(A181,"　"," ")))),
  "ベビーリーフ（加工品）",
  IFERROR(
    INDEX($I$2:$I$10, MATCH(TRUE, ISNUMBER(SEARCH($H$2:$H$10, SUBSTITUTE(A181,"　"," "))), 0)),
    TRIM(SUBSTITUTE(A181,"　"," "))
  )
)</f>
        <v>ピノグリーン</v>
      </c>
      <c r="D181">
        <f t="shared" si="3"/>
        <v>60</v>
      </c>
    </row>
    <row r="182" spans="1:4">
      <c r="A182" t="s">
        <v>3</v>
      </c>
      <c r="B182">
        <v>260</v>
      </c>
      <c r="C182" t="str" cm="1">
        <f t="array" ref="C182">IF(
  AND(ISNUMBER(SEARCH("加工品",SUBSTITUTE(A182,"　"," "))), ISNUMBER(SEARCH("ベビーリーフ",SUBSTITUTE(A182,"　"," ")))),
  "ベビーリーフ（加工品）",
  IFERROR(
    INDEX($I$2:$I$10, MATCH(TRUE, ISNUMBER(SEARCH($H$2:$H$10, SUBSTITUTE(A182,"　"," "))), 0)),
    TRIM(SUBSTITUTE(A182,"　"," "))
  )
)</f>
        <v>ベビーリーフ（加工品）</v>
      </c>
      <c r="D182">
        <f t="shared" si="3"/>
        <v>260</v>
      </c>
    </row>
    <row r="183" spans="1:4">
      <c r="A183" t="s">
        <v>4</v>
      </c>
      <c r="B183">
        <v>420</v>
      </c>
      <c r="C183" t="str" cm="1">
        <f t="array" ref="C183">IF(
  AND(ISNUMBER(SEARCH("加工品",SUBSTITUTE(A183,"　"," "))), ISNUMBER(SEARCH("ベビーリーフ",SUBSTITUTE(A183,"　"," ")))),
  "ベビーリーフ（加工品）",
  IFERROR(
    INDEX($I$2:$I$10, MATCH(TRUE, ISNUMBER(SEARCH($H$2:$H$10, SUBSTITUTE(A183,"　"," "))), 0)),
    TRIM(SUBSTITUTE(A183,"　"," "))
  )
)</f>
        <v>ピノグリーン</v>
      </c>
      <c r="D183">
        <f t="shared" si="3"/>
        <v>420</v>
      </c>
    </row>
    <row r="184" spans="1:4">
      <c r="A184" t="s">
        <v>2</v>
      </c>
      <c r="B184" s="1">
        <v>1340</v>
      </c>
      <c r="C184" t="str" cm="1">
        <f t="array" ref="C184">IF(
  AND(ISNUMBER(SEARCH("加工品",SUBSTITUTE(A184,"　"," "))), ISNUMBER(SEARCH("ベビーリーフ",SUBSTITUTE(A184,"　"," ")))),
  "ベビーリーフ（加工品）",
  IFERROR(
    INDEX($I$2:$I$10, MATCH(TRUE, ISNUMBER(SEARCH($H$2:$H$10, SUBSTITUTE(A184,"　"," "))), 0)),
    TRIM(SUBSTITUTE(A184,"　"," "))
  )
)</f>
        <v>グリーンオーク</v>
      </c>
      <c r="D184">
        <f t="shared" si="3"/>
        <v>1340</v>
      </c>
    </row>
    <row r="185" spans="1:4">
      <c r="A185" t="s">
        <v>4</v>
      </c>
      <c r="B185">
        <v>660</v>
      </c>
      <c r="C185" t="str" cm="1">
        <f t="array" ref="C185">IF(
  AND(ISNUMBER(SEARCH("加工品",SUBSTITUTE(A185,"　"," "))), ISNUMBER(SEARCH("ベビーリーフ",SUBSTITUTE(A185,"　"," ")))),
  "ベビーリーフ（加工品）",
  IFERROR(
    INDEX($I$2:$I$10, MATCH(TRUE, ISNUMBER(SEARCH($H$2:$H$10, SUBSTITUTE(A185,"　"," "))), 0)),
    TRIM(SUBSTITUTE(A185,"　"," "))
  )
)</f>
        <v>ピノグリーン</v>
      </c>
      <c r="D185">
        <f t="shared" si="3"/>
        <v>660</v>
      </c>
    </row>
    <row r="186" spans="1:4">
      <c r="A186" t="s">
        <v>3</v>
      </c>
      <c r="B186">
        <v>740</v>
      </c>
      <c r="C186" t="str" cm="1">
        <f t="array" ref="C186">IF(
  AND(ISNUMBER(SEARCH("加工品",SUBSTITUTE(A186,"　"," "))), ISNUMBER(SEARCH("ベビーリーフ",SUBSTITUTE(A186,"　"," ")))),
  "ベビーリーフ（加工品）",
  IFERROR(
    INDEX($I$2:$I$10, MATCH(TRUE, ISNUMBER(SEARCH($H$2:$H$10, SUBSTITUTE(A186,"　"," "))), 0)),
    TRIM(SUBSTITUTE(A186,"　"," "))
  )
)</f>
        <v>ベビーリーフ（加工品）</v>
      </c>
      <c r="D186">
        <f t="shared" si="3"/>
        <v>740</v>
      </c>
    </row>
    <row r="187" spans="1:4">
      <c r="A187" t="s">
        <v>2</v>
      </c>
      <c r="B187">
        <v>460</v>
      </c>
      <c r="C187" t="str" cm="1">
        <f t="array" ref="C187">IF(
  AND(ISNUMBER(SEARCH("加工品",SUBSTITUTE(A187,"　"," "))), ISNUMBER(SEARCH("ベビーリーフ",SUBSTITUTE(A187,"　"," ")))),
  "ベビーリーフ（加工品）",
  IFERROR(
    INDEX($I$2:$I$10, MATCH(TRUE, ISNUMBER(SEARCH($H$2:$H$10, SUBSTITUTE(A187,"　"," "))), 0)),
    TRIM(SUBSTITUTE(A187,"　"," "))
  )
)</f>
        <v>グリーンオーク</v>
      </c>
      <c r="D187">
        <f t="shared" si="3"/>
        <v>460</v>
      </c>
    </row>
    <row r="188" spans="1:4">
      <c r="A188" t="s">
        <v>3</v>
      </c>
      <c r="B188">
        <v>860</v>
      </c>
      <c r="C188" t="str" cm="1">
        <f t="array" ref="C188">IF(
  AND(ISNUMBER(SEARCH("加工品",SUBSTITUTE(A188,"　"," "))), ISNUMBER(SEARCH("ベビーリーフ",SUBSTITUTE(A188,"　"," ")))),
  "ベビーリーフ（加工品）",
  IFERROR(
    INDEX($I$2:$I$10, MATCH(TRUE, ISNUMBER(SEARCH($H$2:$H$10, SUBSTITUTE(A188,"　"," "))), 0)),
    TRIM(SUBSTITUTE(A188,"　"," "))
  )
)</f>
        <v>ベビーリーフ（加工品）</v>
      </c>
      <c r="D188">
        <f t="shared" si="3"/>
        <v>860</v>
      </c>
    </row>
    <row r="189" spans="1:4">
      <c r="A189" t="s">
        <v>3</v>
      </c>
      <c r="B189">
        <v>550</v>
      </c>
      <c r="C189" t="str" cm="1">
        <f t="array" ref="C189">IF(
  AND(ISNUMBER(SEARCH("加工品",SUBSTITUTE(A189,"　"," "))), ISNUMBER(SEARCH("ベビーリーフ",SUBSTITUTE(A189,"　"," ")))),
  "ベビーリーフ（加工品）",
  IFERROR(
    INDEX($I$2:$I$10, MATCH(TRUE, ISNUMBER(SEARCH($H$2:$H$10, SUBSTITUTE(A189,"　"," "))), 0)),
    TRIM(SUBSTITUTE(A189,"　"," "))
  )
)</f>
        <v>ベビーリーフ（加工品）</v>
      </c>
      <c r="D189">
        <f t="shared" si="3"/>
        <v>550</v>
      </c>
    </row>
    <row r="190" spans="1:4">
      <c r="A190" t="s">
        <v>2</v>
      </c>
      <c r="B190">
        <v>350</v>
      </c>
      <c r="C190" t="str" cm="1">
        <f t="array" ref="C190">IF(
  AND(ISNUMBER(SEARCH("加工品",SUBSTITUTE(A190,"　"," "))), ISNUMBER(SEARCH("ベビーリーフ",SUBSTITUTE(A190,"　"," ")))),
  "ベビーリーフ（加工品）",
  IFERROR(
    INDEX($I$2:$I$10, MATCH(TRUE, ISNUMBER(SEARCH($H$2:$H$10, SUBSTITUTE(A190,"　"," "))), 0)),
    TRIM(SUBSTITUTE(A190,"　"," "))
  )
)</f>
        <v>グリーンオーク</v>
      </c>
      <c r="D190">
        <f t="shared" si="3"/>
        <v>350</v>
      </c>
    </row>
    <row r="191" spans="1:4">
      <c r="A191" t="s">
        <v>4</v>
      </c>
      <c r="B191">
        <v>320</v>
      </c>
      <c r="C191" t="str" cm="1">
        <f t="array" ref="C191">IF(
  AND(ISNUMBER(SEARCH("加工品",SUBSTITUTE(A191,"　"," "))), ISNUMBER(SEARCH("ベビーリーフ",SUBSTITUTE(A191,"　"," ")))),
  "ベビーリーフ（加工品）",
  IFERROR(
    INDEX($I$2:$I$10, MATCH(TRUE, ISNUMBER(SEARCH($H$2:$H$10, SUBSTITUTE(A191,"　"," "))), 0)),
    TRIM(SUBSTITUTE(A191,"　"," "))
  )
)</f>
        <v>ピノグリーン</v>
      </c>
      <c r="D191">
        <f t="shared" si="3"/>
        <v>320</v>
      </c>
    </row>
    <row r="192" spans="1:4">
      <c r="A192" t="s">
        <v>3</v>
      </c>
      <c r="B192">
        <v>400</v>
      </c>
      <c r="C192" t="str" cm="1">
        <f t="array" ref="C192">IF(
  AND(ISNUMBER(SEARCH("加工品",SUBSTITUTE(A192,"　"," "))), ISNUMBER(SEARCH("ベビーリーフ",SUBSTITUTE(A192,"　"," ")))),
  "ベビーリーフ（加工品）",
  IFERROR(
    INDEX($I$2:$I$10, MATCH(TRUE, ISNUMBER(SEARCH($H$2:$H$10, SUBSTITUTE(A192,"　"," "))), 0)),
    TRIM(SUBSTITUTE(A192,"　"," "))
  )
)</f>
        <v>ベビーリーフ（加工品）</v>
      </c>
      <c r="D192">
        <f t="shared" si="3"/>
        <v>400</v>
      </c>
    </row>
    <row r="193" spans="1:4">
      <c r="A193" t="s">
        <v>2</v>
      </c>
      <c r="B193">
        <v>400</v>
      </c>
      <c r="C193" t="str" cm="1">
        <f t="array" ref="C193">IF(
  AND(ISNUMBER(SEARCH("加工品",SUBSTITUTE(A193,"　"," "))), ISNUMBER(SEARCH("ベビーリーフ",SUBSTITUTE(A193,"　"," ")))),
  "ベビーリーフ（加工品）",
  IFERROR(
    INDEX($I$2:$I$10, MATCH(TRUE, ISNUMBER(SEARCH($H$2:$H$10, SUBSTITUTE(A193,"　"," "))), 0)),
    TRIM(SUBSTITUTE(A193,"　"," "))
  )
)</f>
        <v>グリーンオーク</v>
      </c>
      <c r="D193">
        <f t="shared" si="3"/>
        <v>400</v>
      </c>
    </row>
    <row r="194" spans="1:4">
      <c r="A194" t="s">
        <v>4</v>
      </c>
      <c r="B194">
        <v>400</v>
      </c>
      <c r="C194" t="str" cm="1">
        <f t="array" ref="C194">IF(
  AND(ISNUMBER(SEARCH("加工品",SUBSTITUTE(A194,"　"," "))), ISNUMBER(SEARCH("ベビーリーフ",SUBSTITUTE(A194,"　"," ")))),
  "ベビーリーフ（加工品）",
  IFERROR(
    INDEX($I$2:$I$10, MATCH(TRUE, ISNUMBER(SEARCH($H$2:$H$10, SUBSTITUTE(A194,"　"," "))), 0)),
    TRIM(SUBSTITUTE(A194,"　"," "))
  )
)</f>
        <v>ピノグリーン</v>
      </c>
      <c r="D194">
        <f t="shared" si="3"/>
        <v>400</v>
      </c>
    </row>
    <row r="195" spans="1:4">
      <c r="A195" t="s">
        <v>8</v>
      </c>
      <c r="B195">
        <v>100</v>
      </c>
      <c r="C195" t="str" cm="1">
        <f t="array" ref="C195">IF(
  AND(ISNUMBER(SEARCH("加工品",SUBSTITUTE(A195,"　"," "))), ISNUMBER(SEARCH("ベビーリーフ",SUBSTITUTE(A195,"　"," ")))),
  "ベビーリーフ（加工品）",
  IFERROR(
    INDEX($I$2:$I$10, MATCH(TRUE, ISNUMBER(SEARCH($H$2:$H$10, SUBSTITUTE(A195,"　"," "))), 0)),
    TRIM(SUBSTITUTE(A195,"　"," "))
  )
)</f>
        <v>イチゴ</v>
      </c>
      <c r="D195">
        <f t="shared" ref="D195:D258" si="4">--SUBSTITUTE(B195,",","")</f>
        <v>100</v>
      </c>
    </row>
    <row r="196" spans="1:4">
      <c r="A196" t="s">
        <v>3</v>
      </c>
      <c r="B196">
        <v>340</v>
      </c>
      <c r="C196" t="str" cm="1">
        <f t="array" ref="C196">IF(
  AND(ISNUMBER(SEARCH("加工品",SUBSTITUTE(A196,"　"," "))), ISNUMBER(SEARCH("ベビーリーフ",SUBSTITUTE(A196,"　"," ")))),
  "ベビーリーフ（加工品）",
  IFERROR(
    INDEX($I$2:$I$10, MATCH(TRUE, ISNUMBER(SEARCH($H$2:$H$10, SUBSTITUTE(A196,"　"," "))), 0)),
    TRIM(SUBSTITUTE(A196,"　"," "))
  )
)</f>
        <v>ベビーリーフ（加工品）</v>
      </c>
      <c r="D196">
        <f t="shared" si="4"/>
        <v>340</v>
      </c>
    </row>
    <row r="197" spans="1:4">
      <c r="A197" t="s">
        <v>2</v>
      </c>
      <c r="B197">
        <v>600</v>
      </c>
      <c r="C197" t="str" cm="1">
        <f t="array" ref="C197">IF(
  AND(ISNUMBER(SEARCH("加工品",SUBSTITUTE(A197,"　"," "))), ISNUMBER(SEARCH("ベビーリーフ",SUBSTITUTE(A197,"　"," ")))),
  "ベビーリーフ（加工品）",
  IFERROR(
    INDEX($I$2:$I$10, MATCH(TRUE, ISNUMBER(SEARCH($H$2:$H$10, SUBSTITUTE(A197,"　"," "))), 0)),
    TRIM(SUBSTITUTE(A197,"　"," "))
  )
)</f>
        <v>グリーンオーク</v>
      </c>
      <c r="D197">
        <f t="shared" si="4"/>
        <v>600</v>
      </c>
    </row>
    <row r="198" spans="1:4">
      <c r="A198" t="s">
        <v>4</v>
      </c>
      <c r="B198">
        <v>210</v>
      </c>
      <c r="C198" t="str" cm="1">
        <f t="array" ref="C198">IF(
  AND(ISNUMBER(SEARCH("加工品",SUBSTITUTE(A198,"　"," "))), ISNUMBER(SEARCH("ベビーリーフ",SUBSTITUTE(A198,"　"," ")))),
  "ベビーリーフ（加工品）",
  IFERROR(
    INDEX($I$2:$I$10, MATCH(TRUE, ISNUMBER(SEARCH($H$2:$H$10, SUBSTITUTE(A198,"　"," "))), 0)),
    TRIM(SUBSTITUTE(A198,"　"," "))
  )
)</f>
        <v>ピノグリーン</v>
      </c>
      <c r="D198">
        <f t="shared" si="4"/>
        <v>210</v>
      </c>
    </row>
    <row r="199" spans="1:4">
      <c r="A199" t="s">
        <v>9</v>
      </c>
      <c r="B199" s="1">
        <v>2160</v>
      </c>
      <c r="C199" t="str" cm="1">
        <f t="array" ref="C199">IF(
  AND(ISNUMBER(SEARCH("加工品",SUBSTITUTE(A199,"　"," "))), ISNUMBER(SEARCH("ベビーリーフ",SUBSTITUTE(A199,"　"," ")))),
  "ベビーリーフ（加工品）",
  IFERROR(
    INDEX($I$2:$I$10, MATCH(TRUE, ISNUMBER(SEARCH($H$2:$H$10, SUBSTITUTE(A199,"　"," "))), 0)),
    TRIM(SUBSTITUTE(A199,"　"," "))
  )
)</f>
        <v>ロロロッサ</v>
      </c>
      <c r="D199">
        <f t="shared" si="4"/>
        <v>2160</v>
      </c>
    </row>
    <row r="200" spans="1:4">
      <c r="A200" t="s">
        <v>2</v>
      </c>
      <c r="B200">
        <v>280</v>
      </c>
      <c r="C200" t="str" cm="1">
        <f t="array" ref="C200">IF(
  AND(ISNUMBER(SEARCH("加工品",SUBSTITUTE(A200,"　"," "))), ISNUMBER(SEARCH("ベビーリーフ",SUBSTITUTE(A200,"　"," ")))),
  "ベビーリーフ（加工品）",
  IFERROR(
    INDEX($I$2:$I$10, MATCH(TRUE, ISNUMBER(SEARCH($H$2:$H$10, SUBSTITUTE(A200,"　"," "))), 0)),
    TRIM(SUBSTITUTE(A200,"　"," "))
  )
)</f>
        <v>グリーンオーク</v>
      </c>
      <c r="D200">
        <f t="shared" si="4"/>
        <v>280</v>
      </c>
    </row>
    <row r="201" spans="1:4">
      <c r="A201" t="s">
        <v>3</v>
      </c>
      <c r="B201">
        <v>440</v>
      </c>
      <c r="C201" t="str" cm="1">
        <f t="array" ref="C201">IF(
  AND(ISNUMBER(SEARCH("加工品",SUBSTITUTE(A201,"　"," "))), ISNUMBER(SEARCH("ベビーリーフ",SUBSTITUTE(A201,"　"," ")))),
  "ベビーリーフ（加工品）",
  IFERROR(
    INDEX($I$2:$I$10, MATCH(TRUE, ISNUMBER(SEARCH($H$2:$H$10, SUBSTITUTE(A201,"　"," "))), 0)),
    TRIM(SUBSTITUTE(A201,"　"," "))
  )
)</f>
        <v>ベビーリーフ（加工品）</v>
      </c>
      <c r="D201">
        <f t="shared" si="4"/>
        <v>440</v>
      </c>
    </row>
    <row r="202" spans="1:4">
      <c r="A202" t="s">
        <v>4</v>
      </c>
      <c r="B202">
        <v>580</v>
      </c>
      <c r="C202" t="str" cm="1">
        <f t="array" ref="C202">IF(
  AND(ISNUMBER(SEARCH("加工品",SUBSTITUTE(A202,"　"," "))), ISNUMBER(SEARCH("ベビーリーフ",SUBSTITUTE(A202,"　"," ")))),
  "ベビーリーフ（加工品）",
  IFERROR(
    INDEX($I$2:$I$10, MATCH(TRUE, ISNUMBER(SEARCH($H$2:$H$10, SUBSTITUTE(A202,"　"," "))), 0)),
    TRIM(SUBSTITUTE(A202,"　"," "))
  )
)</f>
        <v>ピノグリーン</v>
      </c>
      <c r="D202">
        <f t="shared" si="4"/>
        <v>580</v>
      </c>
    </row>
    <row r="203" spans="1:4">
      <c r="A203" t="s">
        <v>8</v>
      </c>
      <c r="B203">
        <v>150</v>
      </c>
      <c r="C203" t="str" cm="1">
        <f t="array" ref="C203">IF(
  AND(ISNUMBER(SEARCH("加工品",SUBSTITUTE(A203,"　"," "))), ISNUMBER(SEARCH("ベビーリーフ",SUBSTITUTE(A203,"　"," ")))),
  "ベビーリーフ（加工品）",
  IFERROR(
    INDEX($I$2:$I$10, MATCH(TRUE, ISNUMBER(SEARCH($H$2:$H$10, SUBSTITUTE(A203,"　"," "))), 0)),
    TRIM(SUBSTITUTE(A203,"　"," "))
  )
)</f>
        <v>イチゴ</v>
      </c>
      <c r="D203">
        <f t="shared" si="4"/>
        <v>150</v>
      </c>
    </row>
    <row r="204" spans="1:4">
      <c r="A204" t="s">
        <v>3</v>
      </c>
      <c r="B204">
        <v>620</v>
      </c>
      <c r="C204" t="str" cm="1">
        <f t="array" ref="C204">IF(
  AND(ISNUMBER(SEARCH("加工品",SUBSTITUTE(A204,"　"," "))), ISNUMBER(SEARCH("ベビーリーフ",SUBSTITUTE(A204,"　"," ")))),
  "ベビーリーフ（加工品）",
  IFERROR(
    INDEX($I$2:$I$10, MATCH(TRUE, ISNUMBER(SEARCH($H$2:$H$10, SUBSTITUTE(A204,"　"," "))), 0)),
    TRIM(SUBSTITUTE(A204,"　"," "))
  )
)</f>
        <v>ベビーリーフ（加工品）</v>
      </c>
      <c r="D204">
        <f t="shared" si="4"/>
        <v>620</v>
      </c>
    </row>
    <row r="205" spans="1:4">
      <c r="A205" t="s">
        <v>2</v>
      </c>
      <c r="B205">
        <v>690</v>
      </c>
      <c r="C205" t="str" cm="1">
        <f t="array" ref="C205">IF(
  AND(ISNUMBER(SEARCH("加工品",SUBSTITUTE(A205,"　"," "))), ISNUMBER(SEARCH("ベビーリーフ",SUBSTITUTE(A205,"　"," ")))),
  "ベビーリーフ（加工品）",
  IFERROR(
    INDEX($I$2:$I$10, MATCH(TRUE, ISNUMBER(SEARCH($H$2:$H$10, SUBSTITUTE(A205,"　"," "))), 0)),
    TRIM(SUBSTITUTE(A205,"　"," "))
  )
)</f>
        <v>グリーンオーク</v>
      </c>
      <c r="D205">
        <f t="shared" si="4"/>
        <v>690</v>
      </c>
    </row>
    <row r="206" spans="1:4">
      <c r="A206" t="s">
        <v>4</v>
      </c>
      <c r="B206">
        <v>300</v>
      </c>
      <c r="C206" t="str" cm="1">
        <f t="array" ref="C206">IF(
  AND(ISNUMBER(SEARCH("加工品",SUBSTITUTE(A206,"　"," "))), ISNUMBER(SEARCH("ベビーリーフ",SUBSTITUTE(A206,"　"," ")))),
  "ベビーリーフ（加工品）",
  IFERROR(
    INDEX($I$2:$I$10, MATCH(TRUE, ISNUMBER(SEARCH($H$2:$H$10, SUBSTITUTE(A206,"　"," "))), 0)),
    TRIM(SUBSTITUTE(A206,"　"," "))
  )
)</f>
        <v>ピノグリーン</v>
      </c>
      <c r="D206">
        <f t="shared" si="4"/>
        <v>300</v>
      </c>
    </row>
    <row r="207" spans="1:4">
      <c r="A207" t="s">
        <v>3</v>
      </c>
      <c r="B207">
        <v>580</v>
      </c>
      <c r="C207" t="str" cm="1">
        <f t="array" ref="C207">IF(
  AND(ISNUMBER(SEARCH("加工品",SUBSTITUTE(A207,"　"," "))), ISNUMBER(SEARCH("ベビーリーフ",SUBSTITUTE(A207,"　"," ")))),
  "ベビーリーフ（加工品）",
  IFERROR(
    INDEX($I$2:$I$10, MATCH(TRUE, ISNUMBER(SEARCH($H$2:$H$10, SUBSTITUTE(A207,"　"," "))), 0)),
    TRIM(SUBSTITUTE(A207,"　"," "))
  )
)</f>
        <v>ベビーリーフ（加工品）</v>
      </c>
      <c r="D207">
        <f t="shared" si="4"/>
        <v>580</v>
      </c>
    </row>
    <row r="208" spans="1:4">
      <c r="A208" t="s">
        <v>9</v>
      </c>
      <c r="B208" s="1">
        <v>3700</v>
      </c>
      <c r="C208" t="str" cm="1">
        <f t="array" ref="C208">IF(
  AND(ISNUMBER(SEARCH("加工品",SUBSTITUTE(A208,"　"," "))), ISNUMBER(SEARCH("ベビーリーフ",SUBSTITUTE(A208,"　"," ")))),
  "ベビーリーフ（加工品）",
  IFERROR(
    INDEX($I$2:$I$10, MATCH(TRUE, ISNUMBER(SEARCH($H$2:$H$10, SUBSTITUTE(A208,"　"," "))), 0)),
    TRIM(SUBSTITUTE(A208,"　"," "))
  )
)</f>
        <v>ロロロッサ</v>
      </c>
      <c r="D208">
        <f t="shared" si="4"/>
        <v>3700</v>
      </c>
    </row>
    <row r="209" spans="1:4">
      <c r="A209" t="s">
        <v>6</v>
      </c>
      <c r="B209">
        <v>560</v>
      </c>
      <c r="C209" t="str" cm="1">
        <f t="array" ref="C209">IF(
  AND(ISNUMBER(SEARCH("加工品",SUBSTITUTE(A209,"　"," "))), ISNUMBER(SEARCH("ベビーリーフ",SUBSTITUTE(A209,"　"," ")))),
  "ベビーリーフ（加工品）",
  IFERROR(
    INDEX($I$2:$I$10, MATCH(TRUE, ISNUMBER(SEARCH($H$2:$H$10, SUBSTITUTE(A209,"　"," "))), 0)),
    TRIM(SUBSTITUTE(A209,"　"," "))
  )
)</f>
        <v>ロロロッサ</v>
      </c>
      <c r="D209">
        <f t="shared" si="4"/>
        <v>560</v>
      </c>
    </row>
    <row r="210" spans="1:4">
      <c r="A210" t="s">
        <v>2</v>
      </c>
      <c r="B210">
        <v>440</v>
      </c>
      <c r="C210" t="str" cm="1">
        <f t="array" ref="C210">IF(
  AND(ISNUMBER(SEARCH("加工品",SUBSTITUTE(A210,"　"," "))), ISNUMBER(SEARCH("ベビーリーフ",SUBSTITUTE(A210,"　"," ")))),
  "ベビーリーフ（加工品）",
  IFERROR(
    INDEX($I$2:$I$10, MATCH(TRUE, ISNUMBER(SEARCH($H$2:$H$10, SUBSTITUTE(A210,"　"," "))), 0)),
    TRIM(SUBSTITUTE(A210,"　"," "))
  )
)</f>
        <v>グリーンオーク</v>
      </c>
      <c r="D210">
        <f t="shared" si="4"/>
        <v>440</v>
      </c>
    </row>
    <row r="211" spans="1:4">
      <c r="A211" t="s">
        <v>3</v>
      </c>
      <c r="B211">
        <v>460</v>
      </c>
      <c r="C211" t="str" cm="1">
        <f t="array" ref="C211">IF(
  AND(ISNUMBER(SEARCH("加工品",SUBSTITUTE(A211,"　"," "))), ISNUMBER(SEARCH("ベビーリーフ",SUBSTITUTE(A211,"　"," ")))),
  "ベビーリーフ（加工品）",
  IFERROR(
    INDEX($I$2:$I$10, MATCH(TRUE, ISNUMBER(SEARCH($H$2:$H$10, SUBSTITUTE(A211,"　"," "))), 0)),
    TRIM(SUBSTITUTE(A211,"　"," "))
  )
)</f>
        <v>ベビーリーフ（加工品）</v>
      </c>
      <c r="D211">
        <f t="shared" si="4"/>
        <v>460</v>
      </c>
    </row>
    <row r="212" spans="1:4">
      <c r="A212" t="s">
        <v>4</v>
      </c>
      <c r="B212">
        <v>320</v>
      </c>
      <c r="C212" t="str" cm="1">
        <f t="array" ref="C212">IF(
  AND(ISNUMBER(SEARCH("加工品",SUBSTITUTE(A212,"　"," "))), ISNUMBER(SEARCH("ベビーリーフ",SUBSTITUTE(A212,"　"," ")))),
  "ベビーリーフ（加工品）",
  IFERROR(
    INDEX($I$2:$I$10, MATCH(TRUE, ISNUMBER(SEARCH($H$2:$H$10, SUBSTITUTE(A212,"　"," "))), 0)),
    TRIM(SUBSTITUTE(A212,"　"," "))
  )
)</f>
        <v>ピノグリーン</v>
      </c>
      <c r="D212">
        <f t="shared" si="4"/>
        <v>320</v>
      </c>
    </row>
    <row r="213" spans="1:4">
      <c r="A213" t="s">
        <v>3</v>
      </c>
      <c r="B213">
        <v>340</v>
      </c>
      <c r="C213" t="str" cm="1">
        <f t="array" ref="C213">IF(
  AND(ISNUMBER(SEARCH("加工品",SUBSTITUTE(A213,"　"," "))), ISNUMBER(SEARCH("ベビーリーフ",SUBSTITUTE(A213,"　"," ")))),
  "ベビーリーフ（加工品）",
  IFERROR(
    INDEX($I$2:$I$10, MATCH(TRUE, ISNUMBER(SEARCH($H$2:$H$10, SUBSTITUTE(A213,"　"," "))), 0)),
    TRIM(SUBSTITUTE(A213,"　"," "))
  )
)</f>
        <v>ベビーリーフ（加工品）</v>
      </c>
      <c r="D213">
        <f t="shared" si="4"/>
        <v>340</v>
      </c>
    </row>
    <row r="214" spans="1:4">
      <c r="A214" t="s">
        <v>2</v>
      </c>
      <c r="B214">
        <v>750</v>
      </c>
      <c r="C214" t="str" cm="1">
        <f t="array" ref="C214">IF(
  AND(ISNUMBER(SEARCH("加工品",SUBSTITUTE(A214,"　"," "))), ISNUMBER(SEARCH("ベビーリーフ",SUBSTITUTE(A214,"　"," ")))),
  "ベビーリーフ（加工品）",
  IFERROR(
    INDEX($I$2:$I$10, MATCH(TRUE, ISNUMBER(SEARCH($H$2:$H$10, SUBSTITUTE(A214,"　"," "))), 0)),
    TRIM(SUBSTITUTE(A214,"　"," "))
  )
)</f>
        <v>グリーンオーク</v>
      </c>
      <c r="D214">
        <f t="shared" si="4"/>
        <v>750</v>
      </c>
    </row>
    <row r="215" spans="1:4">
      <c r="A215" t="s">
        <v>4</v>
      </c>
      <c r="B215">
        <v>500</v>
      </c>
      <c r="C215" t="str" cm="1">
        <f t="array" ref="C215">IF(
  AND(ISNUMBER(SEARCH("加工品",SUBSTITUTE(A215,"　"," "))), ISNUMBER(SEARCH("ベビーリーフ",SUBSTITUTE(A215,"　"," ")))),
  "ベビーリーフ（加工品）",
  IFERROR(
    INDEX($I$2:$I$10, MATCH(TRUE, ISNUMBER(SEARCH($H$2:$H$10, SUBSTITUTE(A215,"　"," "))), 0)),
    TRIM(SUBSTITUTE(A215,"　"," "))
  )
)</f>
        <v>ピノグリーン</v>
      </c>
      <c r="D215">
        <f t="shared" si="4"/>
        <v>500</v>
      </c>
    </row>
    <row r="216" spans="1:4">
      <c r="A216" t="s">
        <v>3</v>
      </c>
      <c r="B216">
        <v>220</v>
      </c>
      <c r="C216" t="str" cm="1">
        <f t="array" ref="C216">IF(
  AND(ISNUMBER(SEARCH("加工品",SUBSTITUTE(A216,"　"," "))), ISNUMBER(SEARCH("ベビーリーフ",SUBSTITUTE(A216,"　"," ")))),
  "ベビーリーフ（加工品）",
  IFERROR(
    INDEX($I$2:$I$10, MATCH(TRUE, ISNUMBER(SEARCH($H$2:$H$10, SUBSTITUTE(A216,"　"," "))), 0)),
    TRIM(SUBSTITUTE(A216,"　"," "))
  )
)</f>
        <v>ベビーリーフ（加工品）</v>
      </c>
      <c r="D216">
        <f t="shared" si="4"/>
        <v>220</v>
      </c>
    </row>
    <row r="217" spans="1:4">
      <c r="A217" t="s">
        <v>9</v>
      </c>
      <c r="B217" s="1">
        <v>1040</v>
      </c>
      <c r="C217" t="str" cm="1">
        <f t="array" ref="C217">IF(
  AND(ISNUMBER(SEARCH("加工品",SUBSTITUTE(A217,"　"," "))), ISNUMBER(SEARCH("ベビーリーフ",SUBSTITUTE(A217,"　"," ")))),
  "ベビーリーフ（加工品）",
  IFERROR(
    INDEX($I$2:$I$10, MATCH(TRUE, ISNUMBER(SEARCH($H$2:$H$10, SUBSTITUTE(A217,"　"," "))), 0)),
    TRIM(SUBSTITUTE(A217,"　"," "))
  )
)</f>
        <v>ロロロッサ</v>
      </c>
      <c r="D217">
        <f t="shared" si="4"/>
        <v>1040</v>
      </c>
    </row>
    <row r="218" spans="1:4">
      <c r="A218" t="s">
        <v>4</v>
      </c>
      <c r="B218">
        <v>780</v>
      </c>
      <c r="C218" t="str" cm="1">
        <f t="array" ref="C218">IF(
  AND(ISNUMBER(SEARCH("加工品",SUBSTITUTE(A218,"　"," "))), ISNUMBER(SEARCH("ベビーリーフ",SUBSTITUTE(A218,"　"," ")))),
  "ベビーリーフ（加工品）",
  IFERROR(
    INDEX($I$2:$I$10, MATCH(TRUE, ISNUMBER(SEARCH($H$2:$H$10, SUBSTITUTE(A218,"　"," "))), 0)),
    TRIM(SUBSTITUTE(A218,"　"," "))
  )
)</f>
        <v>ピノグリーン</v>
      </c>
      <c r="D218">
        <f t="shared" si="4"/>
        <v>780</v>
      </c>
    </row>
    <row r="219" spans="1:4">
      <c r="A219" t="s">
        <v>4</v>
      </c>
      <c r="B219">
        <v>300</v>
      </c>
      <c r="C219" t="str" cm="1">
        <f t="array" ref="C219">IF(
  AND(ISNUMBER(SEARCH("加工品",SUBSTITUTE(A219,"　"," "))), ISNUMBER(SEARCH("ベビーリーフ",SUBSTITUTE(A219,"　"," ")))),
  "ベビーリーフ（加工品）",
  IFERROR(
    INDEX($I$2:$I$10, MATCH(TRUE, ISNUMBER(SEARCH($H$2:$H$10, SUBSTITUTE(A219,"　"," "))), 0)),
    TRIM(SUBSTITUTE(A219,"　"," "))
  )
)</f>
        <v>ピノグリーン</v>
      </c>
      <c r="D219">
        <f t="shared" si="4"/>
        <v>300</v>
      </c>
    </row>
    <row r="220" spans="1:4">
      <c r="A220" t="s">
        <v>2</v>
      </c>
      <c r="B220">
        <v>320</v>
      </c>
      <c r="C220" t="str" cm="1">
        <f t="array" ref="C220">IF(
  AND(ISNUMBER(SEARCH("加工品",SUBSTITUTE(A220,"　"," "))), ISNUMBER(SEARCH("ベビーリーフ",SUBSTITUTE(A220,"　"," ")))),
  "ベビーリーフ（加工品）",
  IFERROR(
    INDEX($I$2:$I$10, MATCH(TRUE, ISNUMBER(SEARCH($H$2:$H$10, SUBSTITUTE(A220,"　"," "))), 0)),
    TRIM(SUBSTITUTE(A220,"　"," "))
  )
)</f>
        <v>グリーンオーク</v>
      </c>
      <c r="D220">
        <f t="shared" si="4"/>
        <v>320</v>
      </c>
    </row>
    <row r="221" spans="1:4">
      <c r="A221" t="s">
        <v>3</v>
      </c>
      <c r="B221" s="1">
        <v>1920</v>
      </c>
      <c r="C221" t="str" cm="1">
        <f t="array" ref="C221">IF(
  AND(ISNUMBER(SEARCH("加工品",SUBSTITUTE(A221,"　"," "))), ISNUMBER(SEARCH("ベビーリーフ",SUBSTITUTE(A221,"　"," ")))),
  "ベビーリーフ（加工品）",
  IFERROR(
    INDEX($I$2:$I$10, MATCH(TRUE, ISNUMBER(SEARCH($H$2:$H$10, SUBSTITUTE(A221,"　"," "))), 0)),
    TRIM(SUBSTITUTE(A221,"　"," "))
  )
)</f>
        <v>ベビーリーフ（加工品）</v>
      </c>
      <c r="D221">
        <f t="shared" si="4"/>
        <v>1920</v>
      </c>
    </row>
    <row r="222" spans="1:4">
      <c r="A222" t="s">
        <v>3</v>
      </c>
      <c r="B222">
        <v>660</v>
      </c>
      <c r="C222" t="str" cm="1">
        <f t="array" ref="C222">IF(
  AND(ISNUMBER(SEARCH("加工品",SUBSTITUTE(A222,"　"," "))), ISNUMBER(SEARCH("ベビーリーフ",SUBSTITUTE(A222,"　"," ")))),
  "ベビーリーフ（加工品）",
  IFERROR(
    INDEX($I$2:$I$10, MATCH(TRUE, ISNUMBER(SEARCH($H$2:$H$10, SUBSTITUTE(A222,"　"," "))), 0)),
    TRIM(SUBSTITUTE(A222,"　"," "))
  )
)</f>
        <v>ベビーリーフ（加工品）</v>
      </c>
      <c r="D222">
        <f t="shared" si="4"/>
        <v>660</v>
      </c>
    </row>
    <row r="223" spans="1:4">
      <c r="A223" t="s">
        <v>4</v>
      </c>
      <c r="B223">
        <v>460</v>
      </c>
      <c r="C223" t="str" cm="1">
        <f t="array" ref="C223">IF(
  AND(ISNUMBER(SEARCH("加工品",SUBSTITUTE(A223,"　"," "))), ISNUMBER(SEARCH("ベビーリーフ",SUBSTITUTE(A223,"　"," ")))),
  "ベビーリーフ（加工品）",
  IFERROR(
    INDEX($I$2:$I$10, MATCH(TRUE, ISNUMBER(SEARCH($H$2:$H$10, SUBSTITUTE(A223,"　"," "))), 0)),
    TRIM(SUBSTITUTE(A223,"　"," "))
  )
)</f>
        <v>ピノグリーン</v>
      </c>
      <c r="D223">
        <f t="shared" si="4"/>
        <v>460</v>
      </c>
    </row>
    <row r="224" spans="1:4">
      <c r="A224" t="s">
        <v>2</v>
      </c>
      <c r="B224">
        <v>880</v>
      </c>
      <c r="C224" t="str" cm="1">
        <f t="array" ref="C224">IF(
  AND(ISNUMBER(SEARCH("加工品",SUBSTITUTE(A224,"　"," "))), ISNUMBER(SEARCH("ベビーリーフ",SUBSTITUTE(A224,"　"," ")))),
  "ベビーリーフ（加工品）",
  IFERROR(
    INDEX($I$2:$I$10, MATCH(TRUE, ISNUMBER(SEARCH($H$2:$H$10, SUBSTITUTE(A224,"　"," "))), 0)),
    TRIM(SUBSTITUTE(A224,"　"," "))
  )
)</f>
        <v>グリーンオーク</v>
      </c>
      <c r="D224">
        <f t="shared" si="4"/>
        <v>880</v>
      </c>
    </row>
    <row r="225" spans="1:4">
      <c r="A225" t="s">
        <v>3</v>
      </c>
      <c r="B225">
        <v>260</v>
      </c>
      <c r="C225" t="str" cm="1">
        <f t="array" ref="C225">IF(
  AND(ISNUMBER(SEARCH("加工品",SUBSTITUTE(A225,"　"," "))), ISNUMBER(SEARCH("ベビーリーフ",SUBSTITUTE(A225,"　"," ")))),
  "ベビーリーフ（加工品）",
  IFERROR(
    INDEX($I$2:$I$10, MATCH(TRUE, ISNUMBER(SEARCH($H$2:$H$10, SUBSTITUTE(A225,"　"," "))), 0)),
    TRIM(SUBSTITUTE(A225,"　"," "))
  )
)</f>
        <v>ベビーリーフ（加工品）</v>
      </c>
      <c r="D225">
        <f t="shared" si="4"/>
        <v>260</v>
      </c>
    </row>
    <row r="226" spans="1:4">
      <c r="A226" t="s">
        <v>9</v>
      </c>
      <c r="B226" s="1">
        <v>1400</v>
      </c>
      <c r="C226" t="str" cm="1">
        <f t="array" ref="C226">IF(
  AND(ISNUMBER(SEARCH("加工品",SUBSTITUTE(A226,"　"," "))), ISNUMBER(SEARCH("ベビーリーフ",SUBSTITUTE(A226,"　"," ")))),
  "ベビーリーフ（加工品）",
  IFERROR(
    INDEX($I$2:$I$10, MATCH(TRUE, ISNUMBER(SEARCH($H$2:$H$10, SUBSTITUTE(A226,"　"," "))), 0)),
    TRIM(SUBSTITUTE(A226,"　"," "))
  )
)</f>
        <v>ロロロッサ</v>
      </c>
      <c r="D226">
        <f t="shared" si="4"/>
        <v>1400</v>
      </c>
    </row>
    <row r="227" spans="1:4">
      <c r="A227" t="s">
        <v>4</v>
      </c>
      <c r="B227">
        <v>900</v>
      </c>
      <c r="C227" t="str" cm="1">
        <f t="array" ref="C227">IF(
  AND(ISNUMBER(SEARCH("加工品",SUBSTITUTE(A227,"　"," "))), ISNUMBER(SEARCH("ベビーリーフ",SUBSTITUTE(A227,"　"," ")))),
  "ベビーリーフ（加工品）",
  IFERROR(
    INDEX($I$2:$I$10, MATCH(TRUE, ISNUMBER(SEARCH($H$2:$H$10, SUBSTITUTE(A227,"　"," "))), 0)),
    TRIM(SUBSTITUTE(A227,"　"," "))
  )
)</f>
        <v>ピノグリーン</v>
      </c>
      <c r="D227">
        <f t="shared" si="4"/>
        <v>900</v>
      </c>
    </row>
    <row r="228" spans="1:4">
      <c r="A228" t="s">
        <v>2</v>
      </c>
      <c r="B228" s="1">
        <v>1260</v>
      </c>
      <c r="C228" t="str" cm="1">
        <f t="array" ref="C228">IF(
  AND(ISNUMBER(SEARCH("加工品",SUBSTITUTE(A228,"　"," "))), ISNUMBER(SEARCH("ベビーリーフ",SUBSTITUTE(A228,"　"," ")))),
  "ベビーリーフ（加工品）",
  IFERROR(
    INDEX($I$2:$I$10, MATCH(TRUE, ISNUMBER(SEARCH($H$2:$H$10, SUBSTITUTE(A228,"　"," "))), 0)),
    TRIM(SUBSTITUTE(A228,"　"," "))
  )
)</f>
        <v>グリーンオーク</v>
      </c>
      <c r="D228">
        <f t="shared" si="4"/>
        <v>1260</v>
      </c>
    </row>
    <row r="229" spans="1:4">
      <c r="A229" t="s">
        <v>4</v>
      </c>
      <c r="B229">
        <v>220</v>
      </c>
      <c r="C229" t="str" cm="1">
        <f t="array" ref="C229">IF(
  AND(ISNUMBER(SEARCH("加工品",SUBSTITUTE(A229,"　"," "))), ISNUMBER(SEARCH("ベビーリーフ",SUBSTITUTE(A229,"　"," ")))),
  "ベビーリーフ（加工品）",
  IFERROR(
    INDEX($I$2:$I$10, MATCH(TRUE, ISNUMBER(SEARCH($H$2:$H$10, SUBSTITUTE(A229,"　"," "))), 0)),
    TRIM(SUBSTITUTE(A229,"　"," "))
  )
)</f>
        <v>ピノグリーン</v>
      </c>
      <c r="D229">
        <f t="shared" si="4"/>
        <v>220</v>
      </c>
    </row>
    <row r="230" spans="1:4">
      <c r="A230" t="s">
        <v>3</v>
      </c>
      <c r="B230">
        <v>720</v>
      </c>
      <c r="C230" t="str" cm="1">
        <f t="array" ref="C230">IF(
  AND(ISNUMBER(SEARCH("加工品",SUBSTITUTE(A230,"　"," "))), ISNUMBER(SEARCH("ベビーリーフ",SUBSTITUTE(A230,"　"," ")))),
  "ベビーリーフ（加工品）",
  IFERROR(
    INDEX($I$2:$I$10, MATCH(TRUE, ISNUMBER(SEARCH($H$2:$H$10, SUBSTITUTE(A230,"　"," "))), 0)),
    TRIM(SUBSTITUTE(A230,"　"," "))
  )
)</f>
        <v>ベビーリーフ（加工品）</v>
      </c>
      <c r="D230">
        <f t="shared" si="4"/>
        <v>720</v>
      </c>
    </row>
    <row r="231" spans="1:4">
      <c r="A231" t="s">
        <v>2</v>
      </c>
      <c r="B231">
        <v>660</v>
      </c>
      <c r="C231" t="str" cm="1">
        <f t="array" ref="C231">IF(
  AND(ISNUMBER(SEARCH("加工品",SUBSTITUTE(A231,"　"," "))), ISNUMBER(SEARCH("ベビーリーフ",SUBSTITUTE(A231,"　"," ")))),
  "ベビーリーフ（加工品）",
  IFERROR(
    INDEX($I$2:$I$10, MATCH(TRUE, ISNUMBER(SEARCH($H$2:$H$10, SUBSTITUTE(A231,"　"," "))), 0)),
    TRIM(SUBSTITUTE(A231,"　"," "))
  )
)</f>
        <v>グリーンオーク</v>
      </c>
      <c r="D231">
        <f t="shared" si="4"/>
        <v>660</v>
      </c>
    </row>
    <row r="232" spans="1:4">
      <c r="A232" t="s">
        <v>3</v>
      </c>
      <c r="B232">
        <v>300</v>
      </c>
      <c r="C232" t="str" cm="1">
        <f t="array" ref="C232">IF(
  AND(ISNUMBER(SEARCH("加工品",SUBSTITUTE(A232,"　"," "))), ISNUMBER(SEARCH("ベビーリーフ",SUBSTITUTE(A232,"　"," ")))),
  "ベビーリーフ（加工品）",
  IFERROR(
    INDEX($I$2:$I$10, MATCH(TRUE, ISNUMBER(SEARCH($H$2:$H$10, SUBSTITUTE(A232,"　"," "))), 0)),
    TRIM(SUBSTITUTE(A232,"　"," "))
  )
)</f>
        <v>ベビーリーフ（加工品）</v>
      </c>
      <c r="D232">
        <f t="shared" si="4"/>
        <v>300</v>
      </c>
    </row>
    <row r="233" spans="1:4">
      <c r="A233" t="s">
        <v>2</v>
      </c>
      <c r="B233">
        <v>460</v>
      </c>
      <c r="C233" t="str" cm="1">
        <f t="array" ref="C233">IF(
  AND(ISNUMBER(SEARCH("加工品",SUBSTITUTE(A233,"　"," "))), ISNUMBER(SEARCH("ベビーリーフ",SUBSTITUTE(A233,"　"," ")))),
  "ベビーリーフ（加工品）",
  IFERROR(
    INDEX($I$2:$I$10, MATCH(TRUE, ISNUMBER(SEARCH($H$2:$H$10, SUBSTITUTE(A233,"　"," "))), 0)),
    TRIM(SUBSTITUTE(A233,"　"," "))
  )
)</f>
        <v>グリーンオーク</v>
      </c>
      <c r="D233">
        <f t="shared" si="4"/>
        <v>460</v>
      </c>
    </row>
    <row r="234" spans="1:4">
      <c r="A234" t="s">
        <v>3</v>
      </c>
      <c r="B234" s="1">
        <v>1030</v>
      </c>
      <c r="C234" t="str" cm="1">
        <f t="array" ref="C234">IF(
  AND(ISNUMBER(SEARCH("加工品",SUBSTITUTE(A234,"　"," "))), ISNUMBER(SEARCH("ベビーリーフ",SUBSTITUTE(A234,"　"," ")))),
  "ベビーリーフ（加工品）",
  IFERROR(
    INDEX($I$2:$I$10, MATCH(TRUE, ISNUMBER(SEARCH($H$2:$H$10, SUBSTITUTE(A234,"　"," "))), 0)),
    TRIM(SUBSTITUTE(A234,"　"," "))
  )
)</f>
        <v>ベビーリーフ（加工品）</v>
      </c>
      <c r="D234">
        <f t="shared" si="4"/>
        <v>1030</v>
      </c>
    </row>
    <row r="235" spans="1:4">
      <c r="A235" t="s">
        <v>4</v>
      </c>
      <c r="B235">
        <v>280</v>
      </c>
      <c r="C235" t="str" cm="1">
        <f t="array" ref="C235">IF(
  AND(ISNUMBER(SEARCH("加工品",SUBSTITUTE(A235,"　"," "))), ISNUMBER(SEARCH("ベビーリーフ",SUBSTITUTE(A235,"　"," ")))),
  "ベビーリーフ（加工品）",
  IFERROR(
    INDEX($I$2:$I$10, MATCH(TRUE, ISNUMBER(SEARCH($H$2:$H$10, SUBSTITUTE(A235,"　"," "))), 0)),
    TRIM(SUBSTITUTE(A235,"　"," "))
  )
)</f>
        <v>ピノグリーン</v>
      </c>
      <c r="D235">
        <f t="shared" si="4"/>
        <v>280</v>
      </c>
    </row>
    <row r="236" spans="1:4">
      <c r="A236" t="s">
        <v>3</v>
      </c>
      <c r="B236" s="1">
        <v>2070</v>
      </c>
      <c r="C236" t="str" cm="1">
        <f t="array" ref="C236">IF(
  AND(ISNUMBER(SEARCH("加工品",SUBSTITUTE(A236,"　"," "))), ISNUMBER(SEARCH("ベビーリーフ",SUBSTITUTE(A236,"　"," ")))),
  "ベビーリーフ（加工品）",
  IFERROR(
    INDEX($I$2:$I$10, MATCH(TRUE, ISNUMBER(SEARCH($H$2:$H$10, SUBSTITUTE(A236,"　"," "))), 0)),
    TRIM(SUBSTITUTE(A236,"　"," "))
  )
)</f>
        <v>ベビーリーフ（加工品）</v>
      </c>
      <c r="D236">
        <f t="shared" si="4"/>
        <v>2070</v>
      </c>
    </row>
    <row r="237" spans="1:4">
      <c r="A237" t="s">
        <v>4</v>
      </c>
      <c r="B237">
        <v>280</v>
      </c>
      <c r="C237" t="str" cm="1">
        <f t="array" ref="C237">IF(
  AND(ISNUMBER(SEARCH("加工品",SUBSTITUTE(A237,"　"," "))), ISNUMBER(SEARCH("ベビーリーフ",SUBSTITUTE(A237,"　"," ")))),
  "ベビーリーフ（加工品）",
  IFERROR(
    INDEX($I$2:$I$10, MATCH(TRUE, ISNUMBER(SEARCH($H$2:$H$10, SUBSTITUTE(A237,"　"," "))), 0)),
    TRIM(SUBSTITUTE(A237,"　"," "))
  )
)</f>
        <v>ピノグリーン</v>
      </c>
      <c r="D237">
        <f t="shared" si="4"/>
        <v>280</v>
      </c>
    </row>
    <row r="238" spans="1:4">
      <c r="A238" t="s">
        <v>2</v>
      </c>
      <c r="B238" s="1">
        <v>1350</v>
      </c>
      <c r="C238" t="str" cm="1">
        <f t="array" ref="C238">IF(
  AND(ISNUMBER(SEARCH("加工品",SUBSTITUTE(A238,"　"," "))), ISNUMBER(SEARCH("ベビーリーフ",SUBSTITUTE(A238,"　"," ")))),
  "ベビーリーフ（加工品）",
  IFERROR(
    INDEX($I$2:$I$10, MATCH(TRUE, ISNUMBER(SEARCH($H$2:$H$10, SUBSTITUTE(A238,"　"," "))), 0)),
    TRIM(SUBSTITUTE(A238,"　"," "))
  )
)</f>
        <v>グリーンオーク</v>
      </c>
      <c r="D238">
        <f t="shared" si="4"/>
        <v>1350</v>
      </c>
    </row>
    <row r="239" spans="1:4">
      <c r="A239" t="s">
        <v>2</v>
      </c>
      <c r="B239">
        <v>380</v>
      </c>
      <c r="C239" t="str" cm="1">
        <f t="array" ref="C239">IF(
  AND(ISNUMBER(SEARCH("加工品",SUBSTITUTE(A239,"　"," "))), ISNUMBER(SEARCH("ベビーリーフ",SUBSTITUTE(A239,"　"," ")))),
  "ベビーリーフ（加工品）",
  IFERROR(
    INDEX($I$2:$I$10, MATCH(TRUE, ISNUMBER(SEARCH($H$2:$H$10, SUBSTITUTE(A239,"　"," "))), 0)),
    TRIM(SUBSTITUTE(A239,"　"," "))
  )
)</f>
        <v>グリーンオーク</v>
      </c>
      <c r="D239">
        <f t="shared" si="4"/>
        <v>380</v>
      </c>
    </row>
    <row r="240" spans="1:4">
      <c r="A240" t="s">
        <v>3</v>
      </c>
      <c r="B240">
        <v>250</v>
      </c>
      <c r="C240" t="str" cm="1">
        <f t="array" ref="C240">IF(
  AND(ISNUMBER(SEARCH("加工品",SUBSTITUTE(A240,"　"," "))), ISNUMBER(SEARCH("ベビーリーフ",SUBSTITUTE(A240,"　"," ")))),
  "ベビーリーフ（加工品）",
  IFERROR(
    INDEX($I$2:$I$10, MATCH(TRUE, ISNUMBER(SEARCH($H$2:$H$10, SUBSTITUTE(A240,"　"," "))), 0)),
    TRIM(SUBSTITUTE(A240,"　"," "))
  )
)</f>
        <v>ベビーリーフ（加工品）</v>
      </c>
      <c r="D240">
        <f t="shared" si="4"/>
        <v>250</v>
      </c>
    </row>
    <row r="241" spans="1:4">
      <c r="A241" t="s">
        <v>4</v>
      </c>
      <c r="B241">
        <v>140</v>
      </c>
      <c r="C241" t="str" cm="1">
        <f t="array" ref="C241">IF(
  AND(ISNUMBER(SEARCH("加工品",SUBSTITUTE(A241,"　"," "))), ISNUMBER(SEARCH("ベビーリーフ",SUBSTITUTE(A241,"　"," ")))),
  "ベビーリーフ（加工品）",
  IFERROR(
    INDEX($I$2:$I$10, MATCH(TRUE, ISNUMBER(SEARCH($H$2:$H$10, SUBSTITUTE(A241,"　"," "))), 0)),
    TRIM(SUBSTITUTE(A241,"　"," "))
  )
)</f>
        <v>ピノグリーン</v>
      </c>
      <c r="D241">
        <f t="shared" si="4"/>
        <v>140</v>
      </c>
    </row>
    <row r="242" spans="1:4">
      <c r="A242" t="s">
        <v>2</v>
      </c>
      <c r="B242">
        <v>360</v>
      </c>
      <c r="C242" t="str" cm="1">
        <f t="array" ref="C242">IF(
  AND(ISNUMBER(SEARCH("加工品",SUBSTITUTE(A242,"　"," "))), ISNUMBER(SEARCH("ベビーリーフ",SUBSTITUTE(A242,"　"," ")))),
  "ベビーリーフ（加工品）",
  IFERROR(
    INDEX($I$2:$I$10, MATCH(TRUE, ISNUMBER(SEARCH($H$2:$H$10, SUBSTITUTE(A242,"　"," "))), 0)),
    TRIM(SUBSTITUTE(A242,"　"," "))
  )
)</f>
        <v>グリーンオーク</v>
      </c>
      <c r="D242">
        <f t="shared" si="4"/>
        <v>360</v>
      </c>
    </row>
    <row r="243" spans="1:4">
      <c r="A243" t="s">
        <v>3</v>
      </c>
      <c r="B243" s="1">
        <v>1740</v>
      </c>
      <c r="C243" t="str" cm="1">
        <f t="array" ref="C243">IF(
  AND(ISNUMBER(SEARCH("加工品",SUBSTITUTE(A243,"　"," "))), ISNUMBER(SEARCH("ベビーリーフ",SUBSTITUTE(A243,"　"," ")))),
  "ベビーリーフ（加工品）",
  IFERROR(
    INDEX($I$2:$I$10, MATCH(TRUE, ISNUMBER(SEARCH($H$2:$H$10, SUBSTITUTE(A243,"　"," "))), 0)),
    TRIM(SUBSTITUTE(A243,"　"," "))
  )
)</f>
        <v>ベビーリーフ（加工品）</v>
      </c>
      <c r="D243">
        <f t="shared" si="4"/>
        <v>1740</v>
      </c>
    </row>
    <row r="244" spans="1:4">
      <c r="A244" t="s">
        <v>4</v>
      </c>
      <c r="B244">
        <v>660</v>
      </c>
      <c r="C244" t="str" cm="1">
        <f t="array" ref="C244">IF(
  AND(ISNUMBER(SEARCH("加工品",SUBSTITUTE(A244,"　"," "))), ISNUMBER(SEARCH("ベビーリーフ",SUBSTITUTE(A244,"　"," ")))),
  "ベビーリーフ（加工品）",
  IFERROR(
    INDEX($I$2:$I$10, MATCH(TRUE, ISNUMBER(SEARCH($H$2:$H$10, SUBSTITUTE(A244,"　"," "))), 0)),
    TRIM(SUBSTITUTE(A244,"　"," "))
  )
)</f>
        <v>ピノグリーン</v>
      </c>
      <c r="D244">
        <f t="shared" si="4"/>
        <v>660</v>
      </c>
    </row>
    <row r="245" spans="1:4">
      <c r="A245" t="s">
        <v>3</v>
      </c>
      <c r="B245">
        <v>450</v>
      </c>
      <c r="C245" t="str" cm="1">
        <f t="array" ref="C245">IF(
  AND(ISNUMBER(SEARCH("加工品",SUBSTITUTE(A245,"　"," "))), ISNUMBER(SEARCH("ベビーリーフ",SUBSTITUTE(A245,"　"," ")))),
  "ベビーリーフ（加工品）",
  IFERROR(
    INDEX($I$2:$I$10, MATCH(TRUE, ISNUMBER(SEARCH($H$2:$H$10, SUBSTITUTE(A245,"　"," "))), 0)),
    TRIM(SUBSTITUTE(A245,"　"," "))
  )
)</f>
        <v>ベビーリーフ（加工品）</v>
      </c>
      <c r="D245">
        <f t="shared" si="4"/>
        <v>450</v>
      </c>
    </row>
    <row r="246" spans="1:4">
      <c r="A246" t="s">
        <v>9</v>
      </c>
      <c r="B246">
        <v>420</v>
      </c>
      <c r="C246" t="str" cm="1">
        <f t="array" ref="C246">IF(
  AND(ISNUMBER(SEARCH("加工品",SUBSTITUTE(A246,"　"," "))), ISNUMBER(SEARCH("ベビーリーフ",SUBSTITUTE(A246,"　"," ")))),
  "ベビーリーフ（加工品）",
  IFERROR(
    INDEX($I$2:$I$10, MATCH(TRUE, ISNUMBER(SEARCH($H$2:$H$10, SUBSTITUTE(A246,"　"," "))), 0)),
    TRIM(SUBSTITUTE(A246,"　"," "))
  )
)</f>
        <v>ロロロッサ</v>
      </c>
      <c r="D246">
        <f t="shared" si="4"/>
        <v>420</v>
      </c>
    </row>
    <row r="247" spans="1:4">
      <c r="A247" t="s">
        <v>2</v>
      </c>
      <c r="B247">
        <v>740</v>
      </c>
      <c r="C247" t="str" cm="1">
        <f t="array" ref="C247">IF(
  AND(ISNUMBER(SEARCH("加工品",SUBSTITUTE(A247,"　"," "))), ISNUMBER(SEARCH("ベビーリーフ",SUBSTITUTE(A247,"　"," ")))),
  "ベビーリーフ（加工品）",
  IFERROR(
    INDEX($I$2:$I$10, MATCH(TRUE, ISNUMBER(SEARCH($H$2:$H$10, SUBSTITUTE(A247,"　"," "))), 0)),
    TRIM(SUBSTITUTE(A247,"　"," "))
  )
)</f>
        <v>グリーンオーク</v>
      </c>
      <c r="D247">
        <f t="shared" si="4"/>
        <v>740</v>
      </c>
    </row>
    <row r="248" spans="1:4">
      <c r="A248" t="s">
        <v>4</v>
      </c>
      <c r="B248" s="1">
        <v>1240</v>
      </c>
      <c r="C248" t="str" cm="1">
        <f t="array" ref="C248">IF(
  AND(ISNUMBER(SEARCH("加工品",SUBSTITUTE(A248,"　"," "))), ISNUMBER(SEARCH("ベビーリーフ",SUBSTITUTE(A248,"　"," ")))),
  "ベビーリーフ（加工品）",
  IFERROR(
    INDEX($I$2:$I$10, MATCH(TRUE, ISNUMBER(SEARCH($H$2:$H$10, SUBSTITUTE(A248,"　"," "))), 0)),
    TRIM(SUBSTITUTE(A248,"　"," "))
  )
)</f>
        <v>ピノグリーン</v>
      </c>
      <c r="D248">
        <f t="shared" si="4"/>
        <v>1240</v>
      </c>
    </row>
    <row r="249" spans="1:4">
      <c r="A249" t="s">
        <v>4</v>
      </c>
      <c r="B249">
        <v>160</v>
      </c>
      <c r="C249" t="str" cm="1">
        <f t="array" ref="C249">IF(
  AND(ISNUMBER(SEARCH("加工品",SUBSTITUTE(A249,"　"," "))), ISNUMBER(SEARCH("ベビーリーフ",SUBSTITUTE(A249,"　"," ")))),
  "ベビーリーフ（加工品）",
  IFERROR(
    INDEX($I$2:$I$10, MATCH(TRUE, ISNUMBER(SEARCH($H$2:$H$10, SUBSTITUTE(A249,"　"," "))), 0)),
    TRIM(SUBSTITUTE(A249,"　"," "))
  )
)</f>
        <v>ピノグリーン</v>
      </c>
      <c r="D249">
        <f t="shared" si="4"/>
        <v>160</v>
      </c>
    </row>
    <row r="250" spans="1:4">
      <c r="A250" t="s">
        <v>2</v>
      </c>
      <c r="B250">
        <v>220</v>
      </c>
      <c r="C250" t="str" cm="1">
        <f t="array" ref="C250">IF(
  AND(ISNUMBER(SEARCH("加工品",SUBSTITUTE(A250,"　"," "))), ISNUMBER(SEARCH("ベビーリーフ",SUBSTITUTE(A250,"　"," ")))),
  "ベビーリーフ（加工品）",
  IFERROR(
    INDEX($I$2:$I$10, MATCH(TRUE, ISNUMBER(SEARCH($H$2:$H$10, SUBSTITUTE(A250,"　"," "))), 0)),
    TRIM(SUBSTITUTE(A250,"　"," "))
  )
)</f>
        <v>グリーンオーク</v>
      </c>
      <c r="D250">
        <f t="shared" si="4"/>
        <v>220</v>
      </c>
    </row>
    <row r="251" spans="1:4">
      <c r="A251" t="s">
        <v>3</v>
      </c>
      <c r="B251">
        <v>970</v>
      </c>
      <c r="C251" t="str" cm="1">
        <f t="array" ref="C251">IF(
  AND(ISNUMBER(SEARCH("加工品",SUBSTITUTE(A251,"　"," "))), ISNUMBER(SEARCH("ベビーリーフ",SUBSTITUTE(A251,"　"," ")))),
  "ベビーリーフ（加工品）",
  IFERROR(
    INDEX($I$2:$I$10, MATCH(TRUE, ISNUMBER(SEARCH($H$2:$H$10, SUBSTITUTE(A251,"　"," "))), 0)),
    TRIM(SUBSTITUTE(A251,"　"," "))
  )
)</f>
        <v>ベビーリーフ（加工品）</v>
      </c>
      <c r="D251">
        <f t="shared" si="4"/>
        <v>970</v>
      </c>
    </row>
    <row r="252" spans="1:4">
      <c r="A252" t="s">
        <v>2</v>
      </c>
      <c r="B252">
        <v>650</v>
      </c>
      <c r="C252" t="str" cm="1">
        <f t="array" ref="C252">IF(
  AND(ISNUMBER(SEARCH("加工品",SUBSTITUTE(A252,"　"," "))), ISNUMBER(SEARCH("ベビーリーフ",SUBSTITUTE(A252,"　"," ")))),
  "ベビーリーフ（加工品）",
  IFERROR(
    INDEX($I$2:$I$10, MATCH(TRUE, ISNUMBER(SEARCH($H$2:$H$10, SUBSTITUTE(A252,"　"," "))), 0)),
    TRIM(SUBSTITUTE(A252,"　"," "))
  )
)</f>
        <v>グリーンオーク</v>
      </c>
      <c r="D252">
        <f t="shared" si="4"/>
        <v>650</v>
      </c>
    </row>
    <row r="253" spans="1:4">
      <c r="A253" t="s">
        <v>4</v>
      </c>
      <c r="B253">
        <v>540</v>
      </c>
      <c r="C253" t="str" cm="1">
        <f t="array" ref="C253">IF(
  AND(ISNUMBER(SEARCH("加工品",SUBSTITUTE(A253,"　"," "))), ISNUMBER(SEARCH("ベビーリーフ",SUBSTITUTE(A253,"　"," ")))),
  "ベビーリーフ（加工品）",
  IFERROR(
    INDEX($I$2:$I$10, MATCH(TRUE, ISNUMBER(SEARCH($H$2:$H$10, SUBSTITUTE(A253,"　"," "))), 0)),
    TRIM(SUBSTITUTE(A253,"　"," "))
  )
)</f>
        <v>ピノグリーン</v>
      </c>
      <c r="D253">
        <f t="shared" si="4"/>
        <v>540</v>
      </c>
    </row>
    <row r="254" spans="1:4">
      <c r="A254" t="s">
        <v>10</v>
      </c>
      <c r="B254">
        <v>150</v>
      </c>
      <c r="C254" t="str" cm="1">
        <f t="array" ref="C254">IF(
  AND(ISNUMBER(SEARCH("加工品",SUBSTITUTE(A254,"　"," "))), ISNUMBER(SEARCH("ベビーリーフ",SUBSTITUTE(A254,"　"," ")))),
  "ベビーリーフ（加工品）",
  IFERROR(
    INDEX($I$2:$I$10, MATCH(TRUE, ISNUMBER(SEARCH($H$2:$H$10, SUBSTITUTE(A254,"　"," "))), 0)),
    TRIM(SUBSTITUTE(A254,"　"," "))
  )
)</f>
        <v>イチゴ</v>
      </c>
      <c r="D254">
        <f t="shared" si="4"/>
        <v>150</v>
      </c>
    </row>
    <row r="255" spans="1:4">
      <c r="A255" t="s">
        <v>4</v>
      </c>
      <c r="B255">
        <v>160</v>
      </c>
      <c r="C255" t="str" cm="1">
        <f t="array" ref="C255">IF(
  AND(ISNUMBER(SEARCH("加工品",SUBSTITUTE(A255,"　"," "))), ISNUMBER(SEARCH("ベビーリーフ",SUBSTITUTE(A255,"　"," ")))),
  "ベビーリーフ（加工品）",
  IFERROR(
    INDEX($I$2:$I$10, MATCH(TRUE, ISNUMBER(SEARCH($H$2:$H$10, SUBSTITUTE(A255,"　"," "))), 0)),
    TRIM(SUBSTITUTE(A255,"　"," "))
  )
)</f>
        <v>ピノグリーン</v>
      </c>
      <c r="D255">
        <f t="shared" si="4"/>
        <v>160</v>
      </c>
    </row>
    <row r="256" spans="1:4">
      <c r="A256" t="s">
        <v>3</v>
      </c>
      <c r="B256" s="1">
        <v>1600</v>
      </c>
      <c r="C256" t="str" cm="1">
        <f t="array" ref="C256">IF(
  AND(ISNUMBER(SEARCH("加工品",SUBSTITUTE(A256,"　"," "))), ISNUMBER(SEARCH("ベビーリーフ",SUBSTITUTE(A256,"　"," ")))),
  "ベビーリーフ（加工品）",
  IFERROR(
    INDEX($I$2:$I$10, MATCH(TRUE, ISNUMBER(SEARCH($H$2:$H$10, SUBSTITUTE(A256,"　"," "))), 0)),
    TRIM(SUBSTITUTE(A256,"　"," "))
  )
)</f>
        <v>ベビーリーフ（加工品）</v>
      </c>
      <c r="D256">
        <f t="shared" si="4"/>
        <v>1600</v>
      </c>
    </row>
    <row r="257" spans="1:4">
      <c r="A257" t="s">
        <v>2</v>
      </c>
      <c r="B257">
        <v>550</v>
      </c>
      <c r="C257" t="str" cm="1">
        <f t="array" ref="C257">IF(
  AND(ISNUMBER(SEARCH("加工品",SUBSTITUTE(A257,"　"," "))), ISNUMBER(SEARCH("ベビーリーフ",SUBSTITUTE(A257,"　"," ")))),
  "ベビーリーフ（加工品）",
  IFERROR(
    INDEX($I$2:$I$10, MATCH(TRUE, ISNUMBER(SEARCH($H$2:$H$10, SUBSTITUTE(A257,"　"," "))), 0)),
    TRIM(SUBSTITUTE(A257,"　"," "))
  )
)</f>
        <v>グリーンオーク</v>
      </c>
      <c r="D257">
        <f t="shared" si="4"/>
        <v>550</v>
      </c>
    </row>
    <row r="258" spans="1:4">
      <c r="A258" t="s">
        <v>3</v>
      </c>
      <c r="B258">
        <v>160</v>
      </c>
      <c r="C258" t="str" cm="1">
        <f t="array" ref="C258">IF(
  AND(ISNUMBER(SEARCH("加工品",SUBSTITUTE(A258,"　"," "))), ISNUMBER(SEARCH("ベビーリーフ",SUBSTITUTE(A258,"　"," ")))),
  "ベビーリーフ（加工品）",
  IFERROR(
    INDEX($I$2:$I$10, MATCH(TRUE, ISNUMBER(SEARCH($H$2:$H$10, SUBSTITUTE(A258,"　"," "))), 0)),
    TRIM(SUBSTITUTE(A258,"　"," "))
  )
)</f>
        <v>ベビーリーフ（加工品）</v>
      </c>
      <c r="D258">
        <f t="shared" si="4"/>
        <v>160</v>
      </c>
    </row>
    <row r="259" spans="1:4">
      <c r="A259" t="s">
        <v>2</v>
      </c>
      <c r="B259">
        <v>770</v>
      </c>
      <c r="C259" t="str" cm="1">
        <f t="array" ref="C259">IF(
  AND(ISNUMBER(SEARCH("加工品",SUBSTITUTE(A259,"　"," "))), ISNUMBER(SEARCH("ベビーリーフ",SUBSTITUTE(A259,"　"," ")))),
  "ベビーリーフ（加工品）",
  IFERROR(
    INDEX($I$2:$I$10, MATCH(TRUE, ISNUMBER(SEARCH($H$2:$H$10, SUBSTITUTE(A259,"　"," "))), 0)),
    TRIM(SUBSTITUTE(A259,"　"," "))
  )
)</f>
        <v>グリーンオーク</v>
      </c>
      <c r="D259">
        <f t="shared" ref="D259:D322" si="5">--SUBSTITUTE(B259,",","")</f>
        <v>770</v>
      </c>
    </row>
    <row r="260" spans="1:4">
      <c r="A260" t="s">
        <v>4</v>
      </c>
      <c r="B260">
        <v>220</v>
      </c>
      <c r="C260" t="str" cm="1">
        <f t="array" ref="C260">IF(
  AND(ISNUMBER(SEARCH("加工品",SUBSTITUTE(A260,"　"," "))), ISNUMBER(SEARCH("ベビーリーフ",SUBSTITUTE(A260,"　"," ")))),
  "ベビーリーフ（加工品）",
  IFERROR(
    INDEX($I$2:$I$10, MATCH(TRUE, ISNUMBER(SEARCH($H$2:$H$10, SUBSTITUTE(A260,"　"," "))), 0)),
    TRIM(SUBSTITUTE(A260,"　"," "))
  )
)</f>
        <v>ピノグリーン</v>
      </c>
      <c r="D260">
        <f t="shared" si="5"/>
        <v>220</v>
      </c>
    </row>
    <row r="261" spans="1:4">
      <c r="A261" t="s">
        <v>3</v>
      </c>
      <c r="B261">
        <v>680</v>
      </c>
      <c r="C261" t="str" cm="1">
        <f t="array" ref="C261">IF(
  AND(ISNUMBER(SEARCH("加工品",SUBSTITUTE(A261,"　"," "))), ISNUMBER(SEARCH("ベビーリーフ",SUBSTITUTE(A261,"　"," ")))),
  "ベビーリーフ（加工品）",
  IFERROR(
    INDEX($I$2:$I$10, MATCH(TRUE, ISNUMBER(SEARCH($H$2:$H$10, SUBSTITUTE(A261,"　"," "))), 0)),
    TRIM(SUBSTITUTE(A261,"　"," "))
  )
)</f>
        <v>ベビーリーフ（加工品）</v>
      </c>
      <c r="D261">
        <f t="shared" si="5"/>
        <v>680</v>
      </c>
    </row>
    <row r="262" spans="1:4">
      <c r="A262" t="s">
        <v>4</v>
      </c>
      <c r="B262">
        <v>120</v>
      </c>
      <c r="C262" t="str" cm="1">
        <f t="array" ref="C262">IF(
  AND(ISNUMBER(SEARCH("加工品",SUBSTITUTE(A262,"　"," "))), ISNUMBER(SEARCH("ベビーリーフ",SUBSTITUTE(A262,"　"," ")))),
  "ベビーリーフ（加工品）",
  IFERROR(
    INDEX($I$2:$I$10, MATCH(TRUE, ISNUMBER(SEARCH($H$2:$H$10, SUBSTITUTE(A262,"　"," "))), 0)),
    TRIM(SUBSTITUTE(A262,"　"," "))
  )
)</f>
        <v>ピノグリーン</v>
      </c>
      <c r="D262">
        <f t="shared" si="5"/>
        <v>120</v>
      </c>
    </row>
    <row r="263" spans="1:4">
      <c r="A263" t="s">
        <v>3</v>
      </c>
      <c r="B263" s="1">
        <v>2050</v>
      </c>
      <c r="C263" t="str" cm="1">
        <f t="array" ref="C263">IF(
  AND(ISNUMBER(SEARCH("加工品",SUBSTITUTE(A263,"　"," "))), ISNUMBER(SEARCH("ベビーリーフ",SUBSTITUTE(A263,"　"," ")))),
  "ベビーリーフ（加工品）",
  IFERROR(
    INDEX($I$2:$I$10, MATCH(TRUE, ISNUMBER(SEARCH($H$2:$H$10, SUBSTITUTE(A263,"　"," "))), 0)),
    TRIM(SUBSTITUTE(A263,"　"," "))
  )
)</f>
        <v>ベビーリーフ（加工品）</v>
      </c>
      <c r="D263">
        <f t="shared" si="5"/>
        <v>2050</v>
      </c>
    </row>
    <row r="264" spans="1:4">
      <c r="A264" t="s">
        <v>2</v>
      </c>
      <c r="B264" s="1">
        <v>1310</v>
      </c>
      <c r="C264" t="str" cm="1">
        <f t="array" ref="C264">IF(
  AND(ISNUMBER(SEARCH("加工品",SUBSTITUTE(A264,"　"," "))), ISNUMBER(SEARCH("ベビーリーフ",SUBSTITUTE(A264,"　"," ")))),
  "ベビーリーフ（加工品）",
  IFERROR(
    INDEX($I$2:$I$10, MATCH(TRUE, ISNUMBER(SEARCH($H$2:$H$10, SUBSTITUTE(A264,"　"," "))), 0)),
    TRIM(SUBSTITUTE(A264,"　"," "))
  )
)</f>
        <v>グリーンオーク</v>
      </c>
      <c r="D264">
        <f t="shared" si="5"/>
        <v>1310</v>
      </c>
    </row>
    <row r="265" spans="1:4">
      <c r="A265" t="s">
        <v>10</v>
      </c>
      <c r="B265">
        <v>60</v>
      </c>
      <c r="C265" t="str" cm="1">
        <f t="array" ref="C265">IF(
  AND(ISNUMBER(SEARCH("加工品",SUBSTITUTE(A265,"　"," "))), ISNUMBER(SEARCH("ベビーリーフ",SUBSTITUTE(A265,"　"," ")))),
  "ベビーリーフ（加工品）",
  IFERROR(
    INDEX($I$2:$I$10, MATCH(TRUE, ISNUMBER(SEARCH($H$2:$H$10, SUBSTITUTE(A265,"　"," "))), 0)),
    TRIM(SUBSTITUTE(A265,"　"," "))
  )
)</f>
        <v>イチゴ</v>
      </c>
      <c r="D265">
        <f t="shared" si="5"/>
        <v>60</v>
      </c>
    </row>
    <row r="266" spans="1:4">
      <c r="A266" t="s">
        <v>8</v>
      </c>
      <c r="B266">
        <v>100</v>
      </c>
      <c r="C266" t="str" cm="1">
        <f t="array" ref="C266">IF(
  AND(ISNUMBER(SEARCH("加工品",SUBSTITUTE(A266,"　"," "))), ISNUMBER(SEARCH("ベビーリーフ",SUBSTITUTE(A266,"　"," ")))),
  "ベビーリーフ（加工品）",
  IFERROR(
    INDEX($I$2:$I$10, MATCH(TRUE, ISNUMBER(SEARCH($H$2:$H$10, SUBSTITUTE(A266,"　"," "))), 0)),
    TRIM(SUBSTITUTE(A266,"　"," "))
  )
)</f>
        <v>イチゴ</v>
      </c>
      <c r="D266">
        <f t="shared" si="5"/>
        <v>100</v>
      </c>
    </row>
    <row r="267" spans="1:4">
      <c r="A267" t="s">
        <v>4</v>
      </c>
      <c r="B267">
        <v>120</v>
      </c>
      <c r="C267" t="str" cm="1">
        <f t="array" ref="C267">IF(
  AND(ISNUMBER(SEARCH("加工品",SUBSTITUTE(A267,"　"," "))), ISNUMBER(SEARCH("ベビーリーフ",SUBSTITUTE(A267,"　"," ")))),
  "ベビーリーフ（加工品）",
  IFERROR(
    INDEX($I$2:$I$10, MATCH(TRUE, ISNUMBER(SEARCH($H$2:$H$10, SUBSTITUTE(A267,"　"," "))), 0)),
    TRIM(SUBSTITUTE(A267,"　"," "))
  )
)</f>
        <v>ピノグリーン</v>
      </c>
      <c r="D267">
        <f t="shared" si="5"/>
        <v>120</v>
      </c>
    </row>
    <row r="268" spans="1:4">
      <c r="A268" t="s">
        <v>4</v>
      </c>
      <c r="B268">
        <v>140</v>
      </c>
      <c r="C268" t="str" cm="1">
        <f t="array" ref="C268">IF(
  AND(ISNUMBER(SEARCH("加工品",SUBSTITUTE(A268,"　"," "))), ISNUMBER(SEARCH("ベビーリーフ",SUBSTITUTE(A268,"　"," ")))),
  "ベビーリーフ（加工品）",
  IFERROR(
    INDEX($I$2:$I$10, MATCH(TRUE, ISNUMBER(SEARCH($H$2:$H$10, SUBSTITUTE(A268,"　"," "))), 0)),
    TRIM(SUBSTITUTE(A268,"　"," "))
  )
)</f>
        <v>ピノグリーン</v>
      </c>
      <c r="D268">
        <f t="shared" si="5"/>
        <v>140</v>
      </c>
    </row>
    <row r="269" spans="1:4">
      <c r="A269" t="s">
        <v>9</v>
      </c>
      <c r="B269">
        <v>800</v>
      </c>
      <c r="C269" t="str" cm="1">
        <f t="array" ref="C269">IF(
  AND(ISNUMBER(SEARCH("加工品",SUBSTITUTE(A269,"　"," "))), ISNUMBER(SEARCH("ベビーリーフ",SUBSTITUTE(A269,"　"," ")))),
  "ベビーリーフ（加工品）",
  IFERROR(
    INDEX($I$2:$I$10, MATCH(TRUE, ISNUMBER(SEARCH($H$2:$H$10, SUBSTITUTE(A269,"　"," "))), 0)),
    TRIM(SUBSTITUTE(A269,"　"," "))
  )
)</f>
        <v>ロロロッサ</v>
      </c>
      <c r="D269">
        <f t="shared" si="5"/>
        <v>800</v>
      </c>
    </row>
    <row r="270" spans="1:4">
      <c r="A270" t="s">
        <v>3</v>
      </c>
      <c r="B270">
        <v>650</v>
      </c>
      <c r="C270" t="str" cm="1">
        <f t="array" ref="C270">IF(
  AND(ISNUMBER(SEARCH("加工品",SUBSTITUTE(A270,"　"," "))), ISNUMBER(SEARCH("ベビーリーフ",SUBSTITUTE(A270,"　"," ")))),
  "ベビーリーフ（加工品）",
  IFERROR(
    INDEX($I$2:$I$10, MATCH(TRUE, ISNUMBER(SEARCH($H$2:$H$10, SUBSTITUTE(A270,"　"," "))), 0)),
    TRIM(SUBSTITUTE(A270,"　"," "))
  )
)</f>
        <v>ベビーリーフ（加工品）</v>
      </c>
      <c r="D270">
        <f t="shared" si="5"/>
        <v>650</v>
      </c>
    </row>
    <row r="271" spans="1:4">
      <c r="A271" t="s">
        <v>2</v>
      </c>
      <c r="B271">
        <v>680</v>
      </c>
      <c r="C271" t="str" cm="1">
        <f t="array" ref="C271">IF(
  AND(ISNUMBER(SEARCH("加工品",SUBSTITUTE(A271,"　"," "))), ISNUMBER(SEARCH("ベビーリーフ",SUBSTITUTE(A271,"　"," ")))),
  "ベビーリーフ（加工品）",
  IFERROR(
    INDEX($I$2:$I$10, MATCH(TRUE, ISNUMBER(SEARCH($H$2:$H$10, SUBSTITUTE(A271,"　"," "))), 0)),
    TRIM(SUBSTITUTE(A271,"　"," "))
  )
)</f>
        <v>グリーンオーク</v>
      </c>
      <c r="D271">
        <f t="shared" si="5"/>
        <v>680</v>
      </c>
    </row>
    <row r="272" spans="1:4">
      <c r="A272" t="s">
        <v>9</v>
      </c>
      <c r="B272">
        <v>280</v>
      </c>
      <c r="C272" t="str" cm="1">
        <f t="array" ref="C272">IF(
  AND(ISNUMBER(SEARCH("加工品",SUBSTITUTE(A272,"　"," "))), ISNUMBER(SEARCH("ベビーリーフ",SUBSTITUTE(A272,"　"," ")))),
  "ベビーリーフ（加工品）",
  IFERROR(
    INDEX($I$2:$I$10, MATCH(TRUE, ISNUMBER(SEARCH($H$2:$H$10, SUBSTITUTE(A272,"　"," "))), 0)),
    TRIM(SUBSTITUTE(A272,"　"," "))
  )
)</f>
        <v>ロロロッサ</v>
      </c>
      <c r="D272">
        <f t="shared" si="5"/>
        <v>280</v>
      </c>
    </row>
    <row r="273" spans="1:4">
      <c r="A273" t="s">
        <v>2</v>
      </c>
      <c r="B273">
        <v>600</v>
      </c>
      <c r="C273" t="str" cm="1">
        <f t="array" ref="C273">IF(
  AND(ISNUMBER(SEARCH("加工品",SUBSTITUTE(A273,"　"," "))), ISNUMBER(SEARCH("ベビーリーフ",SUBSTITUTE(A273,"　"," ")))),
  "ベビーリーフ（加工品）",
  IFERROR(
    INDEX($I$2:$I$10, MATCH(TRUE, ISNUMBER(SEARCH($H$2:$H$10, SUBSTITUTE(A273,"　"," "))), 0)),
    TRIM(SUBSTITUTE(A273,"　"," "))
  )
)</f>
        <v>グリーンオーク</v>
      </c>
      <c r="D273">
        <f t="shared" si="5"/>
        <v>600</v>
      </c>
    </row>
    <row r="274" spans="1:4">
      <c r="A274" t="s">
        <v>4</v>
      </c>
      <c r="B274">
        <v>140</v>
      </c>
      <c r="C274" t="str" cm="1">
        <f t="array" ref="C274">IF(
  AND(ISNUMBER(SEARCH("加工品",SUBSTITUTE(A274,"　"," "))), ISNUMBER(SEARCH("ベビーリーフ",SUBSTITUTE(A274,"　"," ")))),
  "ベビーリーフ（加工品）",
  IFERROR(
    INDEX($I$2:$I$10, MATCH(TRUE, ISNUMBER(SEARCH($H$2:$H$10, SUBSTITUTE(A274,"　"," "))), 0)),
    TRIM(SUBSTITUTE(A274,"　"," "))
  )
)</f>
        <v>ピノグリーン</v>
      </c>
      <c r="D274">
        <f t="shared" si="5"/>
        <v>140</v>
      </c>
    </row>
    <row r="275" spans="1:4">
      <c r="A275" t="s">
        <v>3</v>
      </c>
      <c r="B275" s="1">
        <v>2580</v>
      </c>
      <c r="C275" t="str" cm="1">
        <f t="array" ref="C275">IF(
  AND(ISNUMBER(SEARCH("加工品",SUBSTITUTE(A275,"　"," "))), ISNUMBER(SEARCH("ベビーリーフ",SUBSTITUTE(A275,"　"," ")))),
  "ベビーリーフ（加工品）",
  IFERROR(
    INDEX($I$2:$I$10, MATCH(TRUE, ISNUMBER(SEARCH($H$2:$H$10, SUBSTITUTE(A275,"　"," "))), 0)),
    TRIM(SUBSTITUTE(A275,"　"," "))
  )
)</f>
        <v>ベビーリーフ（加工品）</v>
      </c>
      <c r="D275">
        <f t="shared" si="5"/>
        <v>2580</v>
      </c>
    </row>
    <row r="276" spans="1:4">
      <c r="A276" t="s">
        <v>9</v>
      </c>
      <c r="B276">
        <v>460</v>
      </c>
      <c r="C276" t="str" cm="1">
        <f t="array" ref="C276">IF(
  AND(ISNUMBER(SEARCH("加工品",SUBSTITUTE(A276,"　"," "))), ISNUMBER(SEARCH("ベビーリーフ",SUBSTITUTE(A276,"　"," ")))),
  "ベビーリーフ（加工品）",
  IFERROR(
    INDEX($I$2:$I$10, MATCH(TRUE, ISNUMBER(SEARCH($H$2:$H$10, SUBSTITUTE(A276,"　"," "))), 0)),
    TRIM(SUBSTITUTE(A276,"　"," "))
  )
)</f>
        <v>ロロロッサ</v>
      </c>
      <c r="D276">
        <f t="shared" si="5"/>
        <v>460</v>
      </c>
    </row>
    <row r="277" spans="1:4">
      <c r="A277" t="s">
        <v>4</v>
      </c>
      <c r="B277">
        <v>20</v>
      </c>
      <c r="C277" t="str" cm="1">
        <f t="array" ref="C277">IF(
  AND(ISNUMBER(SEARCH("加工品",SUBSTITUTE(A277,"　"," "))), ISNUMBER(SEARCH("ベビーリーフ",SUBSTITUTE(A277,"　"," ")))),
  "ベビーリーフ（加工品）",
  IFERROR(
    INDEX($I$2:$I$10, MATCH(TRUE, ISNUMBER(SEARCH($H$2:$H$10, SUBSTITUTE(A277,"　"," "))), 0)),
    TRIM(SUBSTITUTE(A277,"　"," "))
  )
)</f>
        <v>ピノグリーン</v>
      </c>
      <c r="D277">
        <f t="shared" si="5"/>
        <v>20</v>
      </c>
    </row>
    <row r="278" spans="1:4">
      <c r="A278" t="s">
        <v>8</v>
      </c>
      <c r="B278">
        <v>200</v>
      </c>
      <c r="C278" t="str" cm="1">
        <f t="array" ref="C278">IF(
  AND(ISNUMBER(SEARCH("加工品",SUBSTITUTE(A278,"　"," "))), ISNUMBER(SEARCH("ベビーリーフ",SUBSTITUTE(A278,"　"," ")))),
  "ベビーリーフ（加工品）",
  IFERROR(
    INDEX($I$2:$I$10, MATCH(TRUE, ISNUMBER(SEARCH($H$2:$H$10, SUBSTITUTE(A278,"　"," "))), 0)),
    TRIM(SUBSTITUTE(A278,"　"," "))
  )
)</f>
        <v>イチゴ</v>
      </c>
      <c r="D278">
        <f t="shared" si="5"/>
        <v>200</v>
      </c>
    </row>
    <row r="279" spans="1:4">
      <c r="A279" t="s">
        <v>11</v>
      </c>
      <c r="B279">
        <v>120</v>
      </c>
      <c r="C279" t="str" cm="1">
        <f t="array" ref="C279">IF(
  AND(ISNUMBER(SEARCH("加工品",SUBSTITUTE(A279,"　"," "))), ISNUMBER(SEARCH("ベビーリーフ",SUBSTITUTE(A279,"　"," ")))),
  "ベビーリーフ（加工品）",
  IFERROR(
    INDEX($I$2:$I$10, MATCH(TRUE, ISNUMBER(SEARCH($H$2:$H$10, SUBSTITUTE(A279,"　"," "))), 0)),
    TRIM(SUBSTITUTE(A279,"　"," "))
  )
)</f>
        <v>レッドオーク</v>
      </c>
      <c r="D279">
        <f t="shared" si="5"/>
        <v>120</v>
      </c>
    </row>
    <row r="280" spans="1:4">
      <c r="A280" t="s">
        <v>2</v>
      </c>
      <c r="B280">
        <v>890</v>
      </c>
      <c r="C280" t="str" cm="1">
        <f t="array" ref="C280">IF(
  AND(ISNUMBER(SEARCH("加工品",SUBSTITUTE(A280,"　"," "))), ISNUMBER(SEARCH("ベビーリーフ",SUBSTITUTE(A280,"　"," ")))),
  "ベビーリーフ（加工品）",
  IFERROR(
    INDEX($I$2:$I$10, MATCH(TRUE, ISNUMBER(SEARCH($H$2:$H$10, SUBSTITUTE(A280,"　"," "))), 0)),
    TRIM(SUBSTITUTE(A280,"　"," "))
  )
)</f>
        <v>グリーンオーク</v>
      </c>
      <c r="D280">
        <f t="shared" si="5"/>
        <v>890</v>
      </c>
    </row>
    <row r="281" spans="1:4">
      <c r="A281" t="s">
        <v>4</v>
      </c>
      <c r="B281">
        <v>60</v>
      </c>
      <c r="C281" t="str" cm="1">
        <f t="array" ref="C281">IF(
  AND(ISNUMBER(SEARCH("加工品",SUBSTITUTE(A281,"　"," "))), ISNUMBER(SEARCH("ベビーリーフ",SUBSTITUTE(A281,"　"," ")))),
  "ベビーリーフ（加工品）",
  IFERROR(
    INDEX($I$2:$I$10, MATCH(TRUE, ISNUMBER(SEARCH($H$2:$H$10, SUBSTITUTE(A281,"　"," "))), 0)),
    TRIM(SUBSTITUTE(A281,"　"," "))
  )
)</f>
        <v>ピノグリーン</v>
      </c>
      <c r="D281">
        <f t="shared" si="5"/>
        <v>60</v>
      </c>
    </row>
    <row r="282" spans="1:4">
      <c r="A282" t="s">
        <v>2</v>
      </c>
      <c r="B282">
        <v>520</v>
      </c>
      <c r="C282" t="str" cm="1">
        <f t="array" ref="C282">IF(
  AND(ISNUMBER(SEARCH("加工品",SUBSTITUTE(A282,"　"," "))), ISNUMBER(SEARCH("ベビーリーフ",SUBSTITUTE(A282,"　"," ")))),
  "ベビーリーフ（加工品）",
  IFERROR(
    INDEX($I$2:$I$10, MATCH(TRUE, ISNUMBER(SEARCH($H$2:$H$10, SUBSTITUTE(A282,"　"," "))), 0)),
    TRIM(SUBSTITUTE(A282,"　"," "))
  )
)</f>
        <v>グリーンオーク</v>
      </c>
      <c r="D282">
        <f t="shared" si="5"/>
        <v>520</v>
      </c>
    </row>
    <row r="283" spans="1:4">
      <c r="A283" t="s">
        <v>3</v>
      </c>
      <c r="B283">
        <v>220</v>
      </c>
      <c r="C283" t="str" cm="1">
        <f t="array" ref="C283">IF(
  AND(ISNUMBER(SEARCH("加工品",SUBSTITUTE(A283,"　"," "))), ISNUMBER(SEARCH("ベビーリーフ",SUBSTITUTE(A283,"　"," ")))),
  "ベビーリーフ（加工品）",
  IFERROR(
    INDEX($I$2:$I$10, MATCH(TRUE, ISNUMBER(SEARCH($H$2:$H$10, SUBSTITUTE(A283,"　"," "))), 0)),
    TRIM(SUBSTITUTE(A283,"　"," "))
  )
)</f>
        <v>ベビーリーフ（加工品）</v>
      </c>
      <c r="D283">
        <f t="shared" si="5"/>
        <v>220</v>
      </c>
    </row>
    <row r="284" spans="1:4">
      <c r="A284" t="s">
        <v>9</v>
      </c>
      <c r="B284">
        <v>480</v>
      </c>
      <c r="C284" t="str" cm="1">
        <f t="array" ref="C284">IF(
  AND(ISNUMBER(SEARCH("加工品",SUBSTITUTE(A284,"　"," "))), ISNUMBER(SEARCH("ベビーリーフ",SUBSTITUTE(A284,"　"," ")))),
  "ベビーリーフ（加工品）",
  IFERROR(
    INDEX($I$2:$I$10, MATCH(TRUE, ISNUMBER(SEARCH($H$2:$H$10, SUBSTITUTE(A284,"　"," "))), 0)),
    TRIM(SUBSTITUTE(A284,"　"," "))
  )
)</f>
        <v>ロロロッサ</v>
      </c>
      <c r="D284">
        <f t="shared" si="5"/>
        <v>480</v>
      </c>
    </row>
    <row r="285" spans="1:4">
      <c r="A285" t="s">
        <v>9</v>
      </c>
      <c r="B285">
        <v>60</v>
      </c>
      <c r="C285" t="str" cm="1">
        <f t="array" ref="C285">IF(
  AND(ISNUMBER(SEARCH("加工品",SUBSTITUTE(A285,"　"," "))), ISNUMBER(SEARCH("ベビーリーフ",SUBSTITUTE(A285,"　"," ")))),
  "ベビーリーフ（加工品）",
  IFERROR(
    INDEX($I$2:$I$10, MATCH(TRUE, ISNUMBER(SEARCH($H$2:$H$10, SUBSTITUTE(A285,"　"," "))), 0)),
    TRIM(SUBSTITUTE(A285,"　"," "))
  )
)</f>
        <v>ロロロッサ</v>
      </c>
      <c r="D285">
        <f t="shared" si="5"/>
        <v>60</v>
      </c>
    </row>
    <row r="286" spans="1:4">
      <c r="A286" t="s">
        <v>3</v>
      </c>
      <c r="B286" s="1">
        <v>1600</v>
      </c>
      <c r="C286" t="str" cm="1">
        <f t="array" ref="C286">IF(
  AND(ISNUMBER(SEARCH("加工品",SUBSTITUTE(A286,"　"," "))), ISNUMBER(SEARCH("ベビーリーフ",SUBSTITUTE(A286,"　"," ")))),
  "ベビーリーフ（加工品）",
  IFERROR(
    INDEX($I$2:$I$10, MATCH(TRUE, ISNUMBER(SEARCH($H$2:$H$10, SUBSTITUTE(A286,"　"," "))), 0)),
    TRIM(SUBSTITUTE(A286,"　"," "))
  )
)</f>
        <v>ベビーリーフ（加工品）</v>
      </c>
      <c r="D286">
        <f t="shared" si="5"/>
        <v>1600</v>
      </c>
    </row>
    <row r="287" spans="1:4">
      <c r="A287" t="s">
        <v>2</v>
      </c>
      <c r="B287">
        <v>920</v>
      </c>
      <c r="C287" t="str" cm="1">
        <f t="array" ref="C287">IF(
  AND(ISNUMBER(SEARCH("加工品",SUBSTITUTE(A287,"　"," "))), ISNUMBER(SEARCH("ベビーリーフ",SUBSTITUTE(A287,"　"," ")))),
  "ベビーリーフ（加工品）",
  IFERROR(
    INDEX($I$2:$I$10, MATCH(TRUE, ISNUMBER(SEARCH($H$2:$H$10, SUBSTITUTE(A287,"　"," "))), 0)),
    TRIM(SUBSTITUTE(A287,"　"," "))
  )
)</f>
        <v>グリーンオーク</v>
      </c>
      <c r="D287">
        <f t="shared" si="5"/>
        <v>920</v>
      </c>
    </row>
    <row r="288" spans="1:4">
      <c r="A288" t="s">
        <v>9</v>
      </c>
      <c r="B288">
        <v>260</v>
      </c>
      <c r="C288" t="str" cm="1">
        <f t="array" ref="C288">IF(
  AND(ISNUMBER(SEARCH("加工品",SUBSTITUTE(A288,"　"," "))), ISNUMBER(SEARCH("ベビーリーフ",SUBSTITUTE(A288,"　"," ")))),
  "ベビーリーフ（加工品）",
  IFERROR(
    INDEX($I$2:$I$10, MATCH(TRUE, ISNUMBER(SEARCH($H$2:$H$10, SUBSTITUTE(A288,"　"," "))), 0)),
    TRIM(SUBSTITUTE(A288,"　"," "))
  )
)</f>
        <v>ロロロッサ</v>
      </c>
      <c r="D288">
        <f t="shared" si="5"/>
        <v>260</v>
      </c>
    </row>
    <row r="289" spans="1:4">
      <c r="A289" t="s">
        <v>2</v>
      </c>
      <c r="B289">
        <v>460</v>
      </c>
      <c r="C289" t="str" cm="1">
        <f t="array" ref="C289">IF(
  AND(ISNUMBER(SEARCH("加工品",SUBSTITUTE(A289,"　"," "))), ISNUMBER(SEARCH("ベビーリーフ",SUBSTITUTE(A289,"　"," ")))),
  "ベビーリーフ（加工品）",
  IFERROR(
    INDEX($I$2:$I$10, MATCH(TRUE, ISNUMBER(SEARCH($H$2:$H$10, SUBSTITUTE(A289,"　"," "))), 0)),
    TRIM(SUBSTITUTE(A289,"　"," "))
  )
)</f>
        <v>グリーンオーク</v>
      </c>
      <c r="D289">
        <f t="shared" si="5"/>
        <v>460</v>
      </c>
    </row>
    <row r="290" spans="1:4">
      <c r="A290" t="s">
        <v>4</v>
      </c>
      <c r="B290">
        <v>120</v>
      </c>
      <c r="C290" t="str" cm="1">
        <f t="array" ref="C290">IF(
  AND(ISNUMBER(SEARCH("加工品",SUBSTITUTE(A290,"　"," "))), ISNUMBER(SEARCH("ベビーリーフ",SUBSTITUTE(A290,"　"," ")))),
  "ベビーリーフ（加工品）",
  IFERROR(
    INDEX($I$2:$I$10, MATCH(TRUE, ISNUMBER(SEARCH($H$2:$H$10, SUBSTITUTE(A290,"　"," "))), 0)),
    TRIM(SUBSTITUTE(A290,"　"," "))
  )
)</f>
        <v>ピノグリーン</v>
      </c>
      <c r="D290">
        <f t="shared" si="5"/>
        <v>120</v>
      </c>
    </row>
    <row r="291" spans="1:4">
      <c r="A291" t="s">
        <v>11</v>
      </c>
      <c r="B291">
        <v>200</v>
      </c>
      <c r="C291" t="str" cm="1">
        <f t="array" ref="C291">IF(
  AND(ISNUMBER(SEARCH("加工品",SUBSTITUTE(A291,"　"," "))), ISNUMBER(SEARCH("ベビーリーフ",SUBSTITUTE(A291,"　"," ")))),
  "ベビーリーフ（加工品）",
  IFERROR(
    INDEX($I$2:$I$10, MATCH(TRUE, ISNUMBER(SEARCH($H$2:$H$10, SUBSTITUTE(A291,"　"," "))), 0)),
    TRIM(SUBSTITUTE(A291,"　"," "))
  )
)</f>
        <v>レッドオーク</v>
      </c>
      <c r="D291">
        <f t="shared" si="5"/>
        <v>200</v>
      </c>
    </row>
    <row r="292" spans="1:4">
      <c r="A292" t="s">
        <v>3</v>
      </c>
      <c r="B292" s="1">
        <v>3380</v>
      </c>
      <c r="C292" t="str" cm="1">
        <f t="array" ref="C292">IF(
  AND(ISNUMBER(SEARCH("加工品",SUBSTITUTE(A292,"　"," "))), ISNUMBER(SEARCH("ベビーリーフ",SUBSTITUTE(A292,"　"," ")))),
  "ベビーリーフ（加工品）",
  IFERROR(
    INDEX($I$2:$I$10, MATCH(TRUE, ISNUMBER(SEARCH($H$2:$H$10, SUBSTITUTE(A292,"　"," "))), 0)),
    TRIM(SUBSTITUTE(A292,"　"," "))
  )
)</f>
        <v>ベビーリーフ（加工品）</v>
      </c>
      <c r="D292">
        <f t="shared" si="5"/>
        <v>3380</v>
      </c>
    </row>
    <row r="293" spans="1:4">
      <c r="A293" t="s">
        <v>9</v>
      </c>
      <c r="B293">
        <v>300</v>
      </c>
      <c r="C293" t="str" cm="1">
        <f t="array" ref="C293">IF(
  AND(ISNUMBER(SEARCH("加工品",SUBSTITUTE(A293,"　"," "))), ISNUMBER(SEARCH("ベビーリーフ",SUBSTITUTE(A293,"　"," ")))),
  "ベビーリーフ（加工品）",
  IFERROR(
    INDEX($I$2:$I$10, MATCH(TRUE, ISNUMBER(SEARCH($H$2:$H$10, SUBSTITUTE(A293,"　"," "))), 0)),
    TRIM(SUBSTITUTE(A293,"　"," "))
  )
)</f>
        <v>ロロロッサ</v>
      </c>
      <c r="D293">
        <f t="shared" si="5"/>
        <v>300</v>
      </c>
    </row>
    <row r="294" spans="1:4">
      <c r="A294" t="s">
        <v>3</v>
      </c>
      <c r="B294">
        <v>400</v>
      </c>
      <c r="C294" t="str" cm="1">
        <f t="array" ref="C294">IF(
  AND(ISNUMBER(SEARCH("加工品",SUBSTITUTE(A294,"　"," "))), ISNUMBER(SEARCH("ベビーリーフ",SUBSTITUTE(A294,"　"," ")))),
  "ベビーリーフ（加工品）",
  IFERROR(
    INDEX($I$2:$I$10, MATCH(TRUE, ISNUMBER(SEARCH($H$2:$H$10, SUBSTITUTE(A294,"　"," "))), 0)),
    TRIM(SUBSTITUTE(A294,"　"," "))
  )
)</f>
        <v>ベビーリーフ（加工品）</v>
      </c>
      <c r="D294">
        <f t="shared" si="5"/>
        <v>400</v>
      </c>
    </row>
    <row r="295" spans="1:4">
      <c r="A295" t="s">
        <v>9</v>
      </c>
      <c r="B295">
        <v>260</v>
      </c>
      <c r="C295" t="str" cm="1">
        <f t="array" ref="C295">IF(
  AND(ISNUMBER(SEARCH("加工品",SUBSTITUTE(A295,"　"," "))), ISNUMBER(SEARCH("ベビーリーフ",SUBSTITUTE(A295,"　"," ")))),
  "ベビーリーフ（加工品）",
  IFERROR(
    INDEX($I$2:$I$10, MATCH(TRUE, ISNUMBER(SEARCH($H$2:$H$10, SUBSTITUTE(A295,"　"," "))), 0)),
    TRIM(SUBSTITUTE(A295,"　"," "))
  )
)</f>
        <v>ロロロッサ</v>
      </c>
      <c r="D295">
        <f t="shared" si="5"/>
        <v>260</v>
      </c>
    </row>
    <row r="296" spans="1:4">
      <c r="A296" t="s">
        <v>2</v>
      </c>
      <c r="B296">
        <v>720</v>
      </c>
      <c r="C296" t="str" cm="1">
        <f t="array" ref="C296">IF(
  AND(ISNUMBER(SEARCH("加工品",SUBSTITUTE(A296,"　"," "))), ISNUMBER(SEARCH("ベビーリーフ",SUBSTITUTE(A296,"　"," ")))),
  "ベビーリーフ（加工品）",
  IFERROR(
    INDEX($I$2:$I$10, MATCH(TRUE, ISNUMBER(SEARCH($H$2:$H$10, SUBSTITUTE(A296,"　"," "))), 0)),
    TRIM(SUBSTITUTE(A296,"　"," "))
  )
)</f>
        <v>グリーンオーク</v>
      </c>
      <c r="D296">
        <f t="shared" si="5"/>
        <v>720</v>
      </c>
    </row>
    <row r="297" spans="1:4">
      <c r="A297" t="s">
        <v>4</v>
      </c>
      <c r="B297">
        <v>460</v>
      </c>
      <c r="C297" t="str" cm="1">
        <f t="array" ref="C297">IF(
  AND(ISNUMBER(SEARCH("加工品",SUBSTITUTE(A297,"　"," "))), ISNUMBER(SEARCH("ベビーリーフ",SUBSTITUTE(A297,"　"," ")))),
  "ベビーリーフ（加工品）",
  IFERROR(
    INDEX($I$2:$I$10, MATCH(TRUE, ISNUMBER(SEARCH($H$2:$H$10, SUBSTITUTE(A297,"　"," "))), 0)),
    TRIM(SUBSTITUTE(A297,"　"," "))
  )
)</f>
        <v>ピノグリーン</v>
      </c>
      <c r="D297">
        <f t="shared" si="5"/>
        <v>460</v>
      </c>
    </row>
    <row r="298" spans="1:4">
      <c r="A298" t="s">
        <v>11</v>
      </c>
      <c r="B298">
        <v>220</v>
      </c>
      <c r="C298" t="str" cm="1">
        <f t="array" ref="C298">IF(
  AND(ISNUMBER(SEARCH("加工品",SUBSTITUTE(A298,"　"," "))), ISNUMBER(SEARCH("ベビーリーフ",SUBSTITUTE(A298,"　"," ")))),
  "ベビーリーフ（加工品）",
  IFERROR(
    INDEX($I$2:$I$10, MATCH(TRUE, ISNUMBER(SEARCH($H$2:$H$10, SUBSTITUTE(A298,"　"," "))), 0)),
    TRIM(SUBSTITUTE(A298,"　"," "))
  )
)</f>
        <v>レッドオーク</v>
      </c>
      <c r="D298">
        <f t="shared" si="5"/>
        <v>220</v>
      </c>
    </row>
    <row r="299" spans="1:4">
      <c r="A299" t="s">
        <v>2</v>
      </c>
      <c r="B299">
        <v>480</v>
      </c>
      <c r="C299" t="str" cm="1">
        <f t="array" ref="C299">IF(
  AND(ISNUMBER(SEARCH("加工品",SUBSTITUTE(A299,"　"," "))), ISNUMBER(SEARCH("ベビーリーフ",SUBSTITUTE(A299,"　"," ")))),
  "ベビーリーフ（加工品）",
  IFERROR(
    INDEX($I$2:$I$10, MATCH(TRUE, ISNUMBER(SEARCH($H$2:$H$10, SUBSTITUTE(A299,"　"," "))), 0)),
    TRIM(SUBSTITUTE(A299,"　"," "))
  )
)</f>
        <v>グリーンオーク</v>
      </c>
      <c r="D299">
        <f t="shared" si="5"/>
        <v>480</v>
      </c>
    </row>
    <row r="300" spans="1:4">
      <c r="A300" t="s">
        <v>2</v>
      </c>
      <c r="B300">
        <v>720</v>
      </c>
      <c r="C300" t="str" cm="1">
        <f t="array" ref="C300">IF(
  AND(ISNUMBER(SEARCH("加工品",SUBSTITUTE(A300,"　"," "))), ISNUMBER(SEARCH("ベビーリーフ",SUBSTITUTE(A300,"　"," ")))),
  "ベビーリーフ（加工品）",
  IFERROR(
    INDEX($I$2:$I$10, MATCH(TRUE, ISNUMBER(SEARCH($H$2:$H$10, SUBSTITUTE(A300,"　"," "))), 0)),
    TRIM(SUBSTITUTE(A300,"　"," "))
  )
)</f>
        <v>グリーンオーク</v>
      </c>
      <c r="D300">
        <f t="shared" si="5"/>
        <v>720</v>
      </c>
    </row>
    <row r="301" spans="1:4">
      <c r="A301" t="s">
        <v>3</v>
      </c>
      <c r="B301" s="1">
        <v>2240</v>
      </c>
      <c r="C301" t="str" cm="1">
        <f t="array" ref="C301">IF(
  AND(ISNUMBER(SEARCH("加工品",SUBSTITUTE(A301,"　"," "))), ISNUMBER(SEARCH("ベビーリーフ",SUBSTITUTE(A301,"　"," ")))),
  "ベビーリーフ（加工品）",
  IFERROR(
    INDEX($I$2:$I$10, MATCH(TRUE, ISNUMBER(SEARCH($H$2:$H$10, SUBSTITUTE(A301,"　"," "))), 0)),
    TRIM(SUBSTITUTE(A301,"　"," "))
  )
)</f>
        <v>ベビーリーフ（加工品）</v>
      </c>
      <c r="D301">
        <f t="shared" si="5"/>
        <v>2240</v>
      </c>
    </row>
    <row r="302" spans="1:4">
      <c r="A302" t="s">
        <v>4</v>
      </c>
      <c r="B302">
        <v>480</v>
      </c>
      <c r="C302" t="str" cm="1">
        <f t="array" ref="C302">IF(
  AND(ISNUMBER(SEARCH("加工品",SUBSTITUTE(A302,"　"," "))), ISNUMBER(SEARCH("ベビーリーフ",SUBSTITUTE(A302,"　"," ")))),
  "ベビーリーフ（加工品）",
  IFERROR(
    INDEX($I$2:$I$10, MATCH(TRUE, ISNUMBER(SEARCH($H$2:$H$10, SUBSTITUTE(A302,"　"," "))), 0)),
    TRIM(SUBSTITUTE(A302,"　"," "))
  )
)</f>
        <v>ピノグリーン</v>
      </c>
      <c r="D302">
        <f t="shared" si="5"/>
        <v>480</v>
      </c>
    </row>
    <row r="303" spans="1:4">
      <c r="A303" t="s">
        <v>9</v>
      </c>
      <c r="B303">
        <v>340</v>
      </c>
      <c r="C303" t="str" cm="1">
        <f t="array" ref="C303">IF(
  AND(ISNUMBER(SEARCH("加工品",SUBSTITUTE(A303,"　"," "))), ISNUMBER(SEARCH("ベビーリーフ",SUBSTITUTE(A303,"　"," ")))),
  "ベビーリーフ（加工品）",
  IFERROR(
    INDEX($I$2:$I$10, MATCH(TRUE, ISNUMBER(SEARCH($H$2:$H$10, SUBSTITUTE(A303,"　"," "))), 0)),
    TRIM(SUBSTITUTE(A303,"　"," "))
  )
)</f>
        <v>ロロロッサ</v>
      </c>
      <c r="D303">
        <f t="shared" si="5"/>
        <v>340</v>
      </c>
    </row>
    <row r="304" spans="1:4">
      <c r="A304" t="s">
        <v>2</v>
      </c>
      <c r="B304">
        <v>820</v>
      </c>
      <c r="C304" t="str" cm="1">
        <f t="array" ref="C304">IF(
  AND(ISNUMBER(SEARCH("加工品",SUBSTITUTE(A304,"　"," "))), ISNUMBER(SEARCH("ベビーリーフ",SUBSTITUTE(A304,"　"," ")))),
  "ベビーリーフ（加工品）",
  IFERROR(
    INDEX($I$2:$I$10, MATCH(TRUE, ISNUMBER(SEARCH($H$2:$H$10, SUBSTITUTE(A304,"　"," "))), 0)),
    TRIM(SUBSTITUTE(A304,"　"," "))
  )
)</f>
        <v>グリーンオーク</v>
      </c>
      <c r="D304">
        <f t="shared" si="5"/>
        <v>820</v>
      </c>
    </row>
    <row r="305" spans="1:4">
      <c r="A305" t="s">
        <v>11</v>
      </c>
      <c r="B305">
        <v>460</v>
      </c>
      <c r="C305" t="str" cm="1">
        <f t="array" ref="C305">IF(
  AND(ISNUMBER(SEARCH("加工品",SUBSTITUTE(A305,"　"," "))), ISNUMBER(SEARCH("ベビーリーフ",SUBSTITUTE(A305,"　"," ")))),
  "ベビーリーフ（加工品）",
  IFERROR(
    INDEX($I$2:$I$10, MATCH(TRUE, ISNUMBER(SEARCH($H$2:$H$10, SUBSTITUTE(A305,"　"," "))), 0)),
    TRIM(SUBSTITUTE(A305,"　"," "))
  )
)</f>
        <v>レッドオーク</v>
      </c>
      <c r="D305">
        <f t="shared" si="5"/>
        <v>460</v>
      </c>
    </row>
    <row r="306" spans="1:4">
      <c r="A306" t="s">
        <v>9</v>
      </c>
      <c r="B306">
        <v>640</v>
      </c>
      <c r="C306" t="str" cm="1">
        <f t="array" ref="C306">IF(
  AND(ISNUMBER(SEARCH("加工品",SUBSTITUTE(A306,"　"," "))), ISNUMBER(SEARCH("ベビーリーフ",SUBSTITUTE(A306,"　"," ")))),
  "ベビーリーフ（加工品）",
  IFERROR(
    INDEX($I$2:$I$10, MATCH(TRUE, ISNUMBER(SEARCH($H$2:$H$10, SUBSTITUTE(A306,"　"," "))), 0)),
    TRIM(SUBSTITUTE(A306,"　"," "))
  )
)</f>
        <v>ロロロッサ</v>
      </c>
      <c r="D306">
        <f t="shared" si="5"/>
        <v>640</v>
      </c>
    </row>
    <row r="307" spans="1:4">
      <c r="A307" t="s">
        <v>2</v>
      </c>
      <c r="B307">
        <v>500</v>
      </c>
      <c r="C307" t="str" cm="1">
        <f t="array" ref="C307">IF(
  AND(ISNUMBER(SEARCH("加工品",SUBSTITUTE(A307,"　"," "))), ISNUMBER(SEARCH("ベビーリーフ",SUBSTITUTE(A307,"　"," ")))),
  "ベビーリーフ（加工品）",
  IFERROR(
    INDEX($I$2:$I$10, MATCH(TRUE, ISNUMBER(SEARCH($H$2:$H$10, SUBSTITUTE(A307,"　"," "))), 0)),
    TRIM(SUBSTITUTE(A307,"　"," "))
  )
)</f>
        <v>グリーンオーク</v>
      </c>
      <c r="D307">
        <f t="shared" si="5"/>
        <v>500</v>
      </c>
    </row>
    <row r="308" spans="1:4">
      <c r="A308" t="s">
        <v>11</v>
      </c>
      <c r="B308">
        <v>80</v>
      </c>
      <c r="C308" t="str" cm="1">
        <f t="array" ref="C308">IF(
  AND(ISNUMBER(SEARCH("加工品",SUBSTITUTE(A308,"　"," "))), ISNUMBER(SEARCH("ベビーリーフ",SUBSTITUTE(A308,"　"," ")))),
  "ベビーリーフ（加工品）",
  IFERROR(
    INDEX($I$2:$I$10, MATCH(TRUE, ISNUMBER(SEARCH($H$2:$H$10, SUBSTITUTE(A308,"　"," "))), 0)),
    TRIM(SUBSTITUTE(A308,"　"," "))
  )
)</f>
        <v>レッドオーク</v>
      </c>
      <c r="D308">
        <f t="shared" si="5"/>
        <v>80</v>
      </c>
    </row>
    <row r="309" spans="1:4">
      <c r="A309" t="s">
        <v>3</v>
      </c>
      <c r="B309" s="1">
        <v>2940</v>
      </c>
      <c r="C309" t="str" cm="1">
        <f t="array" ref="C309">IF(
  AND(ISNUMBER(SEARCH("加工品",SUBSTITUTE(A309,"　"," "))), ISNUMBER(SEARCH("ベビーリーフ",SUBSTITUTE(A309,"　"," ")))),
  "ベビーリーフ（加工品）",
  IFERROR(
    INDEX($I$2:$I$10, MATCH(TRUE, ISNUMBER(SEARCH($H$2:$H$10, SUBSTITUTE(A309,"　"," "))), 0)),
    TRIM(SUBSTITUTE(A309,"　"," "))
  )
)</f>
        <v>ベビーリーフ（加工品）</v>
      </c>
      <c r="D309">
        <f t="shared" si="5"/>
        <v>2940</v>
      </c>
    </row>
    <row r="310" spans="1:4">
      <c r="A310" t="s">
        <v>9</v>
      </c>
      <c r="B310">
        <v>200</v>
      </c>
      <c r="C310" t="str" cm="1">
        <f t="array" ref="C310">IF(
  AND(ISNUMBER(SEARCH("加工品",SUBSTITUTE(A310,"　"," "))), ISNUMBER(SEARCH("ベビーリーフ",SUBSTITUTE(A310,"　"," ")))),
  "ベビーリーフ（加工品）",
  IFERROR(
    INDEX($I$2:$I$10, MATCH(TRUE, ISNUMBER(SEARCH($H$2:$H$10, SUBSTITUTE(A310,"　"," "))), 0)),
    TRIM(SUBSTITUTE(A310,"　"," "))
  )
)</f>
        <v>ロロロッサ</v>
      </c>
      <c r="D310">
        <f t="shared" si="5"/>
        <v>200</v>
      </c>
    </row>
    <row r="311" spans="1:4">
      <c r="A311" t="s">
        <v>11</v>
      </c>
      <c r="B311">
        <v>300</v>
      </c>
      <c r="C311" t="str" cm="1">
        <f t="array" ref="C311">IF(
  AND(ISNUMBER(SEARCH("加工品",SUBSTITUTE(A311,"　"," "))), ISNUMBER(SEARCH("ベビーリーフ",SUBSTITUTE(A311,"　"," ")))),
  "ベビーリーフ（加工品）",
  IFERROR(
    INDEX($I$2:$I$10, MATCH(TRUE, ISNUMBER(SEARCH($H$2:$H$10, SUBSTITUTE(A311,"　"," "))), 0)),
    TRIM(SUBSTITUTE(A311,"　"," "))
  )
)</f>
        <v>レッドオーク</v>
      </c>
      <c r="D311">
        <f t="shared" si="5"/>
        <v>300</v>
      </c>
    </row>
    <row r="312" spans="1:4">
      <c r="A312" t="s">
        <v>9</v>
      </c>
      <c r="B312">
        <v>460</v>
      </c>
      <c r="C312" t="str" cm="1">
        <f t="array" ref="C312">IF(
  AND(ISNUMBER(SEARCH("加工品",SUBSTITUTE(A312,"　"," "))), ISNUMBER(SEARCH("ベビーリーフ",SUBSTITUTE(A312,"　"," ")))),
  "ベビーリーフ（加工品）",
  IFERROR(
    INDEX($I$2:$I$10, MATCH(TRUE, ISNUMBER(SEARCH($H$2:$H$10, SUBSTITUTE(A312,"　"," "))), 0)),
    TRIM(SUBSTITUTE(A312,"　"," "))
  )
)</f>
        <v>ロロロッサ</v>
      </c>
      <c r="D312">
        <f t="shared" si="5"/>
        <v>460</v>
      </c>
    </row>
    <row r="313" spans="1:4">
      <c r="A313" t="s">
        <v>2</v>
      </c>
      <c r="B313">
        <v>380</v>
      </c>
      <c r="C313" t="str" cm="1">
        <f t="array" ref="C313">IF(
  AND(ISNUMBER(SEARCH("加工品",SUBSTITUTE(A313,"　"," "))), ISNUMBER(SEARCH("ベビーリーフ",SUBSTITUTE(A313,"　"," ")))),
  "ベビーリーフ（加工品）",
  IFERROR(
    INDEX($I$2:$I$10, MATCH(TRUE, ISNUMBER(SEARCH($H$2:$H$10, SUBSTITUTE(A313,"　"," "))), 0)),
    TRIM(SUBSTITUTE(A313,"　"," "))
  )
)</f>
        <v>グリーンオーク</v>
      </c>
      <c r="D313">
        <f t="shared" si="5"/>
        <v>380</v>
      </c>
    </row>
    <row r="314" spans="1:4">
      <c r="A314" t="s">
        <v>3</v>
      </c>
      <c r="B314" s="1">
        <v>2420</v>
      </c>
      <c r="C314" t="str" cm="1">
        <f t="array" ref="C314">IF(
  AND(ISNUMBER(SEARCH("加工品",SUBSTITUTE(A314,"　"," "))), ISNUMBER(SEARCH("ベビーリーフ",SUBSTITUTE(A314,"　"," ")))),
  "ベビーリーフ（加工品）",
  IFERROR(
    INDEX($I$2:$I$10, MATCH(TRUE, ISNUMBER(SEARCH($H$2:$H$10, SUBSTITUTE(A314,"　"," "))), 0)),
    TRIM(SUBSTITUTE(A314,"　"," "))
  )
)</f>
        <v>ベビーリーフ（加工品）</v>
      </c>
      <c r="D314">
        <f t="shared" si="5"/>
        <v>2420</v>
      </c>
    </row>
    <row r="315" spans="1:4">
      <c r="A315" t="s">
        <v>9</v>
      </c>
      <c r="B315">
        <v>640</v>
      </c>
      <c r="C315" t="str" cm="1">
        <f t="array" ref="C315">IF(
  AND(ISNUMBER(SEARCH("加工品",SUBSTITUTE(A315,"　"," "))), ISNUMBER(SEARCH("ベビーリーフ",SUBSTITUTE(A315,"　"," ")))),
  "ベビーリーフ（加工品）",
  IFERROR(
    INDEX($I$2:$I$10, MATCH(TRUE, ISNUMBER(SEARCH($H$2:$H$10, SUBSTITUTE(A315,"　"," "))), 0)),
    TRIM(SUBSTITUTE(A315,"　"," "))
  )
)</f>
        <v>ロロロッサ</v>
      </c>
      <c r="D315">
        <f t="shared" si="5"/>
        <v>640</v>
      </c>
    </row>
    <row r="316" spans="1:4">
      <c r="A316" t="s">
        <v>3</v>
      </c>
      <c r="B316">
        <v>240</v>
      </c>
      <c r="C316" t="str" cm="1">
        <f t="array" ref="C316">IF(
  AND(ISNUMBER(SEARCH("加工品",SUBSTITUTE(A316,"　"," "))), ISNUMBER(SEARCH("ベビーリーフ",SUBSTITUTE(A316,"　"," ")))),
  "ベビーリーフ（加工品）",
  IFERROR(
    INDEX($I$2:$I$10, MATCH(TRUE, ISNUMBER(SEARCH($H$2:$H$10, SUBSTITUTE(A316,"　"," "))), 0)),
    TRIM(SUBSTITUTE(A316,"　"," "))
  )
)</f>
        <v>ベビーリーフ（加工品）</v>
      </c>
      <c r="D316">
        <f t="shared" si="5"/>
        <v>240</v>
      </c>
    </row>
    <row r="317" spans="1:4">
      <c r="A317" t="s">
        <v>2</v>
      </c>
      <c r="B317">
        <v>560</v>
      </c>
      <c r="C317" t="str" cm="1">
        <f t="array" ref="C317">IF(
  AND(ISNUMBER(SEARCH("加工品",SUBSTITUTE(A317,"　"," "))), ISNUMBER(SEARCH("ベビーリーフ",SUBSTITUTE(A317,"　"," ")))),
  "ベビーリーフ（加工品）",
  IFERROR(
    INDEX($I$2:$I$10, MATCH(TRUE, ISNUMBER(SEARCH($H$2:$H$10, SUBSTITUTE(A317,"　"," "))), 0)),
    TRIM(SUBSTITUTE(A317,"　"," "))
  )
)</f>
        <v>グリーンオーク</v>
      </c>
      <c r="D317">
        <f t="shared" si="5"/>
        <v>560</v>
      </c>
    </row>
    <row r="318" spans="1:4">
      <c r="A318" t="s">
        <v>11</v>
      </c>
      <c r="B318">
        <v>460</v>
      </c>
      <c r="C318" t="str" cm="1">
        <f t="array" ref="C318">IF(
  AND(ISNUMBER(SEARCH("加工品",SUBSTITUTE(A318,"　"," "))), ISNUMBER(SEARCH("ベビーリーフ",SUBSTITUTE(A318,"　"," ")))),
  "ベビーリーフ（加工品）",
  IFERROR(
    INDEX($I$2:$I$10, MATCH(TRUE, ISNUMBER(SEARCH($H$2:$H$10, SUBSTITUTE(A318,"　"," "))), 0)),
    TRIM(SUBSTITUTE(A318,"　"," "))
  )
)</f>
        <v>レッドオーク</v>
      </c>
      <c r="D318">
        <f t="shared" si="5"/>
        <v>460</v>
      </c>
    </row>
    <row r="319" spans="1:4">
      <c r="A319" t="s">
        <v>9</v>
      </c>
      <c r="B319">
        <v>660</v>
      </c>
      <c r="C319" t="str" cm="1">
        <f t="array" ref="C319">IF(
  AND(ISNUMBER(SEARCH("加工品",SUBSTITUTE(A319,"　"," "))), ISNUMBER(SEARCH("ベビーリーフ",SUBSTITUTE(A319,"　"," ")))),
  "ベビーリーフ（加工品）",
  IFERROR(
    INDEX($I$2:$I$10, MATCH(TRUE, ISNUMBER(SEARCH($H$2:$H$10, SUBSTITUTE(A319,"　"," "))), 0)),
    TRIM(SUBSTITUTE(A319,"　"," "))
  )
)</f>
        <v>ロロロッサ</v>
      </c>
      <c r="D319">
        <f t="shared" si="5"/>
        <v>660</v>
      </c>
    </row>
    <row r="320" spans="1:4">
      <c r="A320" t="s">
        <v>11</v>
      </c>
      <c r="B320">
        <v>580</v>
      </c>
      <c r="C320" t="str" cm="1">
        <f t="array" ref="C320">IF(
  AND(ISNUMBER(SEARCH("加工品",SUBSTITUTE(A320,"　"," "))), ISNUMBER(SEARCH("ベビーリーフ",SUBSTITUTE(A320,"　"," ")))),
  "ベビーリーフ（加工品）",
  IFERROR(
    INDEX($I$2:$I$10, MATCH(TRUE, ISNUMBER(SEARCH($H$2:$H$10, SUBSTITUTE(A320,"　"," "))), 0)),
    TRIM(SUBSTITUTE(A320,"　"," "))
  )
)</f>
        <v>レッドオーク</v>
      </c>
      <c r="D320">
        <f t="shared" si="5"/>
        <v>580</v>
      </c>
    </row>
    <row r="321" spans="1:4">
      <c r="A321" t="s">
        <v>2</v>
      </c>
      <c r="B321">
        <v>540</v>
      </c>
      <c r="C321" t="str" cm="1">
        <f t="array" ref="C321">IF(
  AND(ISNUMBER(SEARCH("加工品",SUBSTITUTE(A321,"　"," "))), ISNUMBER(SEARCH("ベビーリーフ",SUBSTITUTE(A321,"　"," ")))),
  "ベビーリーフ（加工品）",
  IFERROR(
    INDEX($I$2:$I$10, MATCH(TRUE, ISNUMBER(SEARCH($H$2:$H$10, SUBSTITUTE(A321,"　"," "))), 0)),
    TRIM(SUBSTITUTE(A321,"　"," "))
  )
)</f>
        <v>グリーンオーク</v>
      </c>
      <c r="D321">
        <f t="shared" si="5"/>
        <v>540</v>
      </c>
    </row>
    <row r="322" spans="1:4">
      <c r="A322" t="s">
        <v>9</v>
      </c>
      <c r="B322" s="1">
        <v>1040</v>
      </c>
      <c r="C322" t="str" cm="1">
        <f t="array" ref="C322">IF(
  AND(ISNUMBER(SEARCH("加工品",SUBSTITUTE(A322,"　"," "))), ISNUMBER(SEARCH("ベビーリーフ",SUBSTITUTE(A322,"　"," ")))),
  "ベビーリーフ（加工品）",
  IFERROR(
    INDEX($I$2:$I$10, MATCH(TRUE, ISNUMBER(SEARCH($H$2:$H$10, SUBSTITUTE(A322,"　"," "))), 0)),
    TRIM(SUBSTITUTE(A322,"　"," "))
  )
)</f>
        <v>ロロロッサ</v>
      </c>
      <c r="D322">
        <f t="shared" si="5"/>
        <v>1040</v>
      </c>
    </row>
    <row r="323" spans="1:4">
      <c r="A323" t="s">
        <v>11</v>
      </c>
      <c r="B323" s="1">
        <v>1080</v>
      </c>
      <c r="C323" t="str" cm="1">
        <f t="array" ref="C323">IF(
  AND(ISNUMBER(SEARCH("加工品",SUBSTITUTE(A323,"　"," "))), ISNUMBER(SEARCH("ベビーリーフ",SUBSTITUTE(A323,"　"," ")))),
  "ベビーリーフ（加工品）",
  IFERROR(
    INDEX($I$2:$I$10, MATCH(TRUE, ISNUMBER(SEARCH($H$2:$H$10, SUBSTITUTE(A323,"　"," "))), 0)),
    TRIM(SUBSTITUTE(A323,"　"," "))
  )
)</f>
        <v>レッドオーク</v>
      </c>
      <c r="D323">
        <f t="shared" ref="D323:D386" si="6">--SUBSTITUTE(B323,",","")</f>
        <v>1080</v>
      </c>
    </row>
    <row r="324" spans="1:4">
      <c r="A324" t="s">
        <v>2</v>
      </c>
      <c r="B324">
        <v>520</v>
      </c>
      <c r="C324" t="str" cm="1">
        <f t="array" ref="C324">IF(
  AND(ISNUMBER(SEARCH("加工品",SUBSTITUTE(A324,"　"," "))), ISNUMBER(SEARCH("ベビーリーフ",SUBSTITUTE(A324,"　"," ")))),
  "ベビーリーフ（加工品）",
  IFERROR(
    INDEX($I$2:$I$10, MATCH(TRUE, ISNUMBER(SEARCH($H$2:$H$10, SUBSTITUTE(A324,"　"," "))), 0)),
    TRIM(SUBSTITUTE(A324,"　"," "))
  )
)</f>
        <v>グリーンオーク</v>
      </c>
      <c r="D324">
        <f t="shared" si="6"/>
        <v>520</v>
      </c>
    </row>
    <row r="325" spans="1:4">
      <c r="A325" t="s">
        <v>9</v>
      </c>
      <c r="B325">
        <v>780</v>
      </c>
      <c r="C325" t="str" cm="1">
        <f t="array" ref="C325">IF(
  AND(ISNUMBER(SEARCH("加工品",SUBSTITUTE(A325,"　"," "))), ISNUMBER(SEARCH("ベビーリーフ",SUBSTITUTE(A325,"　"," ")))),
  "ベビーリーフ（加工品）",
  IFERROR(
    INDEX($I$2:$I$10, MATCH(TRUE, ISNUMBER(SEARCH($H$2:$H$10, SUBSTITUTE(A325,"　"," "))), 0)),
    TRIM(SUBSTITUTE(A325,"　"," "))
  )
)</f>
        <v>ロロロッサ</v>
      </c>
      <c r="D325">
        <f t="shared" si="6"/>
        <v>780</v>
      </c>
    </row>
    <row r="326" spans="1:4">
      <c r="A326" t="s">
        <v>3</v>
      </c>
      <c r="B326">
        <v>780</v>
      </c>
      <c r="C326" t="str" cm="1">
        <f t="array" ref="C326">IF(
  AND(ISNUMBER(SEARCH("加工品",SUBSTITUTE(A326,"　"," "))), ISNUMBER(SEARCH("ベビーリーフ",SUBSTITUTE(A326,"　"," ")))),
  "ベビーリーフ（加工品）",
  IFERROR(
    INDEX($I$2:$I$10, MATCH(TRUE, ISNUMBER(SEARCH($H$2:$H$10, SUBSTITUTE(A326,"　"," "))), 0)),
    TRIM(SUBSTITUTE(A326,"　"," "))
  )
)</f>
        <v>ベビーリーフ（加工品）</v>
      </c>
      <c r="D326">
        <f t="shared" si="6"/>
        <v>780</v>
      </c>
    </row>
    <row r="327" spans="1:4">
      <c r="A327" t="s">
        <v>11</v>
      </c>
      <c r="B327">
        <v>640</v>
      </c>
      <c r="C327" t="str" cm="1">
        <f t="array" ref="C327">IF(
  AND(ISNUMBER(SEARCH("加工品",SUBSTITUTE(A327,"　"," "))), ISNUMBER(SEARCH("ベビーリーフ",SUBSTITUTE(A327,"　"," ")))),
  "ベビーリーフ（加工品）",
  IFERROR(
    INDEX($I$2:$I$10, MATCH(TRUE, ISNUMBER(SEARCH($H$2:$H$10, SUBSTITUTE(A327,"　"," "))), 0)),
    TRIM(SUBSTITUTE(A327,"　"," "))
  )
)</f>
        <v>レッドオーク</v>
      </c>
      <c r="D327">
        <f t="shared" si="6"/>
        <v>640</v>
      </c>
    </row>
    <row r="328" spans="1:4">
      <c r="A328" t="s">
        <v>2</v>
      </c>
      <c r="B328">
        <v>200</v>
      </c>
      <c r="C328" t="str" cm="1">
        <f t="array" ref="C328">IF(
  AND(ISNUMBER(SEARCH("加工品",SUBSTITUTE(A328,"　"," "))), ISNUMBER(SEARCH("ベビーリーフ",SUBSTITUTE(A328,"　"," ")))),
  "ベビーリーフ（加工品）",
  IFERROR(
    INDEX($I$2:$I$10, MATCH(TRUE, ISNUMBER(SEARCH($H$2:$H$10, SUBSTITUTE(A328,"　"," "))), 0)),
    TRIM(SUBSTITUTE(A328,"　"," "))
  )
)</f>
        <v>グリーンオーク</v>
      </c>
      <c r="D328">
        <f t="shared" si="6"/>
        <v>200</v>
      </c>
    </row>
    <row r="329" spans="1:4">
      <c r="A329" t="s">
        <v>9</v>
      </c>
      <c r="B329">
        <v>620</v>
      </c>
      <c r="C329" t="str" cm="1">
        <f t="array" ref="C329">IF(
  AND(ISNUMBER(SEARCH("加工品",SUBSTITUTE(A329,"　"," "))), ISNUMBER(SEARCH("ベビーリーフ",SUBSTITUTE(A329,"　"," ")))),
  "ベビーリーフ（加工品）",
  IFERROR(
    INDEX($I$2:$I$10, MATCH(TRUE, ISNUMBER(SEARCH($H$2:$H$10, SUBSTITUTE(A329,"　"," "))), 0)),
    TRIM(SUBSTITUTE(A329,"　"," "))
  )
)</f>
        <v>ロロロッサ</v>
      </c>
      <c r="D329">
        <f t="shared" si="6"/>
        <v>620</v>
      </c>
    </row>
    <row r="330" spans="1:4">
      <c r="A330" t="s">
        <v>3</v>
      </c>
      <c r="B330">
        <v>600</v>
      </c>
      <c r="C330" t="str" cm="1">
        <f t="array" ref="C330">IF(
  AND(ISNUMBER(SEARCH("加工品",SUBSTITUTE(A330,"　"," "))), ISNUMBER(SEARCH("ベビーリーフ",SUBSTITUTE(A330,"　"," ")))),
  "ベビーリーフ（加工品）",
  IFERROR(
    INDEX($I$2:$I$10, MATCH(TRUE, ISNUMBER(SEARCH($H$2:$H$10, SUBSTITUTE(A330,"　"," "))), 0)),
    TRIM(SUBSTITUTE(A330,"　"," "))
  )
)</f>
        <v>ベビーリーフ（加工品）</v>
      </c>
      <c r="D330">
        <f t="shared" si="6"/>
        <v>600</v>
      </c>
    </row>
    <row r="331" spans="1:4">
      <c r="A331" t="s">
        <v>9</v>
      </c>
      <c r="B331">
        <v>440</v>
      </c>
      <c r="C331" t="str" cm="1">
        <f t="array" ref="C331">IF(
  AND(ISNUMBER(SEARCH("加工品",SUBSTITUTE(A331,"　"," "))), ISNUMBER(SEARCH("ベビーリーフ",SUBSTITUTE(A331,"　"," ")))),
  "ベビーリーフ（加工品）",
  IFERROR(
    INDEX($I$2:$I$10, MATCH(TRUE, ISNUMBER(SEARCH($H$2:$H$10, SUBSTITUTE(A331,"　"," "))), 0)),
    TRIM(SUBSTITUTE(A331,"　"," "))
  )
)</f>
        <v>ロロロッサ</v>
      </c>
      <c r="D331">
        <f t="shared" si="6"/>
        <v>440</v>
      </c>
    </row>
    <row r="332" spans="1:4">
      <c r="A332" t="s">
        <v>11</v>
      </c>
      <c r="B332">
        <v>400</v>
      </c>
      <c r="C332" t="str" cm="1">
        <f t="array" ref="C332">IF(
  AND(ISNUMBER(SEARCH("加工品",SUBSTITUTE(A332,"　"," "))), ISNUMBER(SEARCH("ベビーリーフ",SUBSTITUTE(A332,"　"," ")))),
  "ベビーリーフ（加工品）",
  IFERROR(
    INDEX($I$2:$I$10, MATCH(TRUE, ISNUMBER(SEARCH($H$2:$H$10, SUBSTITUTE(A332,"　"," "))), 0)),
    TRIM(SUBSTITUTE(A332,"　"," "))
  )
)</f>
        <v>レッドオーク</v>
      </c>
      <c r="D332">
        <f t="shared" si="6"/>
        <v>400</v>
      </c>
    </row>
    <row r="333" spans="1:4">
      <c r="A333" t="s">
        <v>3</v>
      </c>
      <c r="B333">
        <v>940</v>
      </c>
      <c r="C333" t="str" cm="1">
        <f t="array" ref="C333">IF(
  AND(ISNUMBER(SEARCH("加工品",SUBSTITUTE(A333,"　"," "))), ISNUMBER(SEARCH("ベビーリーフ",SUBSTITUTE(A333,"　"," ")))),
  "ベビーリーフ（加工品）",
  IFERROR(
    INDEX($I$2:$I$10, MATCH(TRUE, ISNUMBER(SEARCH($H$2:$H$10, SUBSTITUTE(A333,"　"," "))), 0)),
    TRIM(SUBSTITUTE(A333,"　"," "))
  )
)</f>
        <v>ベビーリーフ（加工品）</v>
      </c>
      <c r="D333">
        <f t="shared" si="6"/>
        <v>940</v>
      </c>
    </row>
    <row r="334" spans="1:4">
      <c r="A334" t="s">
        <v>11</v>
      </c>
      <c r="B334">
        <v>900</v>
      </c>
      <c r="C334" t="str" cm="1">
        <f t="array" ref="C334">IF(
  AND(ISNUMBER(SEARCH("加工品",SUBSTITUTE(A334,"　"," "))), ISNUMBER(SEARCH("ベビーリーフ",SUBSTITUTE(A334,"　"," ")))),
  "ベビーリーフ（加工品）",
  IFERROR(
    INDEX($I$2:$I$10, MATCH(TRUE, ISNUMBER(SEARCH($H$2:$H$10, SUBSTITUTE(A334,"　"," "))), 0)),
    TRIM(SUBSTITUTE(A334,"　"," "))
  )
)</f>
        <v>レッドオーク</v>
      </c>
      <c r="D334">
        <f t="shared" si="6"/>
        <v>900</v>
      </c>
    </row>
    <row r="335" spans="1:4">
      <c r="A335" t="s">
        <v>9</v>
      </c>
      <c r="B335">
        <v>860</v>
      </c>
      <c r="C335" t="str" cm="1">
        <f t="array" ref="C335">IF(
  AND(ISNUMBER(SEARCH("加工品",SUBSTITUTE(A335,"　"," "))), ISNUMBER(SEARCH("ベビーリーフ",SUBSTITUTE(A335,"　"," ")))),
  "ベビーリーフ（加工品）",
  IFERROR(
    INDEX($I$2:$I$10, MATCH(TRUE, ISNUMBER(SEARCH($H$2:$H$10, SUBSTITUTE(A335,"　"," "))), 0)),
    TRIM(SUBSTITUTE(A335,"　"," "))
  )
)</f>
        <v>ロロロッサ</v>
      </c>
      <c r="D335">
        <f t="shared" si="6"/>
        <v>860</v>
      </c>
    </row>
    <row r="336" spans="1:4">
      <c r="A336" t="s">
        <v>10</v>
      </c>
      <c r="B336">
        <v>366</v>
      </c>
      <c r="C336" t="str" cm="1">
        <f t="array" ref="C336">IF(
  AND(ISNUMBER(SEARCH("加工品",SUBSTITUTE(A336,"　"," "))), ISNUMBER(SEARCH("ベビーリーフ",SUBSTITUTE(A336,"　"," ")))),
  "ベビーリーフ（加工品）",
  IFERROR(
    INDEX($I$2:$I$10, MATCH(TRUE, ISNUMBER(SEARCH($H$2:$H$10, SUBSTITUTE(A336,"　"," "))), 0)),
    TRIM(SUBSTITUTE(A336,"　"," "))
  )
)</f>
        <v>イチゴ</v>
      </c>
      <c r="D336">
        <f t="shared" si="6"/>
        <v>366</v>
      </c>
    </row>
    <row r="337" spans="1:4">
      <c r="A337" t="s">
        <v>8</v>
      </c>
      <c r="B337">
        <v>167</v>
      </c>
      <c r="C337" t="str" cm="1">
        <f t="array" ref="C337">IF(
  AND(ISNUMBER(SEARCH("加工品",SUBSTITUTE(A337,"　"," "))), ISNUMBER(SEARCH("ベビーリーフ",SUBSTITUTE(A337,"　"," ")))),
  "ベビーリーフ（加工品）",
  IFERROR(
    INDEX($I$2:$I$10, MATCH(TRUE, ISNUMBER(SEARCH($H$2:$H$10, SUBSTITUTE(A337,"　"," "))), 0)),
    TRIM(SUBSTITUTE(A337,"　"," "))
  )
)</f>
        <v>イチゴ</v>
      </c>
      <c r="D337">
        <f t="shared" si="6"/>
        <v>167</v>
      </c>
    </row>
    <row r="338" spans="1:4">
      <c r="A338" t="s">
        <v>3</v>
      </c>
      <c r="B338">
        <v>840</v>
      </c>
      <c r="C338" t="str" cm="1">
        <f t="array" ref="C338">IF(
  AND(ISNUMBER(SEARCH("加工品",SUBSTITUTE(A338,"　"," "))), ISNUMBER(SEARCH("ベビーリーフ",SUBSTITUTE(A338,"　"," ")))),
  "ベビーリーフ（加工品）",
  IFERROR(
    INDEX($I$2:$I$10, MATCH(TRUE, ISNUMBER(SEARCH($H$2:$H$10, SUBSTITUTE(A338,"　"," "))), 0)),
    TRIM(SUBSTITUTE(A338,"　"," "))
  )
)</f>
        <v>ベビーリーフ（加工品）</v>
      </c>
      <c r="D338">
        <f t="shared" si="6"/>
        <v>840</v>
      </c>
    </row>
    <row r="339" spans="1:4">
      <c r="A339" t="s">
        <v>9</v>
      </c>
      <c r="B339">
        <v>840</v>
      </c>
      <c r="C339" t="str" cm="1">
        <f t="array" ref="C339">IF(
  AND(ISNUMBER(SEARCH("加工品",SUBSTITUTE(A339,"　"," "))), ISNUMBER(SEARCH("ベビーリーフ",SUBSTITUTE(A339,"　"," ")))),
  "ベビーリーフ（加工品）",
  IFERROR(
    INDEX($I$2:$I$10, MATCH(TRUE, ISNUMBER(SEARCH($H$2:$H$10, SUBSTITUTE(A339,"　"," "))), 0)),
    TRIM(SUBSTITUTE(A339,"　"," "))
  )
)</f>
        <v>ロロロッサ</v>
      </c>
      <c r="D339">
        <f t="shared" si="6"/>
        <v>840</v>
      </c>
    </row>
    <row r="340" spans="1:4">
      <c r="A340" t="s">
        <v>11</v>
      </c>
      <c r="B340">
        <v>360</v>
      </c>
      <c r="C340" t="str" cm="1">
        <f t="array" ref="C340">IF(
  AND(ISNUMBER(SEARCH("加工品",SUBSTITUTE(A340,"　"," "))), ISNUMBER(SEARCH("ベビーリーフ",SUBSTITUTE(A340,"　"," ")))),
  "ベビーリーフ（加工品）",
  IFERROR(
    INDEX($I$2:$I$10, MATCH(TRUE, ISNUMBER(SEARCH($H$2:$H$10, SUBSTITUTE(A340,"　"," "))), 0)),
    TRIM(SUBSTITUTE(A340,"　"," "))
  )
)</f>
        <v>レッドオーク</v>
      </c>
      <c r="D340">
        <f t="shared" si="6"/>
        <v>360</v>
      </c>
    </row>
    <row r="341" spans="1:4">
      <c r="A341" t="s">
        <v>3</v>
      </c>
      <c r="B341" s="1">
        <v>2200</v>
      </c>
      <c r="C341" t="str" cm="1">
        <f t="array" ref="C341">IF(
  AND(ISNUMBER(SEARCH("加工品",SUBSTITUTE(A341,"　"," "))), ISNUMBER(SEARCH("ベビーリーフ",SUBSTITUTE(A341,"　"," ")))),
  "ベビーリーフ（加工品）",
  IFERROR(
    INDEX($I$2:$I$10, MATCH(TRUE, ISNUMBER(SEARCH($H$2:$H$10, SUBSTITUTE(A341,"　"," "))), 0)),
    TRIM(SUBSTITUTE(A341,"　"," "))
  )
)</f>
        <v>ベビーリーフ（加工品）</v>
      </c>
      <c r="D341">
        <f t="shared" si="6"/>
        <v>2200</v>
      </c>
    </row>
    <row r="342" spans="1:4">
      <c r="A342" t="s">
        <v>11</v>
      </c>
      <c r="B342">
        <v>280</v>
      </c>
      <c r="C342" t="str" cm="1">
        <f t="array" ref="C342">IF(
  AND(ISNUMBER(SEARCH("加工品",SUBSTITUTE(A342,"　"," "))), ISNUMBER(SEARCH("ベビーリーフ",SUBSTITUTE(A342,"　"," ")))),
  "ベビーリーフ（加工品）",
  IFERROR(
    INDEX($I$2:$I$10, MATCH(TRUE, ISNUMBER(SEARCH($H$2:$H$10, SUBSTITUTE(A342,"　"," "))), 0)),
    TRIM(SUBSTITUTE(A342,"　"," "))
  )
)</f>
        <v>レッドオーク</v>
      </c>
      <c r="D342">
        <f t="shared" si="6"/>
        <v>280</v>
      </c>
    </row>
    <row r="343" spans="1:4">
      <c r="A343" t="s">
        <v>9</v>
      </c>
      <c r="B343">
        <v>800</v>
      </c>
      <c r="C343" t="str" cm="1">
        <f t="array" ref="C343">IF(
  AND(ISNUMBER(SEARCH("加工品",SUBSTITUTE(A343,"　"," "))), ISNUMBER(SEARCH("ベビーリーフ",SUBSTITUTE(A343,"　"," ")))),
  "ベビーリーフ（加工品）",
  IFERROR(
    INDEX($I$2:$I$10, MATCH(TRUE, ISNUMBER(SEARCH($H$2:$H$10, SUBSTITUTE(A343,"　"," "))), 0)),
    TRIM(SUBSTITUTE(A343,"　"," "))
  )
)</f>
        <v>ロロロッサ</v>
      </c>
      <c r="D343">
        <f t="shared" si="6"/>
        <v>800</v>
      </c>
    </row>
    <row r="344" spans="1:4">
      <c r="A344" t="s">
        <v>11</v>
      </c>
      <c r="B344">
        <v>700</v>
      </c>
      <c r="C344" t="str" cm="1">
        <f t="array" ref="C344">IF(
  AND(ISNUMBER(SEARCH("加工品",SUBSTITUTE(A344,"　"," "))), ISNUMBER(SEARCH("ベビーリーフ",SUBSTITUTE(A344,"　"," ")))),
  "ベビーリーフ（加工品）",
  IFERROR(
    INDEX($I$2:$I$10, MATCH(TRUE, ISNUMBER(SEARCH($H$2:$H$10, SUBSTITUTE(A344,"　"," "))), 0)),
    TRIM(SUBSTITUTE(A344,"　"," "))
  )
)</f>
        <v>レッドオーク</v>
      </c>
      <c r="D344">
        <f t="shared" si="6"/>
        <v>700</v>
      </c>
    </row>
    <row r="345" spans="1:4">
      <c r="A345" t="s">
        <v>9</v>
      </c>
      <c r="B345" s="1">
        <v>1020</v>
      </c>
      <c r="C345" t="str" cm="1">
        <f t="array" ref="C345">IF(
  AND(ISNUMBER(SEARCH("加工品",SUBSTITUTE(A345,"　"," "))), ISNUMBER(SEARCH("ベビーリーフ",SUBSTITUTE(A345,"　"," ")))),
  "ベビーリーフ（加工品）",
  IFERROR(
    INDEX($I$2:$I$10, MATCH(TRUE, ISNUMBER(SEARCH($H$2:$H$10, SUBSTITUTE(A345,"　"," "))), 0)),
    TRIM(SUBSTITUTE(A345,"　"," "))
  )
)</f>
        <v>ロロロッサ</v>
      </c>
      <c r="D345">
        <f t="shared" si="6"/>
        <v>1020</v>
      </c>
    </row>
    <row r="346" spans="1:4">
      <c r="A346" t="s">
        <v>11</v>
      </c>
      <c r="B346">
        <v>540</v>
      </c>
      <c r="C346" t="str" cm="1">
        <f t="array" ref="C346">IF(
  AND(ISNUMBER(SEARCH("加工品",SUBSTITUTE(A346,"　"," "))), ISNUMBER(SEARCH("ベビーリーフ",SUBSTITUTE(A346,"　"," ")))),
  "ベビーリーフ（加工品）",
  IFERROR(
    INDEX($I$2:$I$10, MATCH(TRUE, ISNUMBER(SEARCH($H$2:$H$10, SUBSTITUTE(A346,"　"," "))), 0)),
    TRIM(SUBSTITUTE(A346,"　"," "))
  )
)</f>
        <v>レッドオーク</v>
      </c>
      <c r="D346">
        <f t="shared" si="6"/>
        <v>540</v>
      </c>
    </row>
    <row r="347" spans="1:4">
      <c r="A347" t="s">
        <v>3</v>
      </c>
      <c r="B347" s="1">
        <v>5320</v>
      </c>
      <c r="C347" t="str" cm="1">
        <f t="array" ref="C347">IF(
  AND(ISNUMBER(SEARCH("加工品",SUBSTITUTE(A347,"　"," "))), ISNUMBER(SEARCH("ベビーリーフ",SUBSTITUTE(A347,"　"," ")))),
  "ベビーリーフ（加工品）",
  IFERROR(
    INDEX($I$2:$I$10, MATCH(TRUE, ISNUMBER(SEARCH($H$2:$H$10, SUBSTITUTE(A347,"　"," "))), 0)),
    TRIM(SUBSTITUTE(A347,"　"," "))
  )
)</f>
        <v>ベビーリーフ（加工品）</v>
      </c>
      <c r="D347">
        <f t="shared" si="6"/>
        <v>5320</v>
      </c>
    </row>
    <row r="348" spans="1:4">
      <c r="A348" t="s">
        <v>9</v>
      </c>
      <c r="B348" s="1">
        <v>1140</v>
      </c>
      <c r="C348" t="str" cm="1">
        <f t="array" ref="C348">IF(
  AND(ISNUMBER(SEARCH("加工品",SUBSTITUTE(A348,"　"," "))), ISNUMBER(SEARCH("ベビーリーフ",SUBSTITUTE(A348,"　"," ")))),
  "ベビーリーフ（加工品）",
  IFERROR(
    INDEX($I$2:$I$10, MATCH(TRUE, ISNUMBER(SEARCH($H$2:$H$10, SUBSTITUTE(A348,"　"," "))), 0)),
    TRIM(SUBSTITUTE(A348,"　"," "))
  )
)</f>
        <v>ロロロッサ</v>
      </c>
      <c r="D348">
        <f t="shared" si="6"/>
        <v>1140</v>
      </c>
    </row>
    <row r="349" spans="1:4">
      <c r="A349" t="s">
        <v>11</v>
      </c>
      <c r="B349">
        <v>420</v>
      </c>
      <c r="C349" t="str" cm="1">
        <f t="array" ref="C349">IF(
  AND(ISNUMBER(SEARCH("加工品",SUBSTITUTE(A349,"　"," "))), ISNUMBER(SEARCH("ベビーリーフ",SUBSTITUTE(A349,"　"," ")))),
  "ベビーリーフ（加工品）",
  IFERROR(
    INDEX($I$2:$I$10, MATCH(TRUE, ISNUMBER(SEARCH($H$2:$H$10, SUBSTITUTE(A349,"　"," "))), 0)),
    TRIM(SUBSTITUTE(A349,"　"," "))
  )
)</f>
        <v>レッドオーク</v>
      </c>
      <c r="D349">
        <f t="shared" si="6"/>
        <v>420</v>
      </c>
    </row>
    <row r="350" spans="1:4">
      <c r="A350" t="s">
        <v>9</v>
      </c>
      <c r="B350" s="1">
        <v>1140</v>
      </c>
      <c r="C350" t="str" cm="1">
        <f t="array" ref="C350">IF(
  AND(ISNUMBER(SEARCH("加工品",SUBSTITUTE(A350,"　"," "))), ISNUMBER(SEARCH("ベビーリーフ",SUBSTITUTE(A350,"　"," ")))),
  "ベビーリーフ（加工品）",
  IFERROR(
    INDEX($I$2:$I$10, MATCH(TRUE, ISNUMBER(SEARCH($H$2:$H$10, SUBSTITUTE(A350,"　"," "))), 0)),
    TRIM(SUBSTITUTE(A350,"　"," "))
  )
)</f>
        <v>ロロロッサ</v>
      </c>
      <c r="D350">
        <f t="shared" si="6"/>
        <v>1140</v>
      </c>
    </row>
    <row r="351" spans="1:4">
      <c r="A351" t="s">
        <v>11</v>
      </c>
      <c r="B351">
        <v>420</v>
      </c>
      <c r="C351" t="str" cm="1">
        <f t="array" ref="C351">IF(
  AND(ISNUMBER(SEARCH("加工品",SUBSTITUTE(A351,"　"," "))), ISNUMBER(SEARCH("ベビーリーフ",SUBSTITUTE(A351,"　"," ")))),
  "ベビーリーフ（加工品）",
  IFERROR(
    INDEX($I$2:$I$10, MATCH(TRUE, ISNUMBER(SEARCH($H$2:$H$10, SUBSTITUTE(A351,"　"," "))), 0)),
    TRIM(SUBSTITUTE(A351,"　"," "))
  )
)</f>
        <v>レッドオーク</v>
      </c>
      <c r="D351">
        <f t="shared" si="6"/>
        <v>420</v>
      </c>
    </row>
    <row r="352" spans="1:4">
      <c r="A352" t="s">
        <v>11</v>
      </c>
      <c r="B352">
        <v>380</v>
      </c>
      <c r="C352" t="str" cm="1">
        <f t="array" ref="C352">IF(
  AND(ISNUMBER(SEARCH("加工品",SUBSTITUTE(A352,"　"," "))), ISNUMBER(SEARCH("ベビーリーフ",SUBSTITUTE(A352,"　"," ")))),
  "ベビーリーフ（加工品）",
  IFERROR(
    INDEX($I$2:$I$10, MATCH(TRUE, ISNUMBER(SEARCH($H$2:$H$10, SUBSTITUTE(A352,"　"," "))), 0)),
    TRIM(SUBSTITUTE(A352,"　"," "))
  )
)</f>
        <v>レッドオーク</v>
      </c>
      <c r="D352">
        <f t="shared" si="6"/>
        <v>380</v>
      </c>
    </row>
    <row r="353" spans="1:4">
      <c r="A353" t="s">
        <v>3</v>
      </c>
      <c r="B353">
        <v>200</v>
      </c>
      <c r="C353" t="str" cm="1">
        <f t="array" ref="C353">IF(
  AND(ISNUMBER(SEARCH("加工品",SUBSTITUTE(A353,"　"," "))), ISNUMBER(SEARCH("ベビーリーフ",SUBSTITUTE(A353,"　"," ")))),
  "ベビーリーフ（加工品）",
  IFERROR(
    INDEX($I$2:$I$10, MATCH(TRUE, ISNUMBER(SEARCH($H$2:$H$10, SUBSTITUTE(A353,"　"," "))), 0)),
    TRIM(SUBSTITUTE(A353,"　"," "))
  )
)</f>
        <v>ベビーリーフ（加工品）</v>
      </c>
      <c r="D353">
        <f t="shared" si="6"/>
        <v>200</v>
      </c>
    </row>
    <row r="354" spans="1:4">
      <c r="A354" t="s">
        <v>9</v>
      </c>
      <c r="B354">
        <v>860</v>
      </c>
      <c r="C354" t="str" cm="1">
        <f t="array" ref="C354">IF(
  AND(ISNUMBER(SEARCH("加工品",SUBSTITUTE(A354,"　"," "))), ISNUMBER(SEARCH("ベビーリーフ",SUBSTITUTE(A354,"　"," ")))),
  "ベビーリーフ（加工品）",
  IFERROR(
    INDEX($I$2:$I$10, MATCH(TRUE, ISNUMBER(SEARCH($H$2:$H$10, SUBSTITUTE(A354,"　"," "))), 0)),
    TRIM(SUBSTITUTE(A354,"　"," "))
  )
)</f>
        <v>ロロロッサ</v>
      </c>
      <c r="D354">
        <f t="shared" si="6"/>
        <v>860</v>
      </c>
    </row>
    <row r="355" spans="1:4">
      <c r="A355" t="s">
        <v>11</v>
      </c>
      <c r="B355">
        <v>580</v>
      </c>
      <c r="C355" t="str" cm="1">
        <f t="array" ref="C355">IF(
  AND(ISNUMBER(SEARCH("加工品",SUBSTITUTE(A355,"　"," "))), ISNUMBER(SEARCH("ベビーリーフ",SUBSTITUTE(A355,"　"," ")))),
  "ベビーリーフ（加工品）",
  IFERROR(
    INDEX($I$2:$I$10, MATCH(TRUE, ISNUMBER(SEARCH($H$2:$H$10, SUBSTITUTE(A355,"　"," "))), 0)),
    TRIM(SUBSTITUTE(A355,"　"," "))
  )
)</f>
        <v>レッドオーク</v>
      </c>
      <c r="D355">
        <f t="shared" si="6"/>
        <v>580</v>
      </c>
    </row>
    <row r="356" spans="1:4">
      <c r="A356" t="s">
        <v>9</v>
      </c>
      <c r="B356" s="1">
        <v>1040</v>
      </c>
      <c r="C356" t="str" cm="1">
        <f t="array" ref="C356">IF(
  AND(ISNUMBER(SEARCH("加工品",SUBSTITUTE(A356,"　"," "))), ISNUMBER(SEARCH("ベビーリーフ",SUBSTITUTE(A356,"　"," ")))),
  "ベビーリーフ（加工品）",
  IFERROR(
    INDEX($I$2:$I$10, MATCH(TRUE, ISNUMBER(SEARCH($H$2:$H$10, SUBSTITUTE(A356,"　"," "))), 0)),
    TRIM(SUBSTITUTE(A356,"　"," "))
  )
)</f>
        <v>ロロロッサ</v>
      </c>
      <c r="D356">
        <f t="shared" si="6"/>
        <v>1040</v>
      </c>
    </row>
    <row r="357" spans="1:4">
      <c r="A357" t="s">
        <v>3</v>
      </c>
      <c r="B357" s="1">
        <v>2240</v>
      </c>
      <c r="C357" t="str" cm="1">
        <f t="array" ref="C357">IF(
  AND(ISNUMBER(SEARCH("加工品",SUBSTITUTE(A357,"　"," "))), ISNUMBER(SEARCH("ベビーリーフ",SUBSTITUTE(A357,"　"," ")))),
  "ベビーリーフ（加工品）",
  IFERROR(
    INDEX($I$2:$I$10, MATCH(TRUE, ISNUMBER(SEARCH($H$2:$H$10, SUBSTITUTE(A357,"　"," "))), 0)),
    TRIM(SUBSTITUTE(A357,"　"," "))
  )
)</f>
        <v>ベビーリーフ（加工品）</v>
      </c>
      <c r="D357">
        <f t="shared" si="6"/>
        <v>2240</v>
      </c>
    </row>
    <row r="358" spans="1:4">
      <c r="A358" t="s">
        <v>9</v>
      </c>
      <c r="B358">
        <v>880</v>
      </c>
      <c r="C358" t="str" cm="1">
        <f t="array" ref="C358">IF(
  AND(ISNUMBER(SEARCH("加工品",SUBSTITUTE(A358,"　"," "))), ISNUMBER(SEARCH("ベビーリーフ",SUBSTITUTE(A358,"　"," ")))),
  "ベビーリーフ（加工品）",
  IFERROR(
    INDEX($I$2:$I$10, MATCH(TRUE, ISNUMBER(SEARCH($H$2:$H$10, SUBSTITUTE(A358,"　"," "))), 0)),
    TRIM(SUBSTITUTE(A358,"　"," "))
  )
)</f>
        <v>ロロロッサ</v>
      </c>
      <c r="D358">
        <f t="shared" si="6"/>
        <v>880</v>
      </c>
    </row>
    <row r="359" spans="1:4">
      <c r="A359" t="s">
        <v>3</v>
      </c>
      <c r="B359">
        <v>220</v>
      </c>
      <c r="C359" t="str" cm="1">
        <f t="array" ref="C359">IF(
  AND(ISNUMBER(SEARCH("加工品",SUBSTITUTE(A359,"　"," "))), ISNUMBER(SEARCH("ベビーリーフ",SUBSTITUTE(A359,"　"," ")))),
  "ベビーリーフ（加工品）",
  IFERROR(
    INDEX($I$2:$I$10, MATCH(TRUE, ISNUMBER(SEARCH($H$2:$H$10, SUBSTITUTE(A359,"　"," "))), 0)),
    TRIM(SUBSTITUTE(A359,"　"," "))
  )
)</f>
        <v>ベビーリーフ（加工品）</v>
      </c>
      <c r="D359">
        <f t="shared" si="6"/>
        <v>220</v>
      </c>
    </row>
    <row r="360" spans="1:4">
      <c r="A360" t="s">
        <v>11</v>
      </c>
      <c r="B360" s="1">
        <v>2340</v>
      </c>
      <c r="C360" t="str" cm="1">
        <f t="array" ref="C360">IF(
  AND(ISNUMBER(SEARCH("加工品",SUBSTITUTE(A360,"　"," "))), ISNUMBER(SEARCH("ベビーリーフ",SUBSTITUTE(A360,"　"," ")))),
  "ベビーリーフ（加工品）",
  IFERROR(
    INDEX($I$2:$I$10, MATCH(TRUE, ISNUMBER(SEARCH($H$2:$H$10, SUBSTITUTE(A360,"　"," "))), 0)),
    TRIM(SUBSTITUTE(A360,"　"," "))
  )
)</f>
        <v>レッドオーク</v>
      </c>
      <c r="D360">
        <f t="shared" si="6"/>
        <v>2340</v>
      </c>
    </row>
    <row r="361" spans="1:4">
      <c r="A361" t="s">
        <v>9</v>
      </c>
      <c r="B361" s="1">
        <v>1360</v>
      </c>
      <c r="C361" t="str" cm="1">
        <f t="array" ref="C361">IF(
  AND(ISNUMBER(SEARCH("加工品",SUBSTITUTE(A361,"　"," "))), ISNUMBER(SEARCH("ベビーリーフ",SUBSTITUTE(A361,"　"," ")))),
  "ベビーリーフ（加工品）",
  IFERROR(
    INDEX($I$2:$I$10, MATCH(TRUE, ISNUMBER(SEARCH($H$2:$H$10, SUBSTITUTE(A361,"　"," "))), 0)),
    TRIM(SUBSTITUTE(A361,"　"," "))
  )
)</f>
        <v>ロロロッサ</v>
      </c>
      <c r="D361">
        <f t="shared" si="6"/>
        <v>1360</v>
      </c>
    </row>
    <row r="362" spans="1:4">
      <c r="A362" t="s">
        <v>10</v>
      </c>
      <c r="B362">
        <v>180</v>
      </c>
      <c r="C362" t="str" cm="1">
        <f t="array" ref="C362">IF(
  AND(ISNUMBER(SEARCH("加工品",SUBSTITUTE(A362,"　"," "))), ISNUMBER(SEARCH("ベビーリーフ",SUBSTITUTE(A362,"　"," ")))),
  "ベビーリーフ（加工品）",
  IFERROR(
    INDEX($I$2:$I$10, MATCH(TRUE, ISNUMBER(SEARCH($H$2:$H$10, SUBSTITUTE(A362,"　"," "))), 0)),
    TRIM(SUBSTITUTE(A362,"　"," "))
  )
)</f>
        <v>イチゴ</v>
      </c>
      <c r="D362">
        <f t="shared" si="6"/>
        <v>180</v>
      </c>
    </row>
    <row r="363" spans="1:4">
      <c r="A363" t="s">
        <v>11</v>
      </c>
      <c r="B363">
        <v>260</v>
      </c>
      <c r="C363" t="str" cm="1">
        <f t="array" ref="C363">IF(
  AND(ISNUMBER(SEARCH("加工品",SUBSTITUTE(A363,"　"," "))), ISNUMBER(SEARCH("ベビーリーフ",SUBSTITUTE(A363,"　"," ")))),
  "ベビーリーフ（加工品）",
  IFERROR(
    INDEX($I$2:$I$10, MATCH(TRUE, ISNUMBER(SEARCH($H$2:$H$10, SUBSTITUTE(A363,"　"," "))), 0)),
    TRIM(SUBSTITUTE(A363,"　"," "))
  )
)</f>
        <v>レッドオーク</v>
      </c>
      <c r="D363">
        <f t="shared" si="6"/>
        <v>260</v>
      </c>
    </row>
    <row r="364" spans="1:4">
      <c r="A364" t="s">
        <v>9</v>
      </c>
      <c r="B364">
        <v>700</v>
      </c>
      <c r="C364" t="str" cm="1">
        <f t="array" ref="C364">IF(
  AND(ISNUMBER(SEARCH("加工品",SUBSTITUTE(A364,"　"," "))), ISNUMBER(SEARCH("ベビーリーフ",SUBSTITUTE(A364,"　"," ")))),
  "ベビーリーフ（加工品）",
  IFERROR(
    INDEX($I$2:$I$10, MATCH(TRUE, ISNUMBER(SEARCH($H$2:$H$10, SUBSTITUTE(A364,"　"," "))), 0)),
    TRIM(SUBSTITUTE(A364,"　"," "))
  )
)</f>
        <v>ロロロッサ</v>
      </c>
      <c r="D364">
        <f t="shared" si="6"/>
        <v>700</v>
      </c>
    </row>
    <row r="365" spans="1:4">
      <c r="A365" t="s">
        <v>3</v>
      </c>
      <c r="B365" s="1">
        <v>1660</v>
      </c>
      <c r="C365" t="str" cm="1">
        <f t="array" ref="C365">IF(
  AND(ISNUMBER(SEARCH("加工品",SUBSTITUTE(A365,"　"," "))), ISNUMBER(SEARCH("ベビーリーフ",SUBSTITUTE(A365,"　"," ")))),
  "ベビーリーフ（加工品）",
  IFERROR(
    INDEX($I$2:$I$10, MATCH(TRUE, ISNUMBER(SEARCH($H$2:$H$10, SUBSTITUTE(A365,"　"," "))), 0)),
    TRIM(SUBSTITUTE(A365,"　"," "))
  )
)</f>
        <v>ベビーリーフ（加工品）</v>
      </c>
      <c r="D365">
        <f t="shared" si="6"/>
        <v>1660</v>
      </c>
    </row>
    <row r="366" spans="1:4">
      <c r="A366" t="s">
        <v>9</v>
      </c>
      <c r="B366">
        <v>440</v>
      </c>
      <c r="C366" t="str" cm="1">
        <f t="array" ref="C366">IF(
  AND(ISNUMBER(SEARCH("加工品",SUBSTITUTE(A366,"　"," "))), ISNUMBER(SEARCH("ベビーリーフ",SUBSTITUTE(A366,"　"," ")))),
  "ベビーリーフ（加工品）",
  IFERROR(
    INDEX($I$2:$I$10, MATCH(TRUE, ISNUMBER(SEARCH($H$2:$H$10, SUBSTITUTE(A366,"　"," "))), 0)),
    TRIM(SUBSTITUTE(A366,"　"," "))
  )
)</f>
        <v>ロロロッサ</v>
      </c>
      <c r="D366">
        <f t="shared" si="6"/>
        <v>440</v>
      </c>
    </row>
    <row r="367" spans="1:4">
      <c r="A367" t="s">
        <v>9</v>
      </c>
      <c r="B367" s="1">
        <v>1100</v>
      </c>
      <c r="C367" t="str" cm="1">
        <f t="array" ref="C367">IF(
  AND(ISNUMBER(SEARCH("加工品",SUBSTITUTE(A367,"　"," "))), ISNUMBER(SEARCH("ベビーリーフ",SUBSTITUTE(A367,"　"," ")))),
  "ベビーリーフ（加工品）",
  IFERROR(
    INDEX($I$2:$I$10, MATCH(TRUE, ISNUMBER(SEARCH($H$2:$H$10, SUBSTITUTE(A367,"　"," "))), 0)),
    TRIM(SUBSTITUTE(A367,"　"," "))
  )
)</f>
        <v>ロロロッサ</v>
      </c>
      <c r="D367">
        <f t="shared" si="6"/>
        <v>1100</v>
      </c>
    </row>
    <row r="368" spans="1:4">
      <c r="A368" t="s">
        <v>3</v>
      </c>
      <c r="B368">
        <v>180</v>
      </c>
      <c r="C368" t="str" cm="1">
        <f t="array" ref="C368">IF(
  AND(ISNUMBER(SEARCH("加工品",SUBSTITUTE(A368,"　"," "))), ISNUMBER(SEARCH("ベビーリーフ",SUBSTITUTE(A368,"　"," ")))),
  "ベビーリーフ（加工品）",
  IFERROR(
    INDEX($I$2:$I$10, MATCH(TRUE, ISNUMBER(SEARCH($H$2:$H$10, SUBSTITUTE(A368,"　"," "))), 0)),
    TRIM(SUBSTITUTE(A368,"　"," "))
  )
)</f>
        <v>ベビーリーフ（加工品）</v>
      </c>
      <c r="D368">
        <f t="shared" si="6"/>
        <v>180</v>
      </c>
    </row>
    <row r="369" spans="1:4">
      <c r="A369" t="s">
        <v>3</v>
      </c>
      <c r="B369" s="1">
        <v>3060</v>
      </c>
      <c r="C369" t="str" cm="1">
        <f t="array" ref="C369">IF(
  AND(ISNUMBER(SEARCH("加工品",SUBSTITUTE(A369,"　"," "))), ISNUMBER(SEARCH("ベビーリーフ",SUBSTITUTE(A369,"　"," ")))),
  "ベビーリーフ（加工品）",
  IFERROR(
    INDEX($I$2:$I$10, MATCH(TRUE, ISNUMBER(SEARCH($H$2:$H$10, SUBSTITUTE(A369,"　"," "))), 0)),
    TRIM(SUBSTITUTE(A369,"　"," "))
  )
)</f>
        <v>ベビーリーフ（加工品）</v>
      </c>
      <c r="D369">
        <f t="shared" si="6"/>
        <v>3060</v>
      </c>
    </row>
    <row r="370" spans="1:4">
      <c r="A370" t="s">
        <v>11</v>
      </c>
      <c r="B370">
        <v>400</v>
      </c>
      <c r="C370" t="str" cm="1">
        <f t="array" ref="C370">IF(
  AND(ISNUMBER(SEARCH("加工品",SUBSTITUTE(A370,"　"," "))), ISNUMBER(SEARCH("ベビーリーフ",SUBSTITUTE(A370,"　"," ")))),
  "ベビーリーフ（加工品）",
  IFERROR(
    INDEX($I$2:$I$10, MATCH(TRUE, ISNUMBER(SEARCH($H$2:$H$10, SUBSTITUTE(A370,"　"," "))), 0)),
    TRIM(SUBSTITUTE(A370,"　"," "))
  )
)</f>
        <v>レッドオーク</v>
      </c>
      <c r="D370">
        <f t="shared" si="6"/>
        <v>400</v>
      </c>
    </row>
    <row r="371" spans="1:4">
      <c r="A371" t="s">
        <v>9</v>
      </c>
      <c r="B371">
        <v>180</v>
      </c>
      <c r="C371" t="str" cm="1">
        <f t="array" ref="C371">IF(
  AND(ISNUMBER(SEARCH("加工品",SUBSTITUTE(A371,"　"," "))), ISNUMBER(SEARCH("ベビーリーフ",SUBSTITUTE(A371,"　"," ")))),
  "ベビーリーフ（加工品）",
  IFERROR(
    INDEX($I$2:$I$10, MATCH(TRUE, ISNUMBER(SEARCH($H$2:$H$10, SUBSTITUTE(A371,"　"," "))), 0)),
    TRIM(SUBSTITUTE(A371,"　"," "))
  )
)</f>
        <v>ロロロッサ</v>
      </c>
      <c r="D371">
        <f t="shared" si="6"/>
        <v>180</v>
      </c>
    </row>
    <row r="372" spans="1:4">
      <c r="A372" t="s">
        <v>10</v>
      </c>
      <c r="B372">
        <v>550</v>
      </c>
      <c r="C372" t="str" cm="1">
        <f t="array" ref="C372">IF(
  AND(ISNUMBER(SEARCH("加工品",SUBSTITUTE(A372,"　"," "))), ISNUMBER(SEARCH("ベビーリーフ",SUBSTITUTE(A372,"　"," ")))),
  "ベビーリーフ（加工品）",
  IFERROR(
    INDEX($I$2:$I$10, MATCH(TRUE, ISNUMBER(SEARCH($H$2:$H$10, SUBSTITUTE(A372,"　"," "))), 0)),
    TRIM(SUBSTITUTE(A372,"　"," "))
  )
)</f>
        <v>イチゴ</v>
      </c>
      <c r="D372">
        <f t="shared" si="6"/>
        <v>550</v>
      </c>
    </row>
    <row r="373" spans="1:4">
      <c r="A373" t="s">
        <v>11</v>
      </c>
      <c r="B373">
        <v>380</v>
      </c>
      <c r="C373" t="str" cm="1">
        <f t="array" ref="C373">IF(
  AND(ISNUMBER(SEARCH("加工品",SUBSTITUTE(A373,"　"," "))), ISNUMBER(SEARCH("ベビーリーフ",SUBSTITUTE(A373,"　"," ")))),
  "ベビーリーフ（加工品）",
  IFERROR(
    INDEX($I$2:$I$10, MATCH(TRUE, ISNUMBER(SEARCH($H$2:$H$10, SUBSTITUTE(A373,"　"," "))), 0)),
    TRIM(SUBSTITUTE(A373,"　"," "))
  )
)</f>
        <v>レッドオーク</v>
      </c>
      <c r="D373">
        <f t="shared" si="6"/>
        <v>380</v>
      </c>
    </row>
    <row r="374" spans="1:4">
      <c r="A374" t="s">
        <v>9</v>
      </c>
      <c r="B374" s="1">
        <v>1680</v>
      </c>
      <c r="C374" t="str" cm="1">
        <f t="array" ref="C374">IF(
  AND(ISNUMBER(SEARCH("加工品",SUBSTITUTE(A374,"　"," "))), ISNUMBER(SEARCH("ベビーリーフ",SUBSTITUTE(A374,"　"," ")))),
  "ベビーリーフ（加工品）",
  IFERROR(
    INDEX($I$2:$I$10, MATCH(TRUE, ISNUMBER(SEARCH($H$2:$H$10, SUBSTITUTE(A374,"　"," "))), 0)),
    TRIM(SUBSTITUTE(A374,"　"," "))
  )
)</f>
        <v>ロロロッサ</v>
      </c>
      <c r="D374">
        <f t="shared" si="6"/>
        <v>1680</v>
      </c>
    </row>
    <row r="375" spans="1:4">
      <c r="A375" t="s">
        <v>3</v>
      </c>
      <c r="B375" s="1">
        <v>2640</v>
      </c>
      <c r="C375" t="str" cm="1">
        <f t="array" ref="C375">IF(
  AND(ISNUMBER(SEARCH("加工品",SUBSTITUTE(A375,"　"," "))), ISNUMBER(SEARCH("ベビーリーフ",SUBSTITUTE(A375,"　"," ")))),
  "ベビーリーフ（加工品）",
  IFERROR(
    INDEX($I$2:$I$10, MATCH(TRUE, ISNUMBER(SEARCH($H$2:$H$10, SUBSTITUTE(A375,"　"," "))), 0)),
    TRIM(SUBSTITUTE(A375,"　"," "))
  )
)</f>
        <v>ベビーリーフ（加工品）</v>
      </c>
      <c r="D375">
        <f t="shared" si="6"/>
        <v>2640</v>
      </c>
    </row>
    <row r="376" spans="1:4">
      <c r="A376" t="s">
        <v>3</v>
      </c>
      <c r="B376">
        <v>180</v>
      </c>
      <c r="C376" t="str" cm="1">
        <f t="array" ref="C376">IF(
  AND(ISNUMBER(SEARCH("加工品",SUBSTITUTE(A376,"　"," "))), ISNUMBER(SEARCH("ベビーリーフ",SUBSTITUTE(A376,"　"," ")))),
  "ベビーリーフ（加工品）",
  IFERROR(
    INDEX($I$2:$I$10, MATCH(TRUE, ISNUMBER(SEARCH($H$2:$H$10, SUBSTITUTE(A376,"　"," "))), 0)),
    TRIM(SUBSTITUTE(A376,"　"," "))
  )
)</f>
        <v>ベビーリーフ（加工品）</v>
      </c>
      <c r="D376">
        <f t="shared" si="6"/>
        <v>180</v>
      </c>
    </row>
    <row r="377" spans="1:4">
      <c r="A377" t="s">
        <v>11</v>
      </c>
      <c r="B377">
        <v>540</v>
      </c>
      <c r="C377" t="str" cm="1">
        <f t="array" ref="C377">IF(
  AND(ISNUMBER(SEARCH("加工品",SUBSTITUTE(A377,"　"," "))), ISNUMBER(SEARCH("ベビーリーフ",SUBSTITUTE(A377,"　"," ")))),
  "ベビーリーフ（加工品）",
  IFERROR(
    INDEX($I$2:$I$10, MATCH(TRUE, ISNUMBER(SEARCH($H$2:$H$10, SUBSTITUTE(A377,"　"," "))), 0)),
    TRIM(SUBSTITUTE(A377,"　"," "))
  )
)</f>
        <v>レッドオーク</v>
      </c>
      <c r="D377">
        <f t="shared" si="6"/>
        <v>540</v>
      </c>
    </row>
    <row r="378" spans="1:4">
      <c r="A378" t="s">
        <v>9</v>
      </c>
      <c r="B378">
        <v>880</v>
      </c>
      <c r="C378" t="str" cm="1">
        <f t="array" ref="C378">IF(
  AND(ISNUMBER(SEARCH("加工品",SUBSTITUTE(A378,"　"," "))), ISNUMBER(SEARCH("ベビーリーフ",SUBSTITUTE(A378,"　"," ")))),
  "ベビーリーフ（加工品）",
  IFERROR(
    INDEX($I$2:$I$10, MATCH(TRUE, ISNUMBER(SEARCH($H$2:$H$10, SUBSTITUTE(A378,"　"," "))), 0)),
    TRIM(SUBSTITUTE(A378,"　"," "))
  )
)</f>
        <v>ロロロッサ</v>
      </c>
      <c r="D378">
        <f t="shared" si="6"/>
        <v>880</v>
      </c>
    </row>
    <row r="379" spans="1:4">
      <c r="A379" t="s">
        <v>9</v>
      </c>
      <c r="B379">
        <v>880</v>
      </c>
      <c r="C379" t="str" cm="1">
        <f t="array" ref="C379">IF(
  AND(ISNUMBER(SEARCH("加工品",SUBSTITUTE(A379,"　"," "))), ISNUMBER(SEARCH("ベビーリーフ",SUBSTITUTE(A379,"　"," ")))),
  "ベビーリーフ（加工品）",
  IFERROR(
    INDEX($I$2:$I$10, MATCH(TRUE, ISNUMBER(SEARCH($H$2:$H$10, SUBSTITUTE(A379,"　"," "))), 0)),
    TRIM(SUBSTITUTE(A379,"　"," "))
  )
)</f>
        <v>ロロロッサ</v>
      </c>
      <c r="D379">
        <f t="shared" si="6"/>
        <v>880</v>
      </c>
    </row>
    <row r="380" spans="1:4">
      <c r="A380" t="s">
        <v>3</v>
      </c>
      <c r="B380">
        <v>360</v>
      </c>
      <c r="C380" t="str" cm="1">
        <f t="array" ref="C380">IF(
  AND(ISNUMBER(SEARCH("加工品",SUBSTITUTE(A380,"　"," "))), ISNUMBER(SEARCH("ベビーリーフ",SUBSTITUTE(A380,"　"," ")))),
  "ベビーリーフ（加工品）",
  IFERROR(
    INDEX($I$2:$I$10, MATCH(TRUE, ISNUMBER(SEARCH($H$2:$H$10, SUBSTITUTE(A380,"　"," "))), 0)),
    TRIM(SUBSTITUTE(A380,"　"," "))
  )
)</f>
        <v>ベビーリーフ（加工品）</v>
      </c>
      <c r="D380">
        <f t="shared" si="6"/>
        <v>360</v>
      </c>
    </row>
    <row r="381" spans="1:4">
      <c r="A381" t="s">
        <v>11</v>
      </c>
      <c r="B381">
        <v>580</v>
      </c>
      <c r="C381" t="str" cm="1">
        <f t="array" ref="C381">IF(
  AND(ISNUMBER(SEARCH("加工品",SUBSTITUTE(A381,"　"," "))), ISNUMBER(SEARCH("ベビーリーフ",SUBSTITUTE(A381,"　"," ")))),
  "ベビーリーフ（加工品）",
  IFERROR(
    INDEX($I$2:$I$10, MATCH(TRUE, ISNUMBER(SEARCH($H$2:$H$10, SUBSTITUTE(A381,"　"," "))), 0)),
    TRIM(SUBSTITUTE(A381,"　"," "))
  )
)</f>
        <v>レッドオーク</v>
      </c>
      <c r="D381">
        <f t="shared" si="6"/>
        <v>580</v>
      </c>
    </row>
    <row r="382" spans="1:4">
      <c r="A382" t="s">
        <v>9</v>
      </c>
      <c r="B382">
        <v>600</v>
      </c>
      <c r="C382" t="str" cm="1">
        <f t="array" ref="C382">IF(
  AND(ISNUMBER(SEARCH("加工品",SUBSTITUTE(A382,"　"," "))), ISNUMBER(SEARCH("ベビーリーフ",SUBSTITUTE(A382,"　"," ")))),
  "ベビーリーフ（加工品）",
  IFERROR(
    INDEX($I$2:$I$10, MATCH(TRUE, ISNUMBER(SEARCH($H$2:$H$10, SUBSTITUTE(A382,"　"," "))), 0)),
    TRIM(SUBSTITUTE(A382,"　"," "))
  )
)</f>
        <v>ロロロッサ</v>
      </c>
      <c r="D382">
        <f t="shared" si="6"/>
        <v>600</v>
      </c>
    </row>
    <row r="383" spans="1:4">
      <c r="A383" t="s">
        <v>11</v>
      </c>
      <c r="B383">
        <v>770</v>
      </c>
      <c r="C383" t="str" cm="1">
        <f t="array" ref="C383">IF(
  AND(ISNUMBER(SEARCH("加工品",SUBSTITUTE(A383,"　"," "))), ISNUMBER(SEARCH("ベビーリーフ",SUBSTITUTE(A383,"　"," ")))),
  "ベビーリーフ（加工品）",
  IFERROR(
    INDEX($I$2:$I$10, MATCH(TRUE, ISNUMBER(SEARCH($H$2:$H$10, SUBSTITUTE(A383,"　"," "))), 0)),
    TRIM(SUBSTITUTE(A383,"　"," "))
  )
)</f>
        <v>レッドオーク</v>
      </c>
      <c r="D383">
        <f t="shared" si="6"/>
        <v>770</v>
      </c>
    </row>
    <row r="384" spans="1:4">
      <c r="A384" t="s">
        <v>9</v>
      </c>
      <c r="B384" s="1">
        <v>1060</v>
      </c>
      <c r="C384" t="str" cm="1">
        <f t="array" ref="C384">IF(
  AND(ISNUMBER(SEARCH("加工品",SUBSTITUTE(A384,"　"," "))), ISNUMBER(SEARCH("ベビーリーフ",SUBSTITUTE(A384,"　"," ")))),
  "ベビーリーフ（加工品）",
  IFERROR(
    INDEX($I$2:$I$10, MATCH(TRUE, ISNUMBER(SEARCH($H$2:$H$10, SUBSTITUTE(A384,"　"," "))), 0)),
    TRIM(SUBSTITUTE(A384,"　"," "))
  )
)</f>
        <v>ロロロッサ</v>
      </c>
      <c r="D384">
        <f t="shared" si="6"/>
        <v>1060</v>
      </c>
    </row>
    <row r="385" spans="1:4">
      <c r="A385" t="s">
        <v>11</v>
      </c>
      <c r="B385">
        <v>770</v>
      </c>
      <c r="C385" t="str" cm="1">
        <f t="array" ref="C385">IF(
  AND(ISNUMBER(SEARCH("加工品",SUBSTITUTE(A385,"　"," "))), ISNUMBER(SEARCH("ベビーリーフ",SUBSTITUTE(A385,"　"," ")))),
  "ベビーリーフ（加工品）",
  IFERROR(
    INDEX($I$2:$I$10, MATCH(TRUE, ISNUMBER(SEARCH($H$2:$H$10, SUBSTITUTE(A385,"　"," "))), 0)),
    TRIM(SUBSTITUTE(A385,"　"," "))
  )
)</f>
        <v>レッドオーク</v>
      </c>
      <c r="D385">
        <f t="shared" si="6"/>
        <v>770</v>
      </c>
    </row>
    <row r="386" spans="1:4">
      <c r="A386" t="s">
        <v>9</v>
      </c>
      <c r="B386" s="1">
        <v>1060</v>
      </c>
      <c r="C386" t="str" cm="1">
        <f t="array" ref="C386">IF(
  AND(ISNUMBER(SEARCH("加工品",SUBSTITUTE(A386,"　"," "))), ISNUMBER(SEARCH("ベビーリーフ",SUBSTITUTE(A386,"　"," ")))),
  "ベビーリーフ（加工品）",
  IFERROR(
    INDEX($I$2:$I$10, MATCH(TRUE, ISNUMBER(SEARCH($H$2:$H$10, SUBSTITUTE(A386,"　"," "))), 0)),
    TRIM(SUBSTITUTE(A386,"　"," "))
  )
)</f>
        <v>ロロロッサ</v>
      </c>
      <c r="D386">
        <f t="shared" si="6"/>
        <v>1060</v>
      </c>
    </row>
    <row r="387" spans="1:4">
      <c r="A387" t="s">
        <v>9</v>
      </c>
      <c r="B387">
        <v>820</v>
      </c>
      <c r="C387" t="str" cm="1">
        <f t="array" ref="C387">IF(
  AND(ISNUMBER(SEARCH("加工品",SUBSTITUTE(A387,"　"," "))), ISNUMBER(SEARCH("ベビーリーフ",SUBSTITUTE(A387,"　"," ")))),
  "ベビーリーフ（加工品）",
  IFERROR(
    INDEX($I$2:$I$10, MATCH(TRUE, ISNUMBER(SEARCH($H$2:$H$10, SUBSTITUTE(A387,"　"," "))), 0)),
    TRIM(SUBSTITUTE(A387,"　"," "))
  )
)</f>
        <v>ロロロッサ</v>
      </c>
      <c r="D387">
        <f t="shared" ref="D387:D450" si="7">--SUBSTITUTE(B387,",","")</f>
        <v>820</v>
      </c>
    </row>
    <row r="388" spans="1:4">
      <c r="A388" t="s">
        <v>11</v>
      </c>
      <c r="B388">
        <v>800</v>
      </c>
      <c r="C388" t="str" cm="1">
        <f t="array" ref="C388">IF(
  AND(ISNUMBER(SEARCH("加工品",SUBSTITUTE(A388,"　"," "))), ISNUMBER(SEARCH("ベビーリーフ",SUBSTITUTE(A388,"　"," ")))),
  "ベビーリーフ（加工品）",
  IFERROR(
    INDEX($I$2:$I$10, MATCH(TRUE, ISNUMBER(SEARCH($H$2:$H$10, SUBSTITUTE(A388,"　"," "))), 0)),
    TRIM(SUBSTITUTE(A388,"　"," "))
  )
)</f>
        <v>レッドオーク</v>
      </c>
      <c r="D388">
        <f t="shared" si="7"/>
        <v>800</v>
      </c>
    </row>
    <row r="389" spans="1:4">
      <c r="A389" t="s">
        <v>11</v>
      </c>
      <c r="B389">
        <v>480</v>
      </c>
      <c r="C389" t="str" cm="1">
        <f t="array" ref="C389">IF(
  AND(ISNUMBER(SEARCH("加工品",SUBSTITUTE(A389,"　"," "))), ISNUMBER(SEARCH("ベビーリーフ",SUBSTITUTE(A389,"　"," ")))),
  "ベビーリーフ（加工品）",
  IFERROR(
    INDEX($I$2:$I$10, MATCH(TRUE, ISNUMBER(SEARCH($H$2:$H$10, SUBSTITUTE(A389,"　"," "))), 0)),
    TRIM(SUBSTITUTE(A389,"　"," "))
  )
)</f>
        <v>レッドオーク</v>
      </c>
      <c r="D389">
        <f t="shared" si="7"/>
        <v>480</v>
      </c>
    </row>
    <row r="390" spans="1:4">
      <c r="A390" t="s">
        <v>9</v>
      </c>
      <c r="B390">
        <v>860</v>
      </c>
      <c r="C390" t="str" cm="1">
        <f t="array" ref="C390">IF(
  AND(ISNUMBER(SEARCH("加工品",SUBSTITUTE(A390,"　"," "))), ISNUMBER(SEARCH("ベビーリーフ",SUBSTITUTE(A390,"　"," ")))),
  "ベビーリーフ（加工品）",
  IFERROR(
    INDEX($I$2:$I$10, MATCH(TRUE, ISNUMBER(SEARCH($H$2:$H$10, SUBSTITUTE(A390,"　"," "))), 0)),
    TRIM(SUBSTITUTE(A390,"　"," "))
  )
)</f>
        <v>ロロロッサ</v>
      </c>
      <c r="D390">
        <f t="shared" si="7"/>
        <v>860</v>
      </c>
    </row>
    <row r="391" spans="1:4">
      <c r="A391" t="s">
        <v>9</v>
      </c>
      <c r="B391">
        <v>280</v>
      </c>
      <c r="C391" t="str" cm="1">
        <f t="array" ref="C391">IF(
  AND(ISNUMBER(SEARCH("加工品",SUBSTITUTE(A391,"　"," "))), ISNUMBER(SEARCH("ベビーリーフ",SUBSTITUTE(A391,"　"," ")))),
  "ベビーリーフ（加工品）",
  IFERROR(
    INDEX($I$2:$I$10, MATCH(TRUE, ISNUMBER(SEARCH($H$2:$H$10, SUBSTITUTE(A391,"　"," "))), 0)),
    TRIM(SUBSTITUTE(A391,"　"," "))
  )
)</f>
        <v>ロロロッサ</v>
      </c>
      <c r="D391">
        <f t="shared" si="7"/>
        <v>280</v>
      </c>
    </row>
    <row r="392" spans="1:4">
      <c r="A392" t="s">
        <v>10</v>
      </c>
      <c r="B392">
        <v>200</v>
      </c>
      <c r="C392" t="str" cm="1">
        <f t="array" ref="C392">IF(
  AND(ISNUMBER(SEARCH("加工品",SUBSTITUTE(A392,"　"," "))), ISNUMBER(SEARCH("ベビーリーフ",SUBSTITUTE(A392,"　"," ")))),
  "ベビーリーフ（加工品）",
  IFERROR(
    INDEX($I$2:$I$10, MATCH(TRUE, ISNUMBER(SEARCH($H$2:$H$10, SUBSTITUTE(A392,"　"," "))), 0)),
    TRIM(SUBSTITUTE(A392,"　"," "))
  )
)</f>
        <v>イチゴ</v>
      </c>
      <c r="D392">
        <f t="shared" si="7"/>
        <v>200</v>
      </c>
    </row>
    <row r="393" spans="1:4">
      <c r="A393" t="s">
        <v>8</v>
      </c>
      <c r="B393">
        <v>140</v>
      </c>
      <c r="C393" t="str" cm="1">
        <f t="array" ref="C393">IF(
  AND(ISNUMBER(SEARCH("加工品",SUBSTITUTE(A393,"　"," "))), ISNUMBER(SEARCH("ベビーリーフ",SUBSTITUTE(A393,"　"," ")))),
  "ベビーリーフ（加工品）",
  IFERROR(
    INDEX($I$2:$I$10, MATCH(TRUE, ISNUMBER(SEARCH($H$2:$H$10, SUBSTITUTE(A393,"　"," "))), 0)),
    TRIM(SUBSTITUTE(A393,"　"," "))
  )
)</f>
        <v>イチゴ</v>
      </c>
      <c r="D393">
        <f t="shared" si="7"/>
        <v>140</v>
      </c>
    </row>
    <row r="394" spans="1:4">
      <c r="A394" t="s">
        <v>11</v>
      </c>
      <c r="B394">
        <v>760</v>
      </c>
      <c r="C394" t="str" cm="1">
        <f t="array" ref="C394">IF(
  AND(ISNUMBER(SEARCH("加工品",SUBSTITUTE(A394,"　"," "))), ISNUMBER(SEARCH("ベビーリーフ",SUBSTITUTE(A394,"　"," ")))),
  "ベビーリーフ（加工品）",
  IFERROR(
    INDEX($I$2:$I$10, MATCH(TRUE, ISNUMBER(SEARCH($H$2:$H$10, SUBSTITUTE(A394,"　"," "))), 0)),
    TRIM(SUBSTITUTE(A394,"　"," "))
  )
)</f>
        <v>レッドオーク</v>
      </c>
      <c r="D394">
        <f t="shared" si="7"/>
        <v>760</v>
      </c>
    </row>
    <row r="395" spans="1:4">
      <c r="A395" t="s">
        <v>9</v>
      </c>
      <c r="B395" s="1">
        <v>2800</v>
      </c>
      <c r="C395" t="str" cm="1">
        <f t="array" ref="C395">IF(
  AND(ISNUMBER(SEARCH("加工品",SUBSTITUTE(A395,"　"," "))), ISNUMBER(SEARCH("ベビーリーフ",SUBSTITUTE(A395,"　"," ")))),
  "ベビーリーフ（加工品）",
  IFERROR(
    INDEX($I$2:$I$10, MATCH(TRUE, ISNUMBER(SEARCH($H$2:$H$10, SUBSTITUTE(A395,"　"," "))), 0)),
    TRIM(SUBSTITUTE(A395,"　"," "))
  )
)</f>
        <v>ロロロッサ</v>
      </c>
      <c r="D395">
        <f t="shared" si="7"/>
        <v>2800</v>
      </c>
    </row>
    <row r="396" spans="1:4">
      <c r="A396" t="s">
        <v>2</v>
      </c>
      <c r="B396">
        <v>240</v>
      </c>
      <c r="C396" t="str" cm="1">
        <f t="array" ref="C396">IF(
  AND(ISNUMBER(SEARCH("加工品",SUBSTITUTE(A396,"　"," "))), ISNUMBER(SEARCH("ベビーリーフ",SUBSTITUTE(A396,"　"," ")))),
  "ベビーリーフ（加工品）",
  IFERROR(
    INDEX($I$2:$I$10, MATCH(TRUE, ISNUMBER(SEARCH($H$2:$H$10, SUBSTITUTE(A396,"　"," "))), 0)),
    TRIM(SUBSTITUTE(A396,"　"," "))
  )
)</f>
        <v>グリーンオーク</v>
      </c>
      <c r="D396">
        <f t="shared" si="7"/>
        <v>240</v>
      </c>
    </row>
    <row r="397" spans="1:4">
      <c r="A397" t="s">
        <v>3</v>
      </c>
      <c r="B397">
        <v>120</v>
      </c>
      <c r="C397" t="str" cm="1">
        <f t="array" ref="C397">IF(
  AND(ISNUMBER(SEARCH("加工品",SUBSTITUTE(A397,"　"," "))), ISNUMBER(SEARCH("ベビーリーフ",SUBSTITUTE(A397,"　"," ")))),
  "ベビーリーフ（加工品）",
  IFERROR(
    INDEX($I$2:$I$10, MATCH(TRUE, ISNUMBER(SEARCH($H$2:$H$10, SUBSTITUTE(A397,"　"," "))), 0)),
    TRIM(SUBSTITUTE(A397,"　"," "))
  )
)</f>
        <v>ベビーリーフ（加工品）</v>
      </c>
      <c r="D397">
        <f t="shared" si="7"/>
        <v>120</v>
      </c>
    </row>
    <row r="398" spans="1:4">
      <c r="A398" t="s">
        <v>3</v>
      </c>
      <c r="B398">
        <v>340</v>
      </c>
      <c r="C398" t="str" cm="1">
        <f t="array" ref="C398">IF(
  AND(ISNUMBER(SEARCH("加工品",SUBSTITUTE(A398,"　"," "))), ISNUMBER(SEARCH("ベビーリーフ",SUBSTITUTE(A398,"　"," ")))),
  "ベビーリーフ（加工品）",
  IFERROR(
    INDEX($I$2:$I$10, MATCH(TRUE, ISNUMBER(SEARCH($H$2:$H$10, SUBSTITUTE(A398,"　"," "))), 0)),
    TRIM(SUBSTITUTE(A398,"　"," "))
  )
)</f>
        <v>ベビーリーフ（加工品）</v>
      </c>
      <c r="D398">
        <f t="shared" si="7"/>
        <v>340</v>
      </c>
    </row>
    <row r="399" spans="1:4">
      <c r="A399" t="s">
        <v>11</v>
      </c>
      <c r="B399">
        <v>280</v>
      </c>
      <c r="C399" t="str" cm="1">
        <f t="array" ref="C399">IF(
  AND(ISNUMBER(SEARCH("加工品",SUBSTITUTE(A399,"　"," "))), ISNUMBER(SEARCH("ベビーリーフ",SUBSTITUTE(A399,"　"," ")))),
  "ベビーリーフ（加工品）",
  IFERROR(
    INDEX($I$2:$I$10, MATCH(TRUE, ISNUMBER(SEARCH($H$2:$H$10, SUBSTITUTE(A399,"　"," "))), 0)),
    TRIM(SUBSTITUTE(A399,"　"," "))
  )
)</f>
        <v>レッドオーク</v>
      </c>
      <c r="D399">
        <f t="shared" si="7"/>
        <v>280</v>
      </c>
    </row>
    <row r="400" spans="1:4">
      <c r="A400" t="s">
        <v>9</v>
      </c>
      <c r="B400">
        <v>900</v>
      </c>
      <c r="C400" t="str" cm="1">
        <f t="array" ref="C400">IF(
  AND(ISNUMBER(SEARCH("加工品",SUBSTITUTE(A400,"　"," "))), ISNUMBER(SEARCH("ベビーリーフ",SUBSTITUTE(A400,"　"," ")))),
  "ベビーリーフ（加工品）",
  IFERROR(
    INDEX($I$2:$I$10, MATCH(TRUE, ISNUMBER(SEARCH($H$2:$H$10, SUBSTITUTE(A400,"　"," "))), 0)),
    TRIM(SUBSTITUTE(A400,"　"," "))
  )
)</f>
        <v>ロロロッサ</v>
      </c>
      <c r="D400">
        <f t="shared" si="7"/>
        <v>900</v>
      </c>
    </row>
    <row r="401" spans="1:4">
      <c r="A401" t="s">
        <v>10</v>
      </c>
      <c r="B401">
        <v>125</v>
      </c>
      <c r="C401" t="str" cm="1">
        <f t="array" ref="C401">IF(
  AND(ISNUMBER(SEARCH("加工品",SUBSTITUTE(A401,"　"," "))), ISNUMBER(SEARCH("ベビーリーフ",SUBSTITUTE(A401,"　"," ")))),
  "ベビーリーフ（加工品）",
  IFERROR(
    INDEX($I$2:$I$10, MATCH(TRUE, ISNUMBER(SEARCH($H$2:$H$10, SUBSTITUTE(A401,"　"," "))), 0)),
    TRIM(SUBSTITUTE(A401,"　"," "))
  )
)</f>
        <v>イチゴ</v>
      </c>
      <c r="D401">
        <f t="shared" si="7"/>
        <v>125</v>
      </c>
    </row>
    <row r="402" spans="1:4">
      <c r="A402" t="s">
        <v>8</v>
      </c>
      <c r="B402">
        <v>495</v>
      </c>
      <c r="C402" t="str" cm="1">
        <f t="array" ref="C402">IF(
  AND(ISNUMBER(SEARCH("加工品",SUBSTITUTE(A402,"　"," "))), ISNUMBER(SEARCH("ベビーリーフ",SUBSTITUTE(A402,"　"," ")))),
  "ベビーリーフ（加工品）",
  IFERROR(
    INDEX($I$2:$I$10, MATCH(TRUE, ISNUMBER(SEARCH($H$2:$H$10, SUBSTITUTE(A402,"　"," "))), 0)),
    TRIM(SUBSTITUTE(A402,"　"," "))
  )
)</f>
        <v>イチゴ</v>
      </c>
      <c r="D402">
        <f t="shared" si="7"/>
        <v>495</v>
      </c>
    </row>
    <row r="403" spans="1:4">
      <c r="A403" t="s">
        <v>3</v>
      </c>
      <c r="B403">
        <v>120</v>
      </c>
      <c r="C403" t="str" cm="1">
        <f t="array" ref="C403">IF(
  AND(ISNUMBER(SEARCH("加工品",SUBSTITUTE(A403,"　"," "))), ISNUMBER(SEARCH("ベビーリーフ",SUBSTITUTE(A403,"　"," ")))),
  "ベビーリーフ（加工品）",
  IFERROR(
    INDEX($I$2:$I$10, MATCH(TRUE, ISNUMBER(SEARCH($H$2:$H$10, SUBSTITUTE(A403,"　"," "))), 0)),
    TRIM(SUBSTITUTE(A403,"　"," "))
  )
)</f>
        <v>ベビーリーフ（加工品）</v>
      </c>
      <c r="D403">
        <f t="shared" si="7"/>
        <v>120</v>
      </c>
    </row>
    <row r="404" spans="1:4">
      <c r="A404" t="s">
        <v>2</v>
      </c>
      <c r="B404">
        <v>360</v>
      </c>
      <c r="C404" t="str" cm="1">
        <f t="array" ref="C404">IF(
  AND(ISNUMBER(SEARCH("加工品",SUBSTITUTE(A404,"　"," "))), ISNUMBER(SEARCH("ベビーリーフ",SUBSTITUTE(A404,"　"," ")))),
  "ベビーリーフ（加工品）",
  IFERROR(
    INDEX($I$2:$I$10, MATCH(TRUE, ISNUMBER(SEARCH($H$2:$H$10, SUBSTITUTE(A404,"　"," "))), 0)),
    TRIM(SUBSTITUTE(A404,"　"," "))
  )
)</f>
        <v>グリーンオーク</v>
      </c>
      <c r="D404">
        <f t="shared" si="7"/>
        <v>360</v>
      </c>
    </row>
    <row r="405" spans="1:4">
      <c r="A405" t="s">
        <v>9</v>
      </c>
      <c r="B405">
        <v>700</v>
      </c>
      <c r="C405" t="str" cm="1">
        <f t="array" ref="C405">IF(
  AND(ISNUMBER(SEARCH("加工品",SUBSTITUTE(A405,"　"," "))), ISNUMBER(SEARCH("ベビーリーフ",SUBSTITUTE(A405,"　"," ")))),
  "ベビーリーフ（加工品）",
  IFERROR(
    INDEX($I$2:$I$10, MATCH(TRUE, ISNUMBER(SEARCH($H$2:$H$10, SUBSTITUTE(A405,"　"," "))), 0)),
    TRIM(SUBSTITUTE(A405,"　"," "))
  )
)</f>
        <v>ロロロッサ</v>
      </c>
      <c r="D405">
        <f t="shared" si="7"/>
        <v>700</v>
      </c>
    </row>
    <row r="406" spans="1:4">
      <c r="A406" t="s">
        <v>3</v>
      </c>
      <c r="B406">
        <v>160</v>
      </c>
      <c r="C406" t="str" cm="1">
        <f t="array" ref="C406">IF(
  AND(ISNUMBER(SEARCH("加工品",SUBSTITUTE(A406,"　"," "))), ISNUMBER(SEARCH("ベビーリーフ",SUBSTITUTE(A406,"　"," ")))),
  "ベビーリーフ（加工品）",
  IFERROR(
    INDEX($I$2:$I$10, MATCH(TRUE, ISNUMBER(SEARCH($H$2:$H$10, SUBSTITUTE(A406,"　"," "))), 0)),
    TRIM(SUBSTITUTE(A406,"　"," "))
  )
)</f>
        <v>ベビーリーフ（加工品）</v>
      </c>
      <c r="D406">
        <f t="shared" si="7"/>
        <v>160</v>
      </c>
    </row>
    <row r="407" spans="1:4">
      <c r="A407" t="s">
        <v>2</v>
      </c>
      <c r="B407">
        <v>300</v>
      </c>
      <c r="C407" t="str" cm="1">
        <f t="array" ref="C407">IF(
  AND(ISNUMBER(SEARCH("加工品",SUBSTITUTE(A407,"　"," "))), ISNUMBER(SEARCH("ベビーリーフ",SUBSTITUTE(A407,"　"," ")))),
  "ベビーリーフ（加工品）",
  IFERROR(
    INDEX($I$2:$I$10, MATCH(TRUE, ISNUMBER(SEARCH($H$2:$H$10, SUBSTITUTE(A407,"　"," "))), 0)),
    TRIM(SUBSTITUTE(A407,"　"," "))
  )
)</f>
        <v>グリーンオーク</v>
      </c>
      <c r="D407">
        <f t="shared" si="7"/>
        <v>300</v>
      </c>
    </row>
    <row r="408" spans="1:4">
      <c r="A408" t="s">
        <v>11</v>
      </c>
      <c r="B408">
        <v>120</v>
      </c>
      <c r="C408" t="str" cm="1">
        <f t="array" ref="C408">IF(
  AND(ISNUMBER(SEARCH("加工品",SUBSTITUTE(A408,"　"," "))), ISNUMBER(SEARCH("ベビーリーフ",SUBSTITUTE(A408,"　"," ")))),
  "ベビーリーフ（加工品）",
  IFERROR(
    INDEX($I$2:$I$10, MATCH(TRUE, ISNUMBER(SEARCH($H$2:$H$10, SUBSTITUTE(A408,"　"," "))), 0)),
    TRIM(SUBSTITUTE(A408,"　"," "))
  )
)</f>
        <v>レッドオーク</v>
      </c>
      <c r="D408">
        <f t="shared" si="7"/>
        <v>120</v>
      </c>
    </row>
    <row r="409" spans="1:4">
      <c r="A409" t="s">
        <v>3</v>
      </c>
      <c r="B409">
        <v>160</v>
      </c>
      <c r="C409" t="str" cm="1">
        <f t="array" ref="C409">IF(
  AND(ISNUMBER(SEARCH("加工品",SUBSTITUTE(A409,"　"," "))), ISNUMBER(SEARCH("ベビーリーフ",SUBSTITUTE(A409,"　"," ")))),
  "ベビーリーフ（加工品）",
  IFERROR(
    INDEX($I$2:$I$10, MATCH(TRUE, ISNUMBER(SEARCH($H$2:$H$10, SUBSTITUTE(A409,"　"," "))), 0)),
    TRIM(SUBSTITUTE(A409,"　"," "))
  )
)</f>
        <v>ベビーリーフ（加工品）</v>
      </c>
      <c r="D409">
        <f t="shared" si="7"/>
        <v>160</v>
      </c>
    </row>
    <row r="410" spans="1:4">
      <c r="A410" t="s">
        <v>2</v>
      </c>
      <c r="B410">
        <v>300</v>
      </c>
      <c r="C410" t="str" cm="1">
        <f t="array" ref="C410">IF(
  AND(ISNUMBER(SEARCH("加工品",SUBSTITUTE(A410,"　"," "))), ISNUMBER(SEARCH("ベビーリーフ",SUBSTITUTE(A410,"　"," ")))),
  "ベビーリーフ（加工品）",
  IFERROR(
    INDEX($I$2:$I$10, MATCH(TRUE, ISNUMBER(SEARCH($H$2:$H$10, SUBSTITUTE(A410,"　"," "))), 0)),
    TRIM(SUBSTITUTE(A410,"　"," "))
  )
)</f>
        <v>グリーンオーク</v>
      </c>
      <c r="D410">
        <f t="shared" si="7"/>
        <v>300</v>
      </c>
    </row>
    <row r="411" spans="1:4">
      <c r="A411" t="s">
        <v>11</v>
      </c>
      <c r="B411">
        <v>120</v>
      </c>
      <c r="C411" t="str" cm="1">
        <f t="array" ref="C411">IF(
  AND(ISNUMBER(SEARCH("加工品",SUBSTITUTE(A411,"　"," "))), ISNUMBER(SEARCH("ベビーリーフ",SUBSTITUTE(A411,"　"," ")))),
  "ベビーリーフ（加工品）",
  IFERROR(
    INDEX($I$2:$I$10, MATCH(TRUE, ISNUMBER(SEARCH($H$2:$H$10, SUBSTITUTE(A411,"　"," "))), 0)),
    TRIM(SUBSTITUTE(A411,"　"," "))
  )
)</f>
        <v>レッドオーク</v>
      </c>
      <c r="D411">
        <f t="shared" si="7"/>
        <v>120</v>
      </c>
    </row>
    <row r="412" spans="1:4">
      <c r="A412" t="s">
        <v>3</v>
      </c>
      <c r="B412">
        <v>160</v>
      </c>
      <c r="C412" t="str" cm="1">
        <f t="array" ref="C412">IF(
  AND(ISNUMBER(SEARCH("加工品",SUBSTITUTE(A412,"　"," "))), ISNUMBER(SEARCH("ベビーリーフ",SUBSTITUTE(A412,"　"," ")))),
  "ベビーリーフ（加工品）",
  IFERROR(
    INDEX($I$2:$I$10, MATCH(TRUE, ISNUMBER(SEARCH($H$2:$H$10, SUBSTITUTE(A412,"　"," "))), 0)),
    TRIM(SUBSTITUTE(A412,"　"," "))
  )
)</f>
        <v>ベビーリーフ（加工品）</v>
      </c>
      <c r="D412">
        <f t="shared" si="7"/>
        <v>160</v>
      </c>
    </row>
    <row r="413" spans="1:4">
      <c r="A413" t="s">
        <v>2</v>
      </c>
      <c r="B413">
        <v>300</v>
      </c>
      <c r="C413" t="str" cm="1">
        <f t="array" ref="C413">IF(
  AND(ISNUMBER(SEARCH("加工品",SUBSTITUTE(A413,"　"," "))), ISNUMBER(SEARCH("ベビーリーフ",SUBSTITUTE(A413,"　"," ")))),
  "ベビーリーフ（加工品）",
  IFERROR(
    INDEX($I$2:$I$10, MATCH(TRUE, ISNUMBER(SEARCH($H$2:$H$10, SUBSTITUTE(A413,"　"," "))), 0)),
    TRIM(SUBSTITUTE(A413,"　"," "))
  )
)</f>
        <v>グリーンオーク</v>
      </c>
      <c r="D413">
        <f t="shared" si="7"/>
        <v>300</v>
      </c>
    </row>
    <row r="414" spans="1:4">
      <c r="A414" t="s">
        <v>11</v>
      </c>
      <c r="B414">
        <v>120</v>
      </c>
      <c r="C414" t="str" cm="1">
        <f t="array" ref="C414">IF(
  AND(ISNUMBER(SEARCH("加工品",SUBSTITUTE(A414,"　"," "))), ISNUMBER(SEARCH("ベビーリーフ",SUBSTITUTE(A414,"　"," ")))),
  "ベビーリーフ（加工品）",
  IFERROR(
    INDEX($I$2:$I$10, MATCH(TRUE, ISNUMBER(SEARCH($H$2:$H$10, SUBSTITUTE(A414,"　"," "))), 0)),
    TRIM(SUBSTITUTE(A414,"　"," "))
  )
)</f>
        <v>レッドオーク</v>
      </c>
      <c r="D414">
        <f t="shared" si="7"/>
        <v>120</v>
      </c>
    </row>
    <row r="415" spans="1:4">
      <c r="A415" t="s">
        <v>3</v>
      </c>
      <c r="B415">
        <v>160</v>
      </c>
      <c r="C415" t="str" cm="1">
        <f t="array" ref="C415">IF(
  AND(ISNUMBER(SEARCH("加工品",SUBSTITUTE(A415,"　"," "))), ISNUMBER(SEARCH("ベビーリーフ",SUBSTITUTE(A415,"　"," ")))),
  "ベビーリーフ（加工品）",
  IFERROR(
    INDEX($I$2:$I$10, MATCH(TRUE, ISNUMBER(SEARCH($H$2:$H$10, SUBSTITUTE(A415,"　"," "))), 0)),
    TRIM(SUBSTITUTE(A415,"　"," "))
  )
)</f>
        <v>ベビーリーフ（加工品）</v>
      </c>
      <c r="D415">
        <f t="shared" si="7"/>
        <v>160</v>
      </c>
    </row>
    <row r="416" spans="1:4">
      <c r="A416" t="s">
        <v>2</v>
      </c>
      <c r="B416">
        <v>300</v>
      </c>
      <c r="C416" t="str" cm="1">
        <f t="array" ref="C416">IF(
  AND(ISNUMBER(SEARCH("加工品",SUBSTITUTE(A416,"　"," "))), ISNUMBER(SEARCH("ベビーリーフ",SUBSTITUTE(A416,"　"," ")))),
  "ベビーリーフ（加工品）",
  IFERROR(
    INDEX($I$2:$I$10, MATCH(TRUE, ISNUMBER(SEARCH($H$2:$H$10, SUBSTITUTE(A416,"　"," "))), 0)),
    TRIM(SUBSTITUTE(A416,"　"," "))
  )
)</f>
        <v>グリーンオーク</v>
      </c>
      <c r="D416">
        <f t="shared" si="7"/>
        <v>300</v>
      </c>
    </row>
    <row r="417" spans="1:4">
      <c r="A417" t="s">
        <v>11</v>
      </c>
      <c r="B417">
        <v>120</v>
      </c>
      <c r="C417" t="str" cm="1">
        <f t="array" ref="C417">IF(
  AND(ISNUMBER(SEARCH("加工品",SUBSTITUTE(A417,"　"," "))), ISNUMBER(SEARCH("ベビーリーフ",SUBSTITUTE(A417,"　"," ")))),
  "ベビーリーフ（加工品）",
  IFERROR(
    INDEX($I$2:$I$10, MATCH(TRUE, ISNUMBER(SEARCH($H$2:$H$10, SUBSTITUTE(A417,"　"," "))), 0)),
    TRIM(SUBSTITUTE(A417,"　"," "))
  )
)</f>
        <v>レッドオーク</v>
      </c>
      <c r="D417">
        <f t="shared" si="7"/>
        <v>120</v>
      </c>
    </row>
    <row r="418" spans="1:4">
      <c r="A418" t="s">
        <v>3</v>
      </c>
      <c r="B418">
        <v>180</v>
      </c>
      <c r="C418" t="str" cm="1">
        <f t="array" ref="C418">IF(
  AND(ISNUMBER(SEARCH("加工品",SUBSTITUTE(A418,"　"," "))), ISNUMBER(SEARCH("ベビーリーフ",SUBSTITUTE(A418,"　"," ")))),
  "ベビーリーフ（加工品）",
  IFERROR(
    INDEX($I$2:$I$10, MATCH(TRUE, ISNUMBER(SEARCH($H$2:$H$10, SUBSTITUTE(A418,"　"," "))), 0)),
    TRIM(SUBSTITUTE(A418,"　"," "))
  )
)</f>
        <v>ベビーリーフ（加工品）</v>
      </c>
      <c r="D418">
        <f t="shared" si="7"/>
        <v>180</v>
      </c>
    </row>
    <row r="419" spans="1:4">
      <c r="A419" t="s">
        <v>2</v>
      </c>
      <c r="B419">
        <v>180</v>
      </c>
      <c r="C419" t="str" cm="1">
        <f t="array" ref="C419">IF(
  AND(ISNUMBER(SEARCH("加工品",SUBSTITUTE(A419,"　"," "))), ISNUMBER(SEARCH("ベビーリーフ",SUBSTITUTE(A419,"　"," ")))),
  "ベビーリーフ（加工品）",
  IFERROR(
    INDEX($I$2:$I$10, MATCH(TRUE, ISNUMBER(SEARCH($H$2:$H$10, SUBSTITUTE(A419,"　"," "))), 0)),
    TRIM(SUBSTITUTE(A419,"　"," "))
  )
)</f>
        <v>グリーンオーク</v>
      </c>
      <c r="D419">
        <f t="shared" si="7"/>
        <v>180</v>
      </c>
    </row>
    <row r="420" spans="1:4">
      <c r="A420" t="s">
        <v>3</v>
      </c>
      <c r="B420" s="1">
        <v>1140</v>
      </c>
      <c r="C420" t="str" cm="1">
        <f t="array" ref="C420">IF(
  AND(ISNUMBER(SEARCH("加工品",SUBSTITUTE(A420,"　"," "))), ISNUMBER(SEARCH("ベビーリーフ",SUBSTITUTE(A420,"　"," ")))),
  "ベビーリーフ（加工品）",
  IFERROR(
    INDEX($I$2:$I$10, MATCH(TRUE, ISNUMBER(SEARCH($H$2:$H$10, SUBSTITUTE(A420,"　"," "))), 0)),
    TRIM(SUBSTITUTE(A420,"　"," "))
  )
)</f>
        <v>ベビーリーフ（加工品）</v>
      </c>
      <c r="D420">
        <f t="shared" si="7"/>
        <v>1140</v>
      </c>
    </row>
    <row r="421" spans="1:4">
      <c r="A421" t="s">
        <v>9</v>
      </c>
      <c r="B421" s="1">
        <v>1080</v>
      </c>
      <c r="C421" t="str" cm="1">
        <f t="array" ref="C421">IF(
  AND(ISNUMBER(SEARCH("加工品",SUBSTITUTE(A421,"　"," "))), ISNUMBER(SEARCH("ベビーリーフ",SUBSTITUTE(A421,"　"," ")))),
  "ベビーリーフ（加工品）",
  IFERROR(
    INDEX($I$2:$I$10, MATCH(TRUE, ISNUMBER(SEARCH($H$2:$H$10, SUBSTITUTE(A421,"　"," "))), 0)),
    TRIM(SUBSTITUTE(A421,"　"," "))
  )
)</f>
        <v>ロロロッサ</v>
      </c>
      <c r="D421">
        <f t="shared" si="7"/>
        <v>1080</v>
      </c>
    </row>
    <row r="422" spans="1:4">
      <c r="A422" t="s">
        <v>11</v>
      </c>
      <c r="B422">
        <v>740</v>
      </c>
      <c r="C422" t="str" cm="1">
        <f t="array" ref="C422">IF(
  AND(ISNUMBER(SEARCH("加工品",SUBSTITUTE(A422,"　"," "))), ISNUMBER(SEARCH("ベビーリーフ",SUBSTITUTE(A422,"　"," ")))),
  "ベビーリーフ（加工品）",
  IFERROR(
    INDEX($I$2:$I$10, MATCH(TRUE, ISNUMBER(SEARCH($H$2:$H$10, SUBSTITUTE(A422,"　"," "))), 0)),
    TRIM(SUBSTITUTE(A422,"　"," "))
  )
)</f>
        <v>レッドオーク</v>
      </c>
      <c r="D422">
        <f t="shared" si="7"/>
        <v>740</v>
      </c>
    </row>
    <row r="423" spans="1:4">
      <c r="A423" t="s">
        <v>3</v>
      </c>
      <c r="B423">
        <v>140</v>
      </c>
      <c r="C423" t="str" cm="1">
        <f t="array" ref="C423">IF(
  AND(ISNUMBER(SEARCH("加工品",SUBSTITUTE(A423,"　"," "))), ISNUMBER(SEARCH("ベビーリーフ",SUBSTITUTE(A423,"　"," ")))),
  "ベビーリーフ（加工品）",
  IFERROR(
    INDEX($I$2:$I$10, MATCH(TRUE, ISNUMBER(SEARCH($H$2:$H$10, SUBSTITUTE(A423,"　"," "))), 0)),
    TRIM(SUBSTITUTE(A423,"　"," "))
  )
)</f>
        <v>ベビーリーフ（加工品）</v>
      </c>
      <c r="D423">
        <f t="shared" si="7"/>
        <v>140</v>
      </c>
    </row>
    <row r="424" spans="1:4">
      <c r="A424" t="s">
        <v>2</v>
      </c>
      <c r="B424">
        <v>480</v>
      </c>
      <c r="C424" t="str" cm="1">
        <f t="array" ref="C424">IF(
  AND(ISNUMBER(SEARCH("加工品",SUBSTITUTE(A424,"　"," "))), ISNUMBER(SEARCH("ベビーリーフ",SUBSTITUTE(A424,"　"," ")))),
  "ベビーリーフ（加工品）",
  IFERROR(
    INDEX($I$2:$I$10, MATCH(TRUE, ISNUMBER(SEARCH($H$2:$H$10, SUBSTITUTE(A424,"　"," "))), 0)),
    TRIM(SUBSTITUTE(A424,"　"," "))
  )
)</f>
        <v>グリーンオーク</v>
      </c>
      <c r="D424">
        <f t="shared" si="7"/>
        <v>480</v>
      </c>
    </row>
    <row r="425" spans="1:4">
      <c r="A425" t="s">
        <v>9</v>
      </c>
      <c r="B425" s="1">
        <v>3920</v>
      </c>
      <c r="C425" t="str" cm="1">
        <f t="array" ref="C425">IF(
  AND(ISNUMBER(SEARCH("加工品",SUBSTITUTE(A425,"　"," "))), ISNUMBER(SEARCH("ベビーリーフ",SUBSTITUTE(A425,"　"," ")))),
  "ベビーリーフ（加工品）",
  IFERROR(
    INDEX($I$2:$I$10, MATCH(TRUE, ISNUMBER(SEARCH($H$2:$H$10, SUBSTITUTE(A425,"　"," "))), 0)),
    TRIM(SUBSTITUTE(A425,"　"," "))
  )
)</f>
        <v>ロロロッサ</v>
      </c>
      <c r="D425">
        <f t="shared" si="7"/>
        <v>3920</v>
      </c>
    </row>
    <row r="426" spans="1:4">
      <c r="A426" t="s">
        <v>10</v>
      </c>
      <c r="B426">
        <v>260</v>
      </c>
      <c r="C426" t="str" cm="1">
        <f t="array" ref="C426">IF(
  AND(ISNUMBER(SEARCH("加工品",SUBSTITUTE(A426,"　"," "))), ISNUMBER(SEARCH("ベビーリーフ",SUBSTITUTE(A426,"　"," ")))),
  "ベビーリーフ（加工品）",
  IFERROR(
    INDEX($I$2:$I$10, MATCH(TRUE, ISNUMBER(SEARCH($H$2:$H$10, SUBSTITUTE(A426,"　"," "))), 0)),
    TRIM(SUBSTITUTE(A426,"　"," "))
  )
)</f>
        <v>イチゴ</v>
      </c>
      <c r="D426">
        <f t="shared" si="7"/>
        <v>260</v>
      </c>
    </row>
    <row r="427" spans="1:4">
      <c r="A427" t="s">
        <v>8</v>
      </c>
      <c r="B427">
        <v>420</v>
      </c>
      <c r="C427" t="str" cm="1">
        <f t="array" ref="C427">IF(
  AND(ISNUMBER(SEARCH("加工品",SUBSTITUTE(A427,"　"," "))), ISNUMBER(SEARCH("ベビーリーフ",SUBSTITUTE(A427,"　"," ")))),
  "ベビーリーフ（加工品）",
  IFERROR(
    INDEX($I$2:$I$10, MATCH(TRUE, ISNUMBER(SEARCH($H$2:$H$10, SUBSTITUTE(A427,"　"," "))), 0)),
    TRIM(SUBSTITUTE(A427,"　"," "))
  )
)</f>
        <v>イチゴ</v>
      </c>
      <c r="D427">
        <f t="shared" si="7"/>
        <v>420</v>
      </c>
    </row>
    <row r="428" spans="1:4">
      <c r="A428" t="s">
        <v>3</v>
      </c>
      <c r="B428">
        <v>260</v>
      </c>
      <c r="C428" t="str" cm="1">
        <f t="array" ref="C428">IF(
  AND(ISNUMBER(SEARCH("加工品",SUBSTITUTE(A428,"　"," "))), ISNUMBER(SEARCH("ベビーリーフ",SUBSTITUTE(A428,"　"," ")))),
  "ベビーリーフ（加工品）",
  IFERROR(
    INDEX($I$2:$I$10, MATCH(TRUE, ISNUMBER(SEARCH($H$2:$H$10, SUBSTITUTE(A428,"　"," "))), 0)),
    TRIM(SUBSTITUTE(A428,"　"," "))
  )
)</f>
        <v>ベビーリーフ（加工品）</v>
      </c>
      <c r="D428">
        <f t="shared" si="7"/>
        <v>260</v>
      </c>
    </row>
    <row r="429" spans="1:4">
      <c r="A429" t="s">
        <v>2</v>
      </c>
      <c r="B429">
        <v>520</v>
      </c>
      <c r="C429" t="str" cm="1">
        <f t="array" ref="C429">IF(
  AND(ISNUMBER(SEARCH("加工品",SUBSTITUTE(A429,"　"," "))), ISNUMBER(SEARCH("ベビーリーフ",SUBSTITUTE(A429,"　"," ")))),
  "ベビーリーフ（加工品）",
  IFERROR(
    INDEX($I$2:$I$10, MATCH(TRUE, ISNUMBER(SEARCH($H$2:$H$10, SUBSTITUTE(A429,"　"," "))), 0)),
    TRIM(SUBSTITUTE(A429,"　"," "))
  )
)</f>
        <v>グリーンオーク</v>
      </c>
      <c r="D429">
        <f t="shared" si="7"/>
        <v>520</v>
      </c>
    </row>
    <row r="430" spans="1:4">
      <c r="A430" t="s">
        <v>12</v>
      </c>
      <c r="B430">
        <v>120</v>
      </c>
      <c r="C430" t="str" cm="1">
        <f t="array" ref="C430">IF(
  AND(ISNUMBER(SEARCH("加工品",SUBSTITUTE(A430,"　"," "))), ISNUMBER(SEARCH("ベビーリーフ",SUBSTITUTE(A430,"　"," ")))),
  "ベビーリーフ（加工品）",
  IFERROR(
    INDEX($I$2:$I$10, MATCH(TRUE, ISNUMBER(SEARCH($H$2:$H$10, SUBSTITUTE(A430,"　"," "))), 0)),
    TRIM(SUBSTITUTE(A430,"　"," "))
  )
)</f>
        <v>ブロッコリースプラウト</v>
      </c>
      <c r="D430">
        <f t="shared" si="7"/>
        <v>120</v>
      </c>
    </row>
    <row r="431" spans="1:4">
      <c r="A431" t="s">
        <v>11</v>
      </c>
      <c r="B431">
        <v>580</v>
      </c>
      <c r="C431" t="str" cm="1">
        <f t="array" ref="C431">IF(
  AND(ISNUMBER(SEARCH("加工品",SUBSTITUTE(A431,"　"," "))), ISNUMBER(SEARCH("ベビーリーフ",SUBSTITUTE(A431,"　"," ")))),
  "ベビーリーフ（加工品）",
  IFERROR(
    INDEX($I$2:$I$10, MATCH(TRUE, ISNUMBER(SEARCH($H$2:$H$10, SUBSTITUTE(A431,"　"," "))), 0)),
    TRIM(SUBSTITUTE(A431,"　"," "))
  )
)</f>
        <v>レッドオーク</v>
      </c>
      <c r="D431">
        <f t="shared" si="7"/>
        <v>580</v>
      </c>
    </row>
    <row r="432" spans="1:4">
      <c r="A432" t="s">
        <v>3</v>
      </c>
      <c r="B432">
        <v>100</v>
      </c>
      <c r="C432" t="str" cm="1">
        <f t="array" ref="C432">IF(
  AND(ISNUMBER(SEARCH("加工品",SUBSTITUTE(A432,"　"," "))), ISNUMBER(SEARCH("ベビーリーフ",SUBSTITUTE(A432,"　"," ")))),
  "ベビーリーフ（加工品）",
  IFERROR(
    INDEX($I$2:$I$10, MATCH(TRUE, ISNUMBER(SEARCH($H$2:$H$10, SUBSTITUTE(A432,"　"," "))), 0)),
    TRIM(SUBSTITUTE(A432,"　"," "))
  )
)</f>
        <v>ベビーリーフ（加工品）</v>
      </c>
      <c r="D432">
        <f t="shared" si="7"/>
        <v>100</v>
      </c>
    </row>
    <row r="433" spans="1:4">
      <c r="A433" t="s">
        <v>2</v>
      </c>
      <c r="B433">
        <v>160</v>
      </c>
      <c r="C433" t="str" cm="1">
        <f t="array" ref="C433">IF(
  AND(ISNUMBER(SEARCH("加工品",SUBSTITUTE(A433,"　"," "))), ISNUMBER(SEARCH("ベビーリーフ",SUBSTITUTE(A433,"　"," ")))),
  "ベビーリーフ（加工品）",
  IFERROR(
    INDEX($I$2:$I$10, MATCH(TRUE, ISNUMBER(SEARCH($H$2:$H$10, SUBSTITUTE(A433,"　"," "))), 0)),
    TRIM(SUBSTITUTE(A433,"　"," "))
  )
)</f>
        <v>グリーンオーク</v>
      </c>
      <c r="D433">
        <f t="shared" si="7"/>
        <v>160</v>
      </c>
    </row>
    <row r="434" spans="1:4">
      <c r="A434" t="s">
        <v>3</v>
      </c>
      <c r="B434">
        <v>200</v>
      </c>
      <c r="C434" t="str" cm="1">
        <f t="array" ref="C434">IF(
  AND(ISNUMBER(SEARCH("加工品",SUBSTITUTE(A434,"　"," "))), ISNUMBER(SEARCH("ベビーリーフ",SUBSTITUTE(A434,"　"," ")))),
  "ベビーリーフ（加工品）",
  IFERROR(
    INDEX($I$2:$I$10, MATCH(TRUE, ISNUMBER(SEARCH($H$2:$H$10, SUBSTITUTE(A434,"　"," "))), 0)),
    TRIM(SUBSTITUTE(A434,"　"," "))
  )
)</f>
        <v>ベビーリーフ（加工品）</v>
      </c>
      <c r="D434">
        <f t="shared" si="7"/>
        <v>200</v>
      </c>
    </row>
    <row r="435" spans="1:4">
      <c r="A435" t="s">
        <v>2</v>
      </c>
      <c r="B435">
        <v>440</v>
      </c>
      <c r="C435" t="str" cm="1">
        <f t="array" ref="C435">IF(
  AND(ISNUMBER(SEARCH("加工品",SUBSTITUTE(A435,"　"," "))), ISNUMBER(SEARCH("ベビーリーフ",SUBSTITUTE(A435,"　"," ")))),
  "ベビーリーフ（加工品）",
  IFERROR(
    INDEX($I$2:$I$10, MATCH(TRUE, ISNUMBER(SEARCH($H$2:$H$10, SUBSTITUTE(A435,"　"," "))), 0)),
    TRIM(SUBSTITUTE(A435,"　"," "))
  )
)</f>
        <v>グリーンオーク</v>
      </c>
      <c r="D435">
        <f t="shared" si="7"/>
        <v>440</v>
      </c>
    </row>
    <row r="436" spans="1:4">
      <c r="A436" t="s">
        <v>9</v>
      </c>
      <c r="B436">
        <v>800</v>
      </c>
      <c r="C436" t="str" cm="1">
        <f t="array" ref="C436">IF(
  AND(ISNUMBER(SEARCH("加工品",SUBSTITUTE(A436,"　"," "))), ISNUMBER(SEARCH("ベビーリーフ",SUBSTITUTE(A436,"　"," ")))),
  "ベビーリーフ（加工品）",
  IFERROR(
    INDEX($I$2:$I$10, MATCH(TRUE, ISNUMBER(SEARCH($H$2:$H$10, SUBSTITUTE(A436,"　"," "))), 0)),
    TRIM(SUBSTITUTE(A436,"　"," "))
  )
)</f>
        <v>ロロロッサ</v>
      </c>
      <c r="D436">
        <f t="shared" si="7"/>
        <v>800</v>
      </c>
    </row>
    <row r="437" spans="1:4">
      <c r="A437" t="s">
        <v>11</v>
      </c>
      <c r="B437">
        <v>760</v>
      </c>
      <c r="C437" t="str" cm="1">
        <f t="array" ref="C437">IF(
  AND(ISNUMBER(SEARCH("加工品",SUBSTITUTE(A437,"　"," "))), ISNUMBER(SEARCH("ベビーリーフ",SUBSTITUTE(A437,"　"," ")))),
  "ベビーリーフ（加工品）",
  IFERROR(
    INDEX($I$2:$I$10, MATCH(TRUE, ISNUMBER(SEARCH($H$2:$H$10, SUBSTITUTE(A437,"　"," "))), 0)),
    TRIM(SUBSTITUTE(A437,"　"," "))
  )
)</f>
        <v>レッドオーク</v>
      </c>
      <c r="D437">
        <f t="shared" si="7"/>
        <v>760</v>
      </c>
    </row>
    <row r="438" spans="1:4">
      <c r="A438" t="s">
        <v>2</v>
      </c>
      <c r="B438">
        <v>540</v>
      </c>
      <c r="C438" t="str" cm="1">
        <f t="array" ref="C438">IF(
  AND(ISNUMBER(SEARCH("加工品",SUBSTITUTE(A438,"　"," "))), ISNUMBER(SEARCH("ベビーリーフ",SUBSTITUTE(A438,"　"," ")))),
  "ベビーリーフ（加工品）",
  IFERROR(
    INDEX($I$2:$I$10, MATCH(TRUE, ISNUMBER(SEARCH($H$2:$H$10, SUBSTITUTE(A438,"　"," "))), 0)),
    TRIM(SUBSTITUTE(A438,"　"," "))
  )
)</f>
        <v>グリーンオーク</v>
      </c>
      <c r="D438">
        <f t="shared" si="7"/>
        <v>540</v>
      </c>
    </row>
    <row r="439" spans="1:4">
      <c r="A439" t="s">
        <v>3</v>
      </c>
      <c r="B439" s="1">
        <v>2940</v>
      </c>
      <c r="C439" t="str" cm="1">
        <f t="array" ref="C439">IF(
  AND(ISNUMBER(SEARCH("加工品",SUBSTITUTE(A439,"　"," "))), ISNUMBER(SEARCH("ベビーリーフ",SUBSTITUTE(A439,"　"," ")))),
  "ベビーリーフ（加工品）",
  IFERROR(
    INDEX($I$2:$I$10, MATCH(TRUE, ISNUMBER(SEARCH($H$2:$H$10, SUBSTITUTE(A439,"　"," "))), 0)),
    TRIM(SUBSTITUTE(A439,"　"," "))
  )
)</f>
        <v>ベビーリーフ（加工品）</v>
      </c>
      <c r="D439">
        <f t="shared" si="7"/>
        <v>2940</v>
      </c>
    </row>
    <row r="440" spans="1:4">
      <c r="A440" t="s">
        <v>11</v>
      </c>
      <c r="B440">
        <v>400</v>
      </c>
      <c r="C440" t="str" cm="1">
        <f t="array" ref="C440">IF(
  AND(ISNUMBER(SEARCH("加工品",SUBSTITUTE(A440,"　"," "))), ISNUMBER(SEARCH("ベビーリーフ",SUBSTITUTE(A440,"　"," ")))),
  "ベビーリーフ（加工品）",
  IFERROR(
    INDEX($I$2:$I$10, MATCH(TRUE, ISNUMBER(SEARCH($H$2:$H$10, SUBSTITUTE(A440,"　"," "))), 0)),
    TRIM(SUBSTITUTE(A440,"　"," "))
  )
)</f>
        <v>レッドオーク</v>
      </c>
      <c r="D440">
        <f t="shared" si="7"/>
        <v>400</v>
      </c>
    </row>
    <row r="441" spans="1:4">
      <c r="A441" t="s">
        <v>3</v>
      </c>
      <c r="B441">
        <v>160</v>
      </c>
      <c r="C441" t="str" cm="1">
        <f t="array" ref="C441">IF(
  AND(ISNUMBER(SEARCH("加工品",SUBSTITUTE(A441,"　"," "))), ISNUMBER(SEARCH("ベビーリーフ",SUBSTITUTE(A441,"　"," ")))),
  "ベビーリーフ（加工品）",
  IFERROR(
    INDEX($I$2:$I$10, MATCH(TRUE, ISNUMBER(SEARCH($H$2:$H$10, SUBSTITUTE(A441,"　"," "))), 0)),
    TRIM(SUBSTITUTE(A441,"　"," "))
  )
)</f>
        <v>ベビーリーフ（加工品）</v>
      </c>
      <c r="D441">
        <f t="shared" si="7"/>
        <v>160</v>
      </c>
    </row>
    <row r="442" spans="1:4">
      <c r="A442" t="s">
        <v>2</v>
      </c>
      <c r="B442">
        <v>400</v>
      </c>
      <c r="C442" t="str" cm="1">
        <f t="array" ref="C442">IF(
  AND(ISNUMBER(SEARCH("加工品",SUBSTITUTE(A442,"　"," "))), ISNUMBER(SEARCH("ベビーリーフ",SUBSTITUTE(A442,"　"," ")))),
  "ベビーリーフ（加工品）",
  IFERROR(
    INDEX($I$2:$I$10, MATCH(TRUE, ISNUMBER(SEARCH($H$2:$H$10, SUBSTITUTE(A442,"　"," "))), 0)),
    TRIM(SUBSTITUTE(A442,"　"," "))
  )
)</f>
        <v>グリーンオーク</v>
      </c>
      <c r="D442">
        <f t="shared" si="7"/>
        <v>400</v>
      </c>
    </row>
    <row r="443" spans="1:4">
      <c r="A443" t="s">
        <v>9</v>
      </c>
      <c r="B443">
        <v>140</v>
      </c>
      <c r="C443" t="str" cm="1">
        <f t="array" ref="C443">IF(
  AND(ISNUMBER(SEARCH("加工品",SUBSTITUTE(A443,"　"," "))), ISNUMBER(SEARCH("ベビーリーフ",SUBSTITUTE(A443,"　"," ")))),
  "ベビーリーフ（加工品）",
  IFERROR(
    INDEX($I$2:$I$10, MATCH(TRUE, ISNUMBER(SEARCH($H$2:$H$10, SUBSTITUTE(A443,"　"," "))), 0)),
    TRIM(SUBSTITUTE(A443,"　"," "))
  )
)</f>
        <v>ロロロッサ</v>
      </c>
      <c r="D443">
        <f t="shared" si="7"/>
        <v>140</v>
      </c>
    </row>
    <row r="444" spans="1:4">
      <c r="A444" t="s">
        <v>11</v>
      </c>
      <c r="B444">
        <v>360</v>
      </c>
      <c r="C444" t="str" cm="1">
        <f t="array" ref="C444">IF(
  AND(ISNUMBER(SEARCH("加工品",SUBSTITUTE(A444,"　"," "))), ISNUMBER(SEARCH("ベビーリーフ",SUBSTITUTE(A444,"　"," ")))),
  "ベビーリーフ（加工品）",
  IFERROR(
    INDEX($I$2:$I$10, MATCH(TRUE, ISNUMBER(SEARCH($H$2:$H$10, SUBSTITUTE(A444,"　"," "))), 0)),
    TRIM(SUBSTITUTE(A444,"　"," "))
  )
)</f>
        <v>レッドオーク</v>
      </c>
      <c r="D444">
        <f t="shared" si="7"/>
        <v>360</v>
      </c>
    </row>
    <row r="445" spans="1:4">
      <c r="A445" t="s">
        <v>3</v>
      </c>
      <c r="B445">
        <v>420</v>
      </c>
      <c r="C445" t="str" cm="1">
        <f t="array" ref="C445">IF(
  AND(ISNUMBER(SEARCH("加工品",SUBSTITUTE(A445,"　"," "))), ISNUMBER(SEARCH("ベビーリーフ",SUBSTITUTE(A445,"　"," ")))),
  "ベビーリーフ（加工品）",
  IFERROR(
    INDEX($I$2:$I$10, MATCH(TRUE, ISNUMBER(SEARCH($H$2:$H$10, SUBSTITUTE(A445,"　"," "))), 0)),
    TRIM(SUBSTITUTE(A445,"　"," "))
  )
)</f>
        <v>ベビーリーフ（加工品）</v>
      </c>
      <c r="D445">
        <f t="shared" si="7"/>
        <v>420</v>
      </c>
    </row>
    <row r="446" spans="1:4">
      <c r="A446" t="s">
        <v>2</v>
      </c>
      <c r="B446">
        <v>640</v>
      </c>
      <c r="C446" t="str" cm="1">
        <f t="array" ref="C446">IF(
  AND(ISNUMBER(SEARCH("加工品",SUBSTITUTE(A446,"　"," "))), ISNUMBER(SEARCH("ベビーリーフ",SUBSTITUTE(A446,"　"," ")))),
  "ベビーリーフ（加工品）",
  IFERROR(
    INDEX($I$2:$I$10, MATCH(TRUE, ISNUMBER(SEARCH($H$2:$H$10, SUBSTITUTE(A446,"　"," "))), 0)),
    TRIM(SUBSTITUTE(A446,"　"," "))
  )
)</f>
        <v>グリーンオーク</v>
      </c>
      <c r="D446">
        <f t="shared" si="7"/>
        <v>640</v>
      </c>
    </row>
    <row r="447" spans="1:4">
      <c r="A447" t="s">
        <v>11</v>
      </c>
      <c r="B447">
        <v>300</v>
      </c>
      <c r="C447" t="str" cm="1">
        <f t="array" ref="C447">IF(
  AND(ISNUMBER(SEARCH("加工品",SUBSTITUTE(A447,"　"," "))), ISNUMBER(SEARCH("ベビーリーフ",SUBSTITUTE(A447,"　"," ")))),
  "ベビーリーフ（加工品）",
  IFERROR(
    INDEX($I$2:$I$10, MATCH(TRUE, ISNUMBER(SEARCH($H$2:$H$10, SUBSTITUTE(A447,"　"," "))), 0)),
    TRIM(SUBSTITUTE(A447,"　"," "))
  )
)</f>
        <v>レッドオーク</v>
      </c>
      <c r="D447">
        <f t="shared" si="7"/>
        <v>300</v>
      </c>
    </row>
    <row r="448" spans="1:4">
      <c r="A448" t="s">
        <v>9</v>
      </c>
      <c r="B448">
        <v>280</v>
      </c>
      <c r="C448" t="str" cm="1">
        <f t="array" ref="C448">IF(
  AND(ISNUMBER(SEARCH("加工品",SUBSTITUTE(A448,"　"," "))), ISNUMBER(SEARCH("ベビーリーフ",SUBSTITUTE(A448,"　"," ")))),
  "ベビーリーフ（加工品）",
  IFERROR(
    INDEX($I$2:$I$10, MATCH(TRUE, ISNUMBER(SEARCH($H$2:$H$10, SUBSTITUTE(A448,"　"," "))), 0)),
    TRIM(SUBSTITUTE(A448,"　"," "))
  )
)</f>
        <v>ロロロッサ</v>
      </c>
      <c r="D448">
        <f t="shared" si="7"/>
        <v>280</v>
      </c>
    </row>
    <row r="449" spans="1:4">
      <c r="A449" t="s">
        <v>3</v>
      </c>
      <c r="B449" s="1">
        <v>3080</v>
      </c>
      <c r="C449" t="str" cm="1">
        <f t="array" ref="C449">IF(
  AND(ISNUMBER(SEARCH("加工品",SUBSTITUTE(A449,"　"," "))), ISNUMBER(SEARCH("ベビーリーフ",SUBSTITUTE(A449,"　"," ")))),
  "ベビーリーフ（加工品）",
  IFERROR(
    INDEX($I$2:$I$10, MATCH(TRUE, ISNUMBER(SEARCH($H$2:$H$10, SUBSTITUTE(A449,"　"," "))), 0)),
    TRIM(SUBSTITUTE(A449,"　"," "))
  )
)</f>
        <v>ベビーリーフ（加工品）</v>
      </c>
      <c r="D449">
        <f t="shared" si="7"/>
        <v>3080</v>
      </c>
    </row>
    <row r="450" spans="1:4">
      <c r="A450" t="s">
        <v>3</v>
      </c>
      <c r="B450">
        <v>220</v>
      </c>
      <c r="C450" t="str" cm="1">
        <f t="array" ref="C450">IF(
  AND(ISNUMBER(SEARCH("加工品",SUBSTITUTE(A450,"　"," "))), ISNUMBER(SEARCH("ベビーリーフ",SUBSTITUTE(A450,"　"," ")))),
  "ベビーリーフ（加工品）",
  IFERROR(
    INDEX($I$2:$I$10, MATCH(TRUE, ISNUMBER(SEARCH($H$2:$H$10, SUBSTITUTE(A450,"　"," "))), 0)),
    TRIM(SUBSTITUTE(A450,"　"," "))
  )
)</f>
        <v>ベビーリーフ（加工品）</v>
      </c>
      <c r="D450">
        <f t="shared" si="7"/>
        <v>220</v>
      </c>
    </row>
    <row r="451" spans="1:4">
      <c r="A451" t="s">
        <v>2</v>
      </c>
      <c r="B451">
        <v>340</v>
      </c>
      <c r="C451" t="str" cm="1">
        <f t="array" ref="C451">IF(
  AND(ISNUMBER(SEARCH("加工品",SUBSTITUTE(A451,"　"," "))), ISNUMBER(SEARCH("ベビーリーフ",SUBSTITUTE(A451,"　"," ")))),
  "ベビーリーフ（加工品）",
  IFERROR(
    INDEX($I$2:$I$10, MATCH(TRUE, ISNUMBER(SEARCH($H$2:$H$10, SUBSTITUTE(A451,"　"," "))), 0)),
    TRIM(SUBSTITUTE(A451,"　"," "))
  )
)</f>
        <v>グリーンオーク</v>
      </c>
      <c r="D451">
        <f t="shared" ref="D451:D514" si="8">--SUBSTITUTE(B451,",","")</f>
        <v>340</v>
      </c>
    </row>
    <row r="452" spans="1:4">
      <c r="A452" t="s">
        <v>9</v>
      </c>
      <c r="B452">
        <v>940</v>
      </c>
      <c r="C452" t="str" cm="1">
        <f t="array" ref="C452">IF(
  AND(ISNUMBER(SEARCH("加工品",SUBSTITUTE(A452,"　"," "))), ISNUMBER(SEARCH("ベビーリーフ",SUBSTITUTE(A452,"　"," ")))),
  "ベビーリーフ（加工品）",
  IFERROR(
    INDEX($I$2:$I$10, MATCH(TRUE, ISNUMBER(SEARCH($H$2:$H$10, SUBSTITUTE(A452,"　"," "))), 0)),
    TRIM(SUBSTITUTE(A452,"　"," "))
  )
)</f>
        <v>ロロロッサ</v>
      </c>
      <c r="D452">
        <f t="shared" si="8"/>
        <v>940</v>
      </c>
    </row>
    <row r="453" spans="1:4">
      <c r="A453" t="s">
        <v>11</v>
      </c>
      <c r="B453" s="1">
        <v>1080</v>
      </c>
      <c r="C453" t="str" cm="1">
        <f t="array" ref="C453">IF(
  AND(ISNUMBER(SEARCH("加工品",SUBSTITUTE(A453,"　"," "))), ISNUMBER(SEARCH("ベビーリーフ",SUBSTITUTE(A453,"　"," ")))),
  "ベビーリーフ（加工品）",
  IFERROR(
    INDEX($I$2:$I$10, MATCH(TRUE, ISNUMBER(SEARCH($H$2:$H$10, SUBSTITUTE(A453,"　"," "))), 0)),
    TRIM(SUBSTITUTE(A453,"　"," "))
  )
)</f>
        <v>レッドオーク</v>
      </c>
      <c r="D453">
        <f t="shared" si="8"/>
        <v>1080</v>
      </c>
    </row>
    <row r="454" spans="1:4">
      <c r="A454" t="s">
        <v>2</v>
      </c>
      <c r="B454">
        <v>500</v>
      </c>
      <c r="C454" t="str" cm="1">
        <f t="array" ref="C454">IF(
  AND(ISNUMBER(SEARCH("加工品",SUBSTITUTE(A454,"　"," "))), ISNUMBER(SEARCH("ベビーリーフ",SUBSTITUTE(A454,"　"," ")))),
  "ベビーリーフ（加工品）",
  IFERROR(
    INDEX($I$2:$I$10, MATCH(TRUE, ISNUMBER(SEARCH($H$2:$H$10, SUBSTITUTE(A454,"　"," "))), 0)),
    TRIM(SUBSTITUTE(A454,"　"," "))
  )
)</f>
        <v>グリーンオーク</v>
      </c>
      <c r="D454">
        <f t="shared" si="8"/>
        <v>500</v>
      </c>
    </row>
    <row r="455" spans="1:4">
      <c r="A455" t="s">
        <v>10</v>
      </c>
      <c r="B455">
        <v>100</v>
      </c>
      <c r="C455" t="str" cm="1">
        <f t="array" ref="C455">IF(
  AND(ISNUMBER(SEARCH("加工品",SUBSTITUTE(A455,"　"," "))), ISNUMBER(SEARCH("ベビーリーフ",SUBSTITUTE(A455,"　"," ")))),
  "ベビーリーフ（加工品）",
  IFERROR(
    INDEX($I$2:$I$10, MATCH(TRUE, ISNUMBER(SEARCH($H$2:$H$10, SUBSTITUTE(A455,"　"," "))), 0)),
    TRIM(SUBSTITUTE(A455,"　"," "))
  )
)</f>
        <v>イチゴ</v>
      </c>
      <c r="D455">
        <f t="shared" si="8"/>
        <v>100</v>
      </c>
    </row>
    <row r="456" spans="1:4">
      <c r="A456" t="s">
        <v>8</v>
      </c>
      <c r="B456">
        <v>480</v>
      </c>
      <c r="C456" t="str" cm="1">
        <f t="array" ref="C456">IF(
  AND(ISNUMBER(SEARCH("加工品",SUBSTITUTE(A456,"　"," "))), ISNUMBER(SEARCH("ベビーリーフ",SUBSTITUTE(A456,"　"," ")))),
  "ベビーリーフ（加工品）",
  IFERROR(
    INDEX($I$2:$I$10, MATCH(TRUE, ISNUMBER(SEARCH($H$2:$H$10, SUBSTITUTE(A456,"　"," "))), 0)),
    TRIM(SUBSTITUTE(A456,"　"," "))
  )
)</f>
        <v>イチゴ</v>
      </c>
      <c r="D456">
        <f t="shared" si="8"/>
        <v>480</v>
      </c>
    </row>
    <row r="457" spans="1:4">
      <c r="A457" t="s">
        <v>11</v>
      </c>
      <c r="B457">
        <v>820</v>
      </c>
      <c r="C457" t="str" cm="1">
        <f t="array" ref="C457">IF(
  AND(ISNUMBER(SEARCH("加工品",SUBSTITUTE(A457,"　"," "))), ISNUMBER(SEARCH("ベビーリーフ",SUBSTITUTE(A457,"　"," ")))),
  "ベビーリーフ（加工品）",
  IFERROR(
    INDEX($I$2:$I$10, MATCH(TRUE, ISNUMBER(SEARCH($H$2:$H$10, SUBSTITUTE(A457,"　"," "))), 0)),
    TRIM(SUBSTITUTE(A457,"　"," "))
  )
)</f>
        <v>レッドオーク</v>
      </c>
      <c r="D457">
        <f t="shared" si="8"/>
        <v>820</v>
      </c>
    </row>
    <row r="458" spans="1:4">
      <c r="A458" t="s">
        <v>12</v>
      </c>
      <c r="B458">
        <v>180</v>
      </c>
      <c r="C458" t="str" cm="1">
        <f t="array" ref="C458">IF(
  AND(ISNUMBER(SEARCH("加工品",SUBSTITUTE(A458,"　"," "))), ISNUMBER(SEARCH("ベビーリーフ",SUBSTITUTE(A458,"　"," ")))),
  "ベビーリーフ（加工品）",
  IFERROR(
    INDEX($I$2:$I$10, MATCH(TRUE, ISNUMBER(SEARCH($H$2:$H$10, SUBSTITUTE(A458,"　"," "))), 0)),
    TRIM(SUBSTITUTE(A458,"　"," "))
  )
)</f>
        <v>ブロッコリースプラウト</v>
      </c>
      <c r="D458">
        <f t="shared" si="8"/>
        <v>180</v>
      </c>
    </row>
    <row r="459" spans="1:4">
      <c r="A459" t="s">
        <v>3</v>
      </c>
      <c r="B459">
        <v>160</v>
      </c>
      <c r="C459" t="str" cm="1">
        <f t="array" ref="C459">IF(
  AND(ISNUMBER(SEARCH("加工品",SUBSTITUTE(A459,"　"," "))), ISNUMBER(SEARCH("ベビーリーフ",SUBSTITUTE(A459,"　"," ")))),
  "ベビーリーフ（加工品）",
  IFERROR(
    INDEX($I$2:$I$10, MATCH(TRUE, ISNUMBER(SEARCH($H$2:$H$10, SUBSTITUTE(A459,"　"," "))), 0)),
    TRIM(SUBSTITUTE(A459,"　"," "))
  )
)</f>
        <v>ベビーリーフ（加工品）</v>
      </c>
      <c r="D459">
        <f t="shared" si="8"/>
        <v>160</v>
      </c>
    </row>
    <row r="460" spans="1:4">
      <c r="A460" t="s">
        <v>2</v>
      </c>
      <c r="B460">
        <v>500</v>
      </c>
      <c r="C460" t="str" cm="1">
        <f t="array" ref="C460">IF(
  AND(ISNUMBER(SEARCH("加工品",SUBSTITUTE(A460,"　"," "))), ISNUMBER(SEARCH("ベビーリーフ",SUBSTITUTE(A460,"　"," ")))),
  "ベビーリーフ（加工品）",
  IFERROR(
    INDEX($I$2:$I$10, MATCH(TRUE, ISNUMBER(SEARCH($H$2:$H$10, SUBSTITUTE(A460,"　"," "))), 0)),
    TRIM(SUBSTITUTE(A460,"　"," "))
  )
)</f>
        <v>グリーンオーク</v>
      </c>
      <c r="D460">
        <f t="shared" si="8"/>
        <v>500</v>
      </c>
    </row>
    <row r="461" spans="1:4">
      <c r="A461" t="s">
        <v>3</v>
      </c>
      <c r="B461" s="1">
        <v>2440</v>
      </c>
      <c r="C461" t="str" cm="1">
        <f t="array" ref="C461">IF(
  AND(ISNUMBER(SEARCH("加工品",SUBSTITUTE(A461,"　"," "))), ISNUMBER(SEARCH("ベビーリーフ",SUBSTITUTE(A461,"　"," ")))),
  "ベビーリーフ（加工品）",
  IFERROR(
    INDEX($I$2:$I$10, MATCH(TRUE, ISNUMBER(SEARCH($H$2:$H$10, SUBSTITUTE(A461,"　"," "))), 0)),
    TRIM(SUBSTITUTE(A461,"　"," "))
  )
)</f>
        <v>ベビーリーフ（加工品）</v>
      </c>
      <c r="D461">
        <f t="shared" si="8"/>
        <v>2440</v>
      </c>
    </row>
    <row r="462" spans="1:4">
      <c r="A462" t="s">
        <v>9</v>
      </c>
      <c r="B462">
        <v>340</v>
      </c>
      <c r="C462" t="str" cm="1">
        <f t="array" ref="C462">IF(
  AND(ISNUMBER(SEARCH("加工品",SUBSTITUTE(A462,"　"," "))), ISNUMBER(SEARCH("ベビーリーフ",SUBSTITUTE(A462,"　"," ")))),
  "ベビーリーフ（加工品）",
  IFERROR(
    INDEX($I$2:$I$10, MATCH(TRUE, ISNUMBER(SEARCH($H$2:$H$10, SUBSTITUTE(A462,"　"," "))), 0)),
    TRIM(SUBSTITUTE(A462,"　"," "))
  )
)</f>
        <v>ロロロッサ</v>
      </c>
      <c r="D462">
        <f t="shared" si="8"/>
        <v>340</v>
      </c>
    </row>
    <row r="463" spans="1:4">
      <c r="A463" t="s">
        <v>11</v>
      </c>
      <c r="B463">
        <v>540</v>
      </c>
      <c r="C463" t="str" cm="1">
        <f t="array" ref="C463">IF(
  AND(ISNUMBER(SEARCH("加工品",SUBSTITUTE(A463,"　"," "))), ISNUMBER(SEARCH("ベビーリーフ",SUBSTITUTE(A463,"　"," ")))),
  "ベビーリーフ（加工品）",
  IFERROR(
    INDEX($I$2:$I$10, MATCH(TRUE, ISNUMBER(SEARCH($H$2:$H$10, SUBSTITUTE(A463,"　"," "))), 0)),
    TRIM(SUBSTITUTE(A463,"　"," "))
  )
)</f>
        <v>レッドオーク</v>
      </c>
      <c r="D463">
        <f t="shared" si="8"/>
        <v>540</v>
      </c>
    </row>
    <row r="464" spans="1:4">
      <c r="A464" t="s">
        <v>3</v>
      </c>
      <c r="B464">
        <v>240</v>
      </c>
      <c r="C464" t="str" cm="1">
        <f t="array" ref="C464">IF(
  AND(ISNUMBER(SEARCH("加工品",SUBSTITUTE(A464,"　"," "))), ISNUMBER(SEARCH("ベビーリーフ",SUBSTITUTE(A464,"　"," ")))),
  "ベビーリーフ（加工品）",
  IFERROR(
    INDEX($I$2:$I$10, MATCH(TRUE, ISNUMBER(SEARCH($H$2:$H$10, SUBSTITUTE(A464,"　"," "))), 0)),
    TRIM(SUBSTITUTE(A464,"　"," "))
  )
)</f>
        <v>ベビーリーフ（加工品）</v>
      </c>
      <c r="D464">
        <f t="shared" si="8"/>
        <v>240</v>
      </c>
    </row>
    <row r="465" spans="1:4">
      <c r="A465" t="s">
        <v>2</v>
      </c>
      <c r="B465">
        <v>460</v>
      </c>
      <c r="C465" t="str" cm="1">
        <f t="array" ref="C465">IF(
  AND(ISNUMBER(SEARCH("加工品",SUBSTITUTE(A465,"　"," "))), ISNUMBER(SEARCH("ベビーリーフ",SUBSTITUTE(A465,"　"," ")))),
  "ベビーリーフ（加工品）",
  IFERROR(
    INDEX($I$2:$I$10, MATCH(TRUE, ISNUMBER(SEARCH($H$2:$H$10, SUBSTITUTE(A465,"　"," "))), 0)),
    TRIM(SUBSTITUTE(A465,"　"," "))
  )
)</f>
        <v>グリーンオーク</v>
      </c>
      <c r="D465">
        <f t="shared" si="8"/>
        <v>460</v>
      </c>
    </row>
    <row r="466" spans="1:4">
      <c r="A466" t="s">
        <v>11</v>
      </c>
      <c r="B466">
        <v>700</v>
      </c>
      <c r="C466" t="str" cm="1">
        <f t="array" ref="C466">IF(
  AND(ISNUMBER(SEARCH("加工品",SUBSTITUTE(A466,"　"," "))), ISNUMBER(SEARCH("ベビーリーフ",SUBSTITUTE(A466,"　"," ")))),
  "ベビーリーフ（加工品）",
  IFERROR(
    INDEX($I$2:$I$10, MATCH(TRUE, ISNUMBER(SEARCH($H$2:$H$10, SUBSTITUTE(A466,"　"," "))), 0)),
    TRIM(SUBSTITUTE(A466,"　"," "))
  )
)</f>
        <v>レッドオーク</v>
      </c>
      <c r="D466">
        <f t="shared" si="8"/>
        <v>700</v>
      </c>
    </row>
    <row r="467" spans="1:4">
      <c r="A467" t="s">
        <v>9</v>
      </c>
      <c r="B467">
        <v>360</v>
      </c>
      <c r="C467" t="str" cm="1">
        <f t="array" ref="C467">IF(
  AND(ISNUMBER(SEARCH("加工品",SUBSTITUTE(A467,"　"," "))), ISNUMBER(SEARCH("ベビーリーフ",SUBSTITUTE(A467,"　"," ")))),
  "ベビーリーフ（加工品）",
  IFERROR(
    INDEX($I$2:$I$10, MATCH(TRUE, ISNUMBER(SEARCH($H$2:$H$10, SUBSTITUTE(A467,"　"," "))), 0)),
    TRIM(SUBSTITUTE(A467,"　"," "))
  )
)</f>
        <v>ロロロッサ</v>
      </c>
      <c r="D467">
        <f t="shared" si="8"/>
        <v>360</v>
      </c>
    </row>
    <row r="468" spans="1:4">
      <c r="A468" t="s">
        <v>10</v>
      </c>
      <c r="B468">
        <v>280</v>
      </c>
      <c r="C468" t="str" cm="1">
        <f t="array" ref="C468">IF(
  AND(ISNUMBER(SEARCH("加工品",SUBSTITUTE(A468,"　"," "))), ISNUMBER(SEARCH("ベビーリーフ",SUBSTITUTE(A468,"　"," ")))),
  "ベビーリーフ（加工品）",
  IFERROR(
    INDEX($I$2:$I$10, MATCH(TRUE, ISNUMBER(SEARCH($H$2:$H$10, SUBSTITUTE(A468,"　"," "))), 0)),
    TRIM(SUBSTITUTE(A468,"　"," "))
  )
)</f>
        <v>イチゴ</v>
      </c>
      <c r="D468">
        <f t="shared" si="8"/>
        <v>280</v>
      </c>
    </row>
    <row r="469" spans="1:4">
      <c r="A469" t="s">
        <v>8</v>
      </c>
      <c r="B469">
        <v>380</v>
      </c>
      <c r="C469" t="str" cm="1">
        <f t="array" ref="C469">IF(
  AND(ISNUMBER(SEARCH("加工品",SUBSTITUTE(A469,"　"," "))), ISNUMBER(SEARCH("ベビーリーフ",SUBSTITUTE(A469,"　"," ")))),
  "ベビーリーフ（加工品）",
  IFERROR(
    INDEX($I$2:$I$10, MATCH(TRUE, ISNUMBER(SEARCH($H$2:$H$10, SUBSTITUTE(A469,"　"," "))), 0)),
    TRIM(SUBSTITUTE(A469,"　"," "))
  )
)</f>
        <v>イチゴ</v>
      </c>
      <c r="D469">
        <f t="shared" si="8"/>
        <v>380</v>
      </c>
    </row>
    <row r="470" spans="1:4">
      <c r="A470" t="s">
        <v>3</v>
      </c>
      <c r="B470">
        <v>300</v>
      </c>
      <c r="C470" t="str" cm="1">
        <f t="array" ref="C470">IF(
  AND(ISNUMBER(SEARCH("加工品",SUBSTITUTE(A470,"　"," "))), ISNUMBER(SEARCH("ベビーリーフ",SUBSTITUTE(A470,"　"," ")))),
  "ベビーリーフ（加工品）",
  IFERROR(
    INDEX($I$2:$I$10, MATCH(TRUE, ISNUMBER(SEARCH($H$2:$H$10, SUBSTITUTE(A470,"　"," "))), 0)),
    TRIM(SUBSTITUTE(A470,"　"," "))
  )
)</f>
        <v>ベビーリーフ（加工品）</v>
      </c>
      <c r="D470">
        <f t="shared" si="8"/>
        <v>300</v>
      </c>
    </row>
    <row r="471" spans="1:4">
      <c r="A471" t="s">
        <v>2</v>
      </c>
      <c r="B471">
        <v>220</v>
      </c>
      <c r="C471" t="str" cm="1">
        <f t="array" ref="C471">IF(
  AND(ISNUMBER(SEARCH("加工品",SUBSTITUTE(A471,"　"," "))), ISNUMBER(SEARCH("ベビーリーフ",SUBSTITUTE(A471,"　"," ")))),
  "ベビーリーフ（加工品）",
  IFERROR(
    INDEX($I$2:$I$10, MATCH(TRUE, ISNUMBER(SEARCH($H$2:$H$10, SUBSTITUTE(A471,"　"," "))), 0)),
    TRIM(SUBSTITUTE(A471,"　"," "))
  )
)</f>
        <v>グリーンオーク</v>
      </c>
      <c r="D471">
        <f t="shared" si="8"/>
        <v>220</v>
      </c>
    </row>
    <row r="472" spans="1:4">
      <c r="A472" t="s">
        <v>3</v>
      </c>
      <c r="B472" s="1">
        <v>2360</v>
      </c>
      <c r="C472" t="str" cm="1">
        <f t="array" ref="C472">IF(
  AND(ISNUMBER(SEARCH("加工品",SUBSTITUTE(A472,"　"," "))), ISNUMBER(SEARCH("ベビーリーフ",SUBSTITUTE(A472,"　"," ")))),
  "ベビーリーフ（加工品）",
  IFERROR(
    INDEX($I$2:$I$10, MATCH(TRUE, ISNUMBER(SEARCH($H$2:$H$10, SUBSTITUTE(A472,"　"," "))), 0)),
    TRIM(SUBSTITUTE(A472,"　"," "))
  )
)</f>
        <v>ベビーリーフ（加工品）</v>
      </c>
      <c r="D472">
        <f t="shared" si="8"/>
        <v>2360</v>
      </c>
    </row>
    <row r="473" spans="1:4">
      <c r="A473" t="s">
        <v>10</v>
      </c>
      <c r="B473">
        <v>280</v>
      </c>
      <c r="C473" t="str" cm="1">
        <f t="array" ref="C473">IF(
  AND(ISNUMBER(SEARCH("加工品",SUBSTITUTE(A473,"　"," "))), ISNUMBER(SEARCH("ベビーリーフ",SUBSTITUTE(A473,"　"," ")))),
  "ベビーリーフ（加工品）",
  IFERROR(
    INDEX($I$2:$I$10, MATCH(TRUE, ISNUMBER(SEARCH($H$2:$H$10, SUBSTITUTE(A473,"　"," "))), 0)),
    TRIM(SUBSTITUTE(A473,"　"," "))
  )
)</f>
        <v>イチゴ</v>
      </c>
      <c r="D473">
        <f t="shared" si="8"/>
        <v>280</v>
      </c>
    </row>
    <row r="474" spans="1:4">
      <c r="A474" t="s">
        <v>8</v>
      </c>
      <c r="B474">
        <v>380</v>
      </c>
      <c r="C474" t="str" cm="1">
        <f t="array" ref="C474">IF(
  AND(ISNUMBER(SEARCH("加工品",SUBSTITUTE(A474,"　"," "))), ISNUMBER(SEARCH("ベビーリーフ",SUBSTITUTE(A474,"　"," ")))),
  "ベビーリーフ（加工品）",
  IFERROR(
    INDEX($I$2:$I$10, MATCH(TRUE, ISNUMBER(SEARCH($H$2:$H$10, SUBSTITUTE(A474,"　"," "))), 0)),
    TRIM(SUBSTITUTE(A474,"　"," "))
  )
)</f>
        <v>イチゴ</v>
      </c>
      <c r="D474">
        <f t="shared" si="8"/>
        <v>380</v>
      </c>
    </row>
    <row r="475" spans="1:4">
      <c r="A475" t="s">
        <v>3</v>
      </c>
      <c r="B475">
        <v>300</v>
      </c>
      <c r="C475" t="str" cm="1">
        <f t="array" ref="C475">IF(
  AND(ISNUMBER(SEARCH("加工品",SUBSTITUTE(A475,"　"," "))), ISNUMBER(SEARCH("ベビーリーフ",SUBSTITUTE(A475,"　"," ")))),
  "ベビーリーフ（加工品）",
  IFERROR(
    INDEX($I$2:$I$10, MATCH(TRUE, ISNUMBER(SEARCH($H$2:$H$10, SUBSTITUTE(A475,"　"," "))), 0)),
    TRIM(SUBSTITUTE(A475,"　"," "))
  )
)</f>
        <v>ベビーリーフ（加工品）</v>
      </c>
      <c r="D475">
        <f t="shared" si="8"/>
        <v>300</v>
      </c>
    </row>
    <row r="476" spans="1:4">
      <c r="A476" t="s">
        <v>2</v>
      </c>
      <c r="B476">
        <v>220</v>
      </c>
      <c r="C476" t="str" cm="1">
        <f t="array" ref="C476">IF(
  AND(ISNUMBER(SEARCH("加工品",SUBSTITUTE(A476,"　"," "))), ISNUMBER(SEARCH("ベビーリーフ",SUBSTITUTE(A476,"　"," ")))),
  "ベビーリーフ（加工品）",
  IFERROR(
    INDEX($I$2:$I$10, MATCH(TRUE, ISNUMBER(SEARCH($H$2:$H$10, SUBSTITUTE(A476,"　"," "))), 0)),
    TRIM(SUBSTITUTE(A476,"　"," "))
  )
)</f>
        <v>グリーンオーク</v>
      </c>
      <c r="D476">
        <f t="shared" si="8"/>
        <v>220</v>
      </c>
    </row>
    <row r="477" spans="1:4">
      <c r="A477" t="s">
        <v>3</v>
      </c>
      <c r="B477" s="1">
        <v>2360</v>
      </c>
      <c r="C477" t="str" cm="1">
        <f t="array" ref="C477">IF(
  AND(ISNUMBER(SEARCH("加工品",SUBSTITUTE(A477,"　"," "))), ISNUMBER(SEARCH("ベビーリーフ",SUBSTITUTE(A477,"　"," ")))),
  "ベビーリーフ（加工品）",
  IFERROR(
    INDEX($I$2:$I$10, MATCH(TRUE, ISNUMBER(SEARCH($H$2:$H$10, SUBSTITUTE(A477,"　"," "))), 0)),
    TRIM(SUBSTITUTE(A477,"　"," "))
  )
)</f>
        <v>ベビーリーフ（加工品）</v>
      </c>
      <c r="D477">
        <f t="shared" si="8"/>
        <v>2360</v>
      </c>
    </row>
    <row r="478" spans="1:4">
      <c r="A478" t="s">
        <v>3</v>
      </c>
      <c r="B478" s="1">
        <v>2240</v>
      </c>
      <c r="C478" t="str" cm="1">
        <f t="array" ref="C478">IF(
  AND(ISNUMBER(SEARCH("加工品",SUBSTITUTE(A478,"　"," "))), ISNUMBER(SEARCH("ベビーリーフ",SUBSTITUTE(A478,"　"," ")))),
  "ベビーリーフ（加工品）",
  IFERROR(
    INDEX($I$2:$I$10, MATCH(TRUE, ISNUMBER(SEARCH($H$2:$H$10, SUBSTITUTE(A478,"　"," "))), 0)),
    TRIM(SUBSTITUTE(A478,"　"," "))
  )
)</f>
        <v>ベビーリーフ（加工品）</v>
      </c>
      <c r="D478">
        <f t="shared" si="8"/>
        <v>2240</v>
      </c>
    </row>
    <row r="479" spans="1:4">
      <c r="A479" t="s">
        <v>11</v>
      </c>
      <c r="B479">
        <v>980</v>
      </c>
      <c r="C479" t="str" cm="1">
        <f t="array" ref="C479">IF(
  AND(ISNUMBER(SEARCH("加工品",SUBSTITUTE(A479,"　"," "))), ISNUMBER(SEARCH("ベビーリーフ",SUBSTITUTE(A479,"　"," ")))),
  "ベビーリーフ（加工品）",
  IFERROR(
    INDEX($I$2:$I$10, MATCH(TRUE, ISNUMBER(SEARCH($H$2:$H$10, SUBSTITUTE(A479,"　"," "))), 0)),
    TRIM(SUBSTITUTE(A479,"　"," "))
  )
)</f>
        <v>レッドオーク</v>
      </c>
      <c r="D479">
        <f t="shared" si="8"/>
        <v>980</v>
      </c>
    </row>
    <row r="480" spans="1:4">
      <c r="A480" t="s">
        <v>9</v>
      </c>
      <c r="B480" s="1">
        <v>1500</v>
      </c>
      <c r="C480" t="str" cm="1">
        <f t="array" ref="C480">IF(
  AND(ISNUMBER(SEARCH("加工品",SUBSTITUTE(A480,"　"," "))), ISNUMBER(SEARCH("ベビーリーフ",SUBSTITUTE(A480,"　"," ")))),
  "ベビーリーフ（加工品）",
  IFERROR(
    INDEX($I$2:$I$10, MATCH(TRUE, ISNUMBER(SEARCH($H$2:$H$10, SUBSTITUTE(A480,"　"," "))), 0)),
    TRIM(SUBSTITUTE(A480,"　"," "))
  )
)</f>
        <v>ロロロッサ</v>
      </c>
      <c r="D480">
        <f t="shared" si="8"/>
        <v>1500</v>
      </c>
    </row>
    <row r="481" spans="1:4">
      <c r="A481" t="s">
        <v>3</v>
      </c>
      <c r="B481">
        <v>340</v>
      </c>
      <c r="C481" t="str" cm="1">
        <f t="array" ref="C481">IF(
  AND(ISNUMBER(SEARCH("加工品",SUBSTITUTE(A481,"　"," "))), ISNUMBER(SEARCH("ベビーリーフ",SUBSTITUTE(A481,"　"," ")))),
  "ベビーリーフ（加工品）",
  IFERROR(
    INDEX($I$2:$I$10, MATCH(TRUE, ISNUMBER(SEARCH($H$2:$H$10, SUBSTITUTE(A481,"　"," "))), 0)),
    TRIM(SUBSTITUTE(A481,"　"," "))
  )
)</f>
        <v>ベビーリーフ（加工品）</v>
      </c>
      <c r="D481">
        <f t="shared" si="8"/>
        <v>340</v>
      </c>
    </row>
    <row r="482" spans="1:4">
      <c r="A482" t="s">
        <v>2</v>
      </c>
      <c r="B482">
        <v>340</v>
      </c>
      <c r="C482" t="str" cm="1">
        <f t="array" ref="C482">IF(
  AND(ISNUMBER(SEARCH("加工品",SUBSTITUTE(A482,"　"," "))), ISNUMBER(SEARCH("ベビーリーフ",SUBSTITUTE(A482,"　"," ")))),
  "ベビーリーフ（加工品）",
  IFERROR(
    INDEX($I$2:$I$10, MATCH(TRUE, ISNUMBER(SEARCH($H$2:$H$10, SUBSTITUTE(A482,"　"," "))), 0)),
    TRIM(SUBSTITUTE(A482,"　"," "))
  )
)</f>
        <v>グリーンオーク</v>
      </c>
      <c r="D482">
        <f t="shared" si="8"/>
        <v>340</v>
      </c>
    </row>
    <row r="483" spans="1:4">
      <c r="A483" t="s">
        <v>3</v>
      </c>
      <c r="B483" s="1">
        <v>1160</v>
      </c>
      <c r="C483" t="str" cm="1">
        <f t="array" ref="C483">IF(
  AND(ISNUMBER(SEARCH("加工品",SUBSTITUTE(A483,"　"," "))), ISNUMBER(SEARCH("ベビーリーフ",SUBSTITUTE(A483,"　"," ")))),
  "ベビーリーフ（加工品）",
  IFERROR(
    INDEX($I$2:$I$10, MATCH(TRUE, ISNUMBER(SEARCH($H$2:$H$10, SUBSTITUTE(A483,"　"," "))), 0)),
    TRIM(SUBSTITUTE(A483,"　"," "))
  )
)</f>
        <v>ベビーリーフ（加工品）</v>
      </c>
      <c r="D483">
        <f t="shared" si="8"/>
        <v>1160</v>
      </c>
    </row>
    <row r="484" spans="1:4">
      <c r="A484" t="s">
        <v>3</v>
      </c>
      <c r="B484">
        <v>200</v>
      </c>
      <c r="C484" t="str" cm="1">
        <f t="array" ref="C484">IF(
  AND(ISNUMBER(SEARCH("加工品",SUBSTITUTE(A484,"　"," "))), ISNUMBER(SEARCH("ベビーリーフ",SUBSTITUTE(A484,"　"," ")))),
  "ベビーリーフ（加工品）",
  IFERROR(
    INDEX($I$2:$I$10, MATCH(TRUE, ISNUMBER(SEARCH($H$2:$H$10, SUBSTITUTE(A484,"　"," "))), 0)),
    TRIM(SUBSTITUTE(A484,"　"," "))
  )
)</f>
        <v>ベビーリーフ（加工品）</v>
      </c>
      <c r="D484">
        <f t="shared" si="8"/>
        <v>200</v>
      </c>
    </row>
    <row r="485" spans="1:4">
      <c r="A485" t="s">
        <v>2</v>
      </c>
      <c r="B485">
        <v>260</v>
      </c>
      <c r="C485" t="str" cm="1">
        <f t="array" ref="C485">IF(
  AND(ISNUMBER(SEARCH("加工品",SUBSTITUTE(A485,"　"," "))), ISNUMBER(SEARCH("ベビーリーフ",SUBSTITUTE(A485,"　"," ")))),
  "ベビーリーフ（加工品）",
  IFERROR(
    INDEX($I$2:$I$10, MATCH(TRUE, ISNUMBER(SEARCH($H$2:$H$10, SUBSTITUTE(A485,"　"," "))), 0)),
    TRIM(SUBSTITUTE(A485,"　"," "))
  )
)</f>
        <v>グリーンオーク</v>
      </c>
      <c r="D485">
        <f t="shared" si="8"/>
        <v>260</v>
      </c>
    </row>
    <row r="486" spans="1:4">
      <c r="A486" t="s">
        <v>11</v>
      </c>
      <c r="B486">
        <v>860</v>
      </c>
      <c r="C486" t="str" cm="1">
        <f t="array" ref="C486">IF(
  AND(ISNUMBER(SEARCH("加工品",SUBSTITUTE(A486,"　"," "))), ISNUMBER(SEARCH("ベビーリーフ",SUBSTITUTE(A486,"　"," ")))),
  "ベビーリーフ（加工品）",
  IFERROR(
    INDEX($I$2:$I$10, MATCH(TRUE, ISNUMBER(SEARCH($H$2:$H$10, SUBSTITUTE(A486,"　"," "))), 0)),
    TRIM(SUBSTITUTE(A486,"　"," "))
  )
)</f>
        <v>レッドオーク</v>
      </c>
      <c r="D486">
        <f t="shared" si="8"/>
        <v>860</v>
      </c>
    </row>
    <row r="487" spans="1:4">
      <c r="A487" t="s">
        <v>9</v>
      </c>
      <c r="B487" s="1">
        <v>3940</v>
      </c>
      <c r="C487" t="str" cm="1">
        <f t="array" ref="C487">IF(
  AND(ISNUMBER(SEARCH("加工品",SUBSTITUTE(A487,"　"," "))), ISNUMBER(SEARCH("ベビーリーフ",SUBSTITUTE(A487,"　"," ")))),
  "ベビーリーフ（加工品）",
  IFERROR(
    INDEX($I$2:$I$10, MATCH(TRUE, ISNUMBER(SEARCH($H$2:$H$10, SUBSTITUTE(A487,"　"," "))), 0)),
    TRIM(SUBSTITUTE(A487,"　"," "))
  )
)</f>
        <v>ロロロッサ</v>
      </c>
      <c r="D487">
        <f t="shared" si="8"/>
        <v>3940</v>
      </c>
    </row>
    <row r="488" spans="1:4">
      <c r="A488" t="s">
        <v>3</v>
      </c>
      <c r="B488" s="1">
        <v>2460</v>
      </c>
      <c r="C488" t="str" cm="1">
        <f t="array" ref="C488">IF(
  AND(ISNUMBER(SEARCH("加工品",SUBSTITUTE(A488,"　"," "))), ISNUMBER(SEARCH("ベビーリーフ",SUBSTITUTE(A488,"　"," ")))),
  "ベビーリーフ（加工品）",
  IFERROR(
    INDEX($I$2:$I$10, MATCH(TRUE, ISNUMBER(SEARCH($H$2:$H$10, SUBSTITUTE(A488,"　"," "))), 0)),
    TRIM(SUBSTITUTE(A488,"　"," "))
  )
)</f>
        <v>ベビーリーフ（加工品）</v>
      </c>
      <c r="D488">
        <f t="shared" si="8"/>
        <v>2460</v>
      </c>
    </row>
    <row r="489" spans="1:4">
      <c r="A489" t="s">
        <v>9</v>
      </c>
      <c r="B489" s="1">
        <v>1360</v>
      </c>
      <c r="C489" t="str" cm="1">
        <f t="array" ref="C489">IF(
  AND(ISNUMBER(SEARCH("加工品",SUBSTITUTE(A489,"　"," "))), ISNUMBER(SEARCH("ベビーリーフ",SUBSTITUTE(A489,"　"," ")))),
  "ベビーリーフ（加工品）",
  IFERROR(
    INDEX($I$2:$I$10, MATCH(TRUE, ISNUMBER(SEARCH($H$2:$H$10, SUBSTITUTE(A489,"　"," "))), 0)),
    TRIM(SUBSTITUTE(A489,"　"," "))
  )
)</f>
        <v>ロロロッサ</v>
      </c>
      <c r="D489">
        <f t="shared" si="8"/>
        <v>1360</v>
      </c>
    </row>
    <row r="490" spans="1:4">
      <c r="A490" t="s">
        <v>11</v>
      </c>
      <c r="B490" s="1">
        <v>1260</v>
      </c>
      <c r="C490" t="str" cm="1">
        <f t="array" ref="C490">IF(
  AND(ISNUMBER(SEARCH("加工品",SUBSTITUTE(A490,"　"," "))), ISNUMBER(SEARCH("ベビーリーフ",SUBSTITUTE(A490,"　"," ")))),
  "ベビーリーフ（加工品）",
  IFERROR(
    INDEX($I$2:$I$10, MATCH(TRUE, ISNUMBER(SEARCH($H$2:$H$10, SUBSTITUTE(A490,"　"," "))), 0)),
    TRIM(SUBSTITUTE(A490,"　"," "))
  )
)</f>
        <v>レッドオーク</v>
      </c>
      <c r="D490">
        <f t="shared" si="8"/>
        <v>1260</v>
      </c>
    </row>
    <row r="491" spans="1:4">
      <c r="A491" t="s">
        <v>9</v>
      </c>
      <c r="B491" s="1">
        <v>1360</v>
      </c>
      <c r="C491" t="str" cm="1">
        <f t="array" ref="C491">IF(
  AND(ISNUMBER(SEARCH("加工品",SUBSTITUTE(A491,"　"," "))), ISNUMBER(SEARCH("ベビーリーフ",SUBSTITUTE(A491,"　"," ")))),
  "ベビーリーフ（加工品）",
  IFERROR(
    INDEX($I$2:$I$10, MATCH(TRUE, ISNUMBER(SEARCH($H$2:$H$10, SUBSTITUTE(A491,"　"," "))), 0)),
    TRIM(SUBSTITUTE(A491,"　"," "))
  )
)</f>
        <v>ロロロッサ</v>
      </c>
      <c r="D491">
        <f t="shared" si="8"/>
        <v>1360</v>
      </c>
    </row>
    <row r="492" spans="1:4">
      <c r="A492" t="s">
        <v>11</v>
      </c>
      <c r="B492" s="1">
        <v>1260</v>
      </c>
      <c r="C492" t="str" cm="1">
        <f t="array" ref="C492">IF(
  AND(ISNUMBER(SEARCH("加工品",SUBSTITUTE(A492,"　"," "))), ISNUMBER(SEARCH("ベビーリーフ",SUBSTITUTE(A492,"　"," ")))),
  "ベビーリーフ（加工品）",
  IFERROR(
    INDEX($I$2:$I$10, MATCH(TRUE, ISNUMBER(SEARCH($H$2:$H$10, SUBSTITUTE(A492,"　"," "))), 0)),
    TRIM(SUBSTITUTE(A492,"　"," "))
  )
)</f>
        <v>レッドオーク</v>
      </c>
      <c r="D492">
        <f t="shared" si="8"/>
        <v>1260</v>
      </c>
    </row>
    <row r="493" spans="1:4">
      <c r="A493" t="s">
        <v>3</v>
      </c>
      <c r="B493">
        <v>140</v>
      </c>
      <c r="C493" t="str" cm="1">
        <f t="array" ref="C493">IF(
  AND(ISNUMBER(SEARCH("加工品",SUBSTITUTE(A493,"　"," "))), ISNUMBER(SEARCH("ベビーリーフ",SUBSTITUTE(A493,"　"," ")))),
  "ベビーリーフ（加工品）",
  IFERROR(
    INDEX($I$2:$I$10, MATCH(TRUE, ISNUMBER(SEARCH($H$2:$H$10, SUBSTITUTE(A493,"　"," "))), 0)),
    TRIM(SUBSTITUTE(A493,"　"," "))
  )
)</f>
        <v>ベビーリーフ（加工品）</v>
      </c>
      <c r="D493">
        <f t="shared" si="8"/>
        <v>140</v>
      </c>
    </row>
    <row r="494" spans="1:4">
      <c r="A494" t="s">
        <v>2</v>
      </c>
      <c r="B494">
        <v>440</v>
      </c>
      <c r="C494" t="str" cm="1">
        <f t="array" ref="C494">IF(
  AND(ISNUMBER(SEARCH("加工品",SUBSTITUTE(A494,"　"," "))), ISNUMBER(SEARCH("ベビーリーフ",SUBSTITUTE(A494,"　"," ")))),
  "ベビーリーフ（加工品）",
  IFERROR(
    INDEX($I$2:$I$10, MATCH(TRUE, ISNUMBER(SEARCH($H$2:$H$10, SUBSTITUTE(A494,"　"," "))), 0)),
    TRIM(SUBSTITUTE(A494,"　"," "))
  )
)</f>
        <v>グリーンオーク</v>
      </c>
      <c r="D494">
        <f t="shared" si="8"/>
        <v>440</v>
      </c>
    </row>
    <row r="495" spans="1:4">
      <c r="A495" t="s">
        <v>8</v>
      </c>
      <c r="B495">
        <v>300</v>
      </c>
      <c r="C495" t="str" cm="1">
        <f t="array" ref="C495">IF(
  AND(ISNUMBER(SEARCH("加工品",SUBSTITUTE(A495,"　"," "))), ISNUMBER(SEARCH("ベビーリーフ",SUBSTITUTE(A495,"　"," ")))),
  "ベビーリーフ（加工品）",
  IFERROR(
    INDEX($I$2:$I$10, MATCH(TRUE, ISNUMBER(SEARCH($H$2:$H$10, SUBSTITUTE(A495,"　"," "))), 0)),
    TRIM(SUBSTITUTE(A495,"　"," "))
  )
)</f>
        <v>イチゴ</v>
      </c>
      <c r="D495">
        <f t="shared" si="8"/>
        <v>300</v>
      </c>
    </row>
    <row r="496" spans="1:4">
      <c r="A496" t="s">
        <v>3</v>
      </c>
      <c r="B496" s="1">
        <v>1460</v>
      </c>
      <c r="C496" t="str" cm="1">
        <f t="array" ref="C496">IF(
  AND(ISNUMBER(SEARCH("加工品",SUBSTITUTE(A496,"　"," "))), ISNUMBER(SEARCH("ベビーリーフ",SUBSTITUTE(A496,"　"," ")))),
  "ベビーリーフ（加工品）",
  IFERROR(
    INDEX($I$2:$I$10, MATCH(TRUE, ISNUMBER(SEARCH($H$2:$H$10, SUBSTITUTE(A496,"　"," "))), 0)),
    TRIM(SUBSTITUTE(A496,"　"," "))
  )
)</f>
        <v>ベビーリーフ（加工品）</v>
      </c>
      <c r="D496">
        <f t="shared" si="8"/>
        <v>1460</v>
      </c>
    </row>
    <row r="497" spans="1:4">
      <c r="A497" t="s">
        <v>3</v>
      </c>
      <c r="B497">
        <v>140</v>
      </c>
      <c r="C497" t="str" cm="1">
        <f t="array" ref="C497">IF(
  AND(ISNUMBER(SEARCH("加工品",SUBSTITUTE(A497,"　"," "))), ISNUMBER(SEARCH("ベビーリーフ",SUBSTITUTE(A497,"　"," ")))),
  "ベビーリーフ（加工品）",
  IFERROR(
    INDEX($I$2:$I$10, MATCH(TRUE, ISNUMBER(SEARCH($H$2:$H$10, SUBSTITUTE(A497,"　"," "))), 0)),
    TRIM(SUBSTITUTE(A497,"　"," "))
  )
)</f>
        <v>ベビーリーフ（加工品）</v>
      </c>
      <c r="D497">
        <f t="shared" si="8"/>
        <v>140</v>
      </c>
    </row>
    <row r="498" spans="1:4">
      <c r="A498" t="s">
        <v>2</v>
      </c>
      <c r="B498">
        <v>440</v>
      </c>
      <c r="C498" t="str" cm="1">
        <f t="array" ref="C498">IF(
  AND(ISNUMBER(SEARCH("加工品",SUBSTITUTE(A498,"　"," "))), ISNUMBER(SEARCH("ベビーリーフ",SUBSTITUTE(A498,"　"," ")))),
  "ベビーリーフ（加工品）",
  IFERROR(
    INDEX($I$2:$I$10, MATCH(TRUE, ISNUMBER(SEARCH($H$2:$H$10, SUBSTITUTE(A498,"　"," "))), 0)),
    TRIM(SUBSTITUTE(A498,"　"," "))
  )
)</f>
        <v>グリーンオーク</v>
      </c>
      <c r="D498">
        <f t="shared" si="8"/>
        <v>440</v>
      </c>
    </row>
    <row r="499" spans="1:4">
      <c r="A499" t="s">
        <v>8</v>
      </c>
      <c r="B499">
        <v>300</v>
      </c>
      <c r="C499" t="str" cm="1">
        <f t="array" ref="C499">IF(
  AND(ISNUMBER(SEARCH("加工品",SUBSTITUTE(A499,"　"," "))), ISNUMBER(SEARCH("ベビーリーフ",SUBSTITUTE(A499,"　"," ")))),
  "ベビーリーフ（加工品）",
  IFERROR(
    INDEX($I$2:$I$10, MATCH(TRUE, ISNUMBER(SEARCH($H$2:$H$10, SUBSTITUTE(A499,"　"," "))), 0)),
    TRIM(SUBSTITUTE(A499,"　"," "))
  )
)</f>
        <v>イチゴ</v>
      </c>
      <c r="D499">
        <f t="shared" si="8"/>
        <v>300</v>
      </c>
    </row>
    <row r="500" spans="1:4">
      <c r="A500" t="s">
        <v>3</v>
      </c>
      <c r="B500" s="1">
        <v>1460</v>
      </c>
      <c r="C500" t="str" cm="1">
        <f t="array" ref="C500">IF(
  AND(ISNUMBER(SEARCH("加工品",SUBSTITUTE(A500,"　"," "))), ISNUMBER(SEARCH("ベビーリーフ",SUBSTITUTE(A500,"　"," ")))),
  "ベビーリーフ（加工品）",
  IFERROR(
    INDEX($I$2:$I$10, MATCH(TRUE, ISNUMBER(SEARCH($H$2:$H$10, SUBSTITUTE(A500,"　"," "))), 0)),
    TRIM(SUBSTITUTE(A500,"　"," "))
  )
)</f>
        <v>ベビーリーフ（加工品）</v>
      </c>
      <c r="D500">
        <f t="shared" si="8"/>
        <v>1460</v>
      </c>
    </row>
    <row r="501" spans="1:4">
      <c r="A501" t="s">
        <v>9</v>
      </c>
      <c r="B501" s="1">
        <v>1580</v>
      </c>
      <c r="C501" t="str" cm="1">
        <f t="array" ref="C501">IF(
  AND(ISNUMBER(SEARCH("加工品",SUBSTITUTE(A501,"　"," "))), ISNUMBER(SEARCH("ベビーリーフ",SUBSTITUTE(A501,"　"," ")))),
  "ベビーリーフ（加工品）",
  IFERROR(
    INDEX($I$2:$I$10, MATCH(TRUE, ISNUMBER(SEARCH($H$2:$H$10, SUBSTITUTE(A501,"　"," "))), 0)),
    TRIM(SUBSTITUTE(A501,"　"," "))
  )
)</f>
        <v>ロロロッサ</v>
      </c>
      <c r="D501">
        <f t="shared" si="8"/>
        <v>1580</v>
      </c>
    </row>
    <row r="502" spans="1:4">
      <c r="A502" t="s">
        <v>11</v>
      </c>
      <c r="B502" s="1">
        <v>2520</v>
      </c>
      <c r="C502" t="str" cm="1">
        <f t="array" ref="C502">IF(
  AND(ISNUMBER(SEARCH("加工品",SUBSTITUTE(A502,"　"," "))), ISNUMBER(SEARCH("ベビーリーフ",SUBSTITUTE(A502,"　"," ")))),
  "ベビーリーフ（加工品）",
  IFERROR(
    INDEX($I$2:$I$10, MATCH(TRUE, ISNUMBER(SEARCH($H$2:$H$10, SUBSTITUTE(A502,"　"," "))), 0)),
    TRIM(SUBSTITUTE(A502,"　"," "))
  )
)</f>
        <v>レッドオーク</v>
      </c>
      <c r="D502">
        <f t="shared" si="8"/>
        <v>2520</v>
      </c>
    </row>
    <row r="503" spans="1:4">
      <c r="A503" t="s">
        <v>3</v>
      </c>
      <c r="B503">
        <v>80</v>
      </c>
      <c r="C503" t="str" cm="1">
        <f t="array" ref="C503">IF(
  AND(ISNUMBER(SEARCH("加工品",SUBSTITUTE(A503,"　"," "))), ISNUMBER(SEARCH("ベビーリーフ",SUBSTITUTE(A503,"　"," ")))),
  "ベビーリーフ（加工品）",
  IFERROR(
    INDEX($I$2:$I$10, MATCH(TRUE, ISNUMBER(SEARCH($H$2:$H$10, SUBSTITUTE(A503,"　"," "))), 0)),
    TRIM(SUBSTITUTE(A503,"　"," "))
  )
)</f>
        <v>ベビーリーフ（加工品）</v>
      </c>
      <c r="D503">
        <f t="shared" si="8"/>
        <v>80</v>
      </c>
    </row>
    <row r="504" spans="1:4">
      <c r="A504" t="s">
        <v>2</v>
      </c>
      <c r="B504">
        <v>340</v>
      </c>
      <c r="C504" t="str" cm="1">
        <f t="array" ref="C504">IF(
  AND(ISNUMBER(SEARCH("加工品",SUBSTITUTE(A504,"　"," "))), ISNUMBER(SEARCH("ベビーリーフ",SUBSTITUTE(A504,"　"," ")))),
  "ベビーリーフ（加工品）",
  IFERROR(
    INDEX($I$2:$I$10, MATCH(TRUE, ISNUMBER(SEARCH($H$2:$H$10, SUBSTITUTE(A504,"　"," "))), 0)),
    TRIM(SUBSTITUTE(A504,"　"," "))
  )
)</f>
        <v>グリーンオーク</v>
      </c>
      <c r="D504">
        <f t="shared" si="8"/>
        <v>340</v>
      </c>
    </row>
    <row r="505" spans="1:4">
      <c r="A505" t="s">
        <v>11</v>
      </c>
      <c r="B505">
        <v>560</v>
      </c>
      <c r="C505" t="str" cm="1">
        <f t="array" ref="C505">IF(
  AND(ISNUMBER(SEARCH("加工品",SUBSTITUTE(A505,"　"," "))), ISNUMBER(SEARCH("ベビーリーフ",SUBSTITUTE(A505,"　"," ")))),
  "ベビーリーフ（加工品）",
  IFERROR(
    INDEX($I$2:$I$10, MATCH(TRUE, ISNUMBER(SEARCH($H$2:$H$10, SUBSTITUTE(A505,"　"," "))), 0)),
    TRIM(SUBSTITUTE(A505,"　"," "))
  )
)</f>
        <v>レッドオーク</v>
      </c>
      <c r="D505">
        <f t="shared" si="8"/>
        <v>560</v>
      </c>
    </row>
    <row r="506" spans="1:4">
      <c r="A506" t="s">
        <v>3</v>
      </c>
      <c r="B506" s="1">
        <v>2980</v>
      </c>
      <c r="C506" t="str" cm="1">
        <f t="array" ref="C506">IF(
  AND(ISNUMBER(SEARCH("加工品",SUBSTITUTE(A506,"　"," "))), ISNUMBER(SEARCH("ベビーリーフ",SUBSTITUTE(A506,"　"," ")))),
  "ベビーリーフ（加工品）",
  IFERROR(
    INDEX($I$2:$I$10, MATCH(TRUE, ISNUMBER(SEARCH($H$2:$H$10, SUBSTITUTE(A506,"　"," "))), 0)),
    TRIM(SUBSTITUTE(A506,"　"," "))
  )
)</f>
        <v>ベビーリーフ（加工品）</v>
      </c>
      <c r="D506">
        <f t="shared" si="8"/>
        <v>2980</v>
      </c>
    </row>
    <row r="507" spans="1:4">
      <c r="A507" t="s">
        <v>9</v>
      </c>
      <c r="B507">
        <v>460</v>
      </c>
      <c r="C507" t="str" cm="1">
        <f t="array" ref="C507">IF(
  AND(ISNUMBER(SEARCH("加工品",SUBSTITUTE(A507,"　"," "))), ISNUMBER(SEARCH("ベビーリーフ",SUBSTITUTE(A507,"　"," ")))),
  "ベビーリーフ（加工品）",
  IFERROR(
    INDEX($I$2:$I$10, MATCH(TRUE, ISNUMBER(SEARCH($H$2:$H$10, SUBSTITUTE(A507,"　"," "))), 0)),
    TRIM(SUBSTITUTE(A507,"　"," "))
  )
)</f>
        <v>ロロロッサ</v>
      </c>
      <c r="D507">
        <f t="shared" si="8"/>
        <v>460</v>
      </c>
    </row>
    <row r="508" spans="1:4">
      <c r="A508" t="s">
        <v>2</v>
      </c>
      <c r="B508">
        <v>200</v>
      </c>
      <c r="C508" t="str" cm="1">
        <f t="array" ref="C508">IF(
  AND(ISNUMBER(SEARCH("加工品",SUBSTITUTE(A508,"　"," "))), ISNUMBER(SEARCH("ベビーリーフ",SUBSTITUTE(A508,"　"," ")))),
  "ベビーリーフ（加工品）",
  IFERROR(
    INDEX($I$2:$I$10, MATCH(TRUE, ISNUMBER(SEARCH($H$2:$H$10, SUBSTITUTE(A508,"　"," "))), 0)),
    TRIM(SUBSTITUTE(A508,"　"," "))
  )
)</f>
        <v>グリーンオーク</v>
      </c>
      <c r="D508">
        <f t="shared" si="8"/>
        <v>200</v>
      </c>
    </row>
    <row r="509" spans="1:4">
      <c r="A509" t="s">
        <v>8</v>
      </c>
      <c r="B509">
        <v>100</v>
      </c>
      <c r="C509" t="str" cm="1">
        <f t="array" ref="C509">IF(
  AND(ISNUMBER(SEARCH("加工品",SUBSTITUTE(A509,"　"," "))), ISNUMBER(SEARCH("ベビーリーフ",SUBSTITUTE(A509,"　"," ")))),
  "ベビーリーフ（加工品）",
  IFERROR(
    INDEX($I$2:$I$10, MATCH(TRUE, ISNUMBER(SEARCH($H$2:$H$10, SUBSTITUTE(A509,"　"," "))), 0)),
    TRIM(SUBSTITUTE(A509,"　"," "))
  )
)</f>
        <v>イチゴ</v>
      </c>
      <c r="D509">
        <f t="shared" si="8"/>
        <v>100</v>
      </c>
    </row>
    <row r="510" spans="1:4">
      <c r="A510" t="s">
        <v>3</v>
      </c>
      <c r="B510">
        <v>840</v>
      </c>
      <c r="C510" t="str" cm="1">
        <f t="array" ref="C510">IF(
  AND(ISNUMBER(SEARCH("加工品",SUBSTITUTE(A510,"　"," "))), ISNUMBER(SEARCH("ベビーリーフ",SUBSTITUTE(A510,"　"," ")))),
  "ベビーリーフ（加工品）",
  IFERROR(
    INDEX($I$2:$I$10, MATCH(TRUE, ISNUMBER(SEARCH($H$2:$H$10, SUBSTITUTE(A510,"　"," "))), 0)),
    TRIM(SUBSTITUTE(A510,"　"," "))
  )
)</f>
        <v>ベビーリーフ（加工品）</v>
      </c>
      <c r="D510">
        <f t="shared" si="8"/>
        <v>840</v>
      </c>
    </row>
    <row r="511" spans="1:4">
      <c r="A511" t="s">
        <v>9</v>
      </c>
      <c r="B511" s="1">
        <v>1420</v>
      </c>
      <c r="C511" t="str" cm="1">
        <f t="array" ref="C511">IF(
  AND(ISNUMBER(SEARCH("加工品",SUBSTITUTE(A511,"　"," "))), ISNUMBER(SEARCH("ベビーリーフ",SUBSTITUTE(A511,"　"," ")))),
  "ベビーリーフ（加工品）",
  IFERROR(
    INDEX($I$2:$I$10, MATCH(TRUE, ISNUMBER(SEARCH($H$2:$H$10, SUBSTITUTE(A511,"　"," "))), 0)),
    TRIM(SUBSTITUTE(A511,"　"," "))
  )
)</f>
        <v>ロロロッサ</v>
      </c>
      <c r="D511">
        <f t="shared" si="8"/>
        <v>1420</v>
      </c>
    </row>
    <row r="512" spans="1:4">
      <c r="A512" t="s">
        <v>11</v>
      </c>
      <c r="B512" s="1">
        <v>1140</v>
      </c>
      <c r="C512" t="str" cm="1">
        <f t="array" ref="C512">IF(
  AND(ISNUMBER(SEARCH("加工品",SUBSTITUTE(A512,"　"," "))), ISNUMBER(SEARCH("ベビーリーフ",SUBSTITUTE(A512,"　"," ")))),
  "ベビーリーフ（加工品）",
  IFERROR(
    INDEX($I$2:$I$10, MATCH(TRUE, ISNUMBER(SEARCH($H$2:$H$10, SUBSTITUTE(A512,"　"," "))), 0)),
    TRIM(SUBSTITUTE(A512,"　"," "))
  )
)</f>
        <v>レッドオーク</v>
      </c>
      <c r="D512">
        <f t="shared" si="8"/>
        <v>1140</v>
      </c>
    </row>
    <row r="513" spans="1:4">
      <c r="A513" t="s">
        <v>8</v>
      </c>
      <c r="B513">
        <v>320</v>
      </c>
      <c r="C513" t="str" cm="1">
        <f t="array" ref="C513">IF(
  AND(ISNUMBER(SEARCH("加工品",SUBSTITUTE(A513,"　"," "))), ISNUMBER(SEARCH("ベビーリーフ",SUBSTITUTE(A513,"　"," ")))),
  "ベビーリーフ（加工品）",
  IFERROR(
    INDEX($I$2:$I$10, MATCH(TRUE, ISNUMBER(SEARCH($H$2:$H$10, SUBSTITUTE(A513,"　"," "))), 0)),
    TRIM(SUBSTITUTE(A513,"　"," "))
  )
)</f>
        <v>イチゴ</v>
      </c>
      <c r="D513">
        <f t="shared" si="8"/>
        <v>320</v>
      </c>
    </row>
    <row r="514" spans="1:4">
      <c r="A514" t="s">
        <v>2</v>
      </c>
      <c r="B514">
        <v>640</v>
      </c>
      <c r="C514" t="str" cm="1">
        <f t="array" ref="C514">IF(
  AND(ISNUMBER(SEARCH("加工品",SUBSTITUTE(A514,"　"," "))), ISNUMBER(SEARCH("ベビーリーフ",SUBSTITUTE(A514,"　"," ")))),
  "ベビーリーフ（加工品）",
  IFERROR(
    INDEX($I$2:$I$10, MATCH(TRUE, ISNUMBER(SEARCH($H$2:$H$10, SUBSTITUTE(A514,"　"," "))), 0)),
    TRIM(SUBSTITUTE(A514,"　"," "))
  )
)</f>
        <v>グリーンオーク</v>
      </c>
      <c r="D514">
        <f t="shared" si="8"/>
        <v>640</v>
      </c>
    </row>
    <row r="515" spans="1:4">
      <c r="A515" t="s">
        <v>9</v>
      </c>
      <c r="B515" s="1">
        <v>1180</v>
      </c>
      <c r="C515" t="str" cm="1">
        <f t="array" ref="C515">IF(
  AND(ISNUMBER(SEARCH("加工品",SUBSTITUTE(A515,"　"," "))), ISNUMBER(SEARCH("ベビーリーフ",SUBSTITUTE(A515,"　"," ")))),
  "ベビーリーフ（加工品）",
  IFERROR(
    INDEX($I$2:$I$10, MATCH(TRUE, ISNUMBER(SEARCH($H$2:$H$10, SUBSTITUTE(A515,"　"," "))), 0)),
    TRIM(SUBSTITUTE(A515,"　"," "))
  )
)</f>
        <v>ロロロッサ</v>
      </c>
      <c r="D515">
        <f t="shared" ref="D515:D578" si="9">--SUBSTITUTE(B515,",","")</f>
        <v>1180</v>
      </c>
    </row>
    <row r="516" spans="1:4">
      <c r="A516" t="s">
        <v>3</v>
      </c>
      <c r="B516">
        <v>700</v>
      </c>
      <c r="C516" t="str" cm="1">
        <f t="array" ref="C516">IF(
  AND(ISNUMBER(SEARCH("加工品",SUBSTITUTE(A516,"　"," "))), ISNUMBER(SEARCH("ベビーリーフ",SUBSTITUTE(A516,"　"," ")))),
  "ベビーリーフ（加工品）",
  IFERROR(
    INDEX($I$2:$I$10, MATCH(TRUE, ISNUMBER(SEARCH($H$2:$H$10, SUBSTITUTE(A516,"　"," "))), 0)),
    TRIM(SUBSTITUTE(A516,"　"," "))
  )
)</f>
        <v>ベビーリーフ（加工品）</v>
      </c>
      <c r="D516">
        <f t="shared" si="9"/>
        <v>700</v>
      </c>
    </row>
    <row r="517" spans="1:4">
      <c r="A517" t="s">
        <v>11</v>
      </c>
      <c r="B517" s="1">
        <v>1120</v>
      </c>
      <c r="C517" t="str" cm="1">
        <f t="array" ref="C517">IF(
  AND(ISNUMBER(SEARCH("加工品",SUBSTITUTE(A517,"　"," "))), ISNUMBER(SEARCH("ベビーリーフ",SUBSTITUTE(A517,"　"," ")))),
  "ベビーリーフ（加工品）",
  IFERROR(
    INDEX($I$2:$I$10, MATCH(TRUE, ISNUMBER(SEARCH($H$2:$H$10, SUBSTITUTE(A517,"　"," "))), 0)),
    TRIM(SUBSTITUTE(A517,"　"," "))
  )
)</f>
        <v>レッドオーク</v>
      </c>
      <c r="D517">
        <f t="shared" si="9"/>
        <v>1120</v>
      </c>
    </row>
    <row r="518" spans="1:4">
      <c r="A518" t="s">
        <v>2</v>
      </c>
      <c r="B518">
        <v>220</v>
      </c>
      <c r="C518" t="str" cm="1">
        <f t="array" ref="C518">IF(
  AND(ISNUMBER(SEARCH("加工品",SUBSTITUTE(A518,"　"," "))), ISNUMBER(SEARCH("ベビーリーフ",SUBSTITUTE(A518,"　"," ")))),
  "ベビーリーフ（加工品）",
  IFERROR(
    INDEX($I$2:$I$10, MATCH(TRUE, ISNUMBER(SEARCH($H$2:$H$10, SUBSTITUTE(A518,"　"," "))), 0)),
    TRIM(SUBSTITUTE(A518,"　"," "))
  )
)</f>
        <v>グリーンオーク</v>
      </c>
      <c r="D518">
        <f t="shared" si="9"/>
        <v>220</v>
      </c>
    </row>
    <row r="519" spans="1:4">
      <c r="A519" t="s">
        <v>3</v>
      </c>
      <c r="B519">
        <v>820</v>
      </c>
      <c r="C519" t="str" cm="1">
        <f t="array" ref="C519">IF(
  AND(ISNUMBER(SEARCH("加工品",SUBSTITUTE(A519,"　"," "))), ISNUMBER(SEARCH("ベビーリーフ",SUBSTITUTE(A519,"　"," ")))),
  "ベビーリーフ（加工品）",
  IFERROR(
    INDEX($I$2:$I$10, MATCH(TRUE, ISNUMBER(SEARCH($H$2:$H$10, SUBSTITUTE(A519,"　"," "))), 0)),
    TRIM(SUBSTITUTE(A519,"　"," "))
  )
)</f>
        <v>ベビーリーフ（加工品）</v>
      </c>
      <c r="D519">
        <f t="shared" si="9"/>
        <v>820</v>
      </c>
    </row>
    <row r="520" spans="1:4">
      <c r="A520" t="s">
        <v>11</v>
      </c>
      <c r="B520" s="1">
        <v>1860</v>
      </c>
      <c r="C520" t="str" cm="1">
        <f t="array" ref="C520">IF(
  AND(ISNUMBER(SEARCH("加工品",SUBSTITUTE(A520,"　"," "))), ISNUMBER(SEARCH("ベビーリーフ",SUBSTITUTE(A520,"　"," ")))),
  "ベビーリーフ（加工品）",
  IFERROR(
    INDEX($I$2:$I$10, MATCH(TRUE, ISNUMBER(SEARCH($H$2:$H$10, SUBSTITUTE(A520,"　"," "))), 0)),
    TRIM(SUBSTITUTE(A520,"　"," "))
  )
)</f>
        <v>レッドオーク</v>
      </c>
      <c r="D520">
        <f t="shared" si="9"/>
        <v>1860</v>
      </c>
    </row>
    <row r="521" spans="1:4">
      <c r="A521" t="s">
        <v>9</v>
      </c>
      <c r="B521" s="1">
        <v>2780</v>
      </c>
      <c r="C521" t="str" cm="1">
        <f t="array" ref="C521">IF(
  AND(ISNUMBER(SEARCH("加工品",SUBSTITUTE(A521,"　"," "))), ISNUMBER(SEARCH("ベビーリーフ",SUBSTITUTE(A521,"　"," ")))),
  "ベビーリーフ（加工品）",
  IFERROR(
    INDEX($I$2:$I$10, MATCH(TRUE, ISNUMBER(SEARCH($H$2:$H$10, SUBSTITUTE(A521,"　"," "))), 0)),
    TRIM(SUBSTITUTE(A521,"　"," "))
  )
)</f>
        <v>ロロロッサ</v>
      </c>
      <c r="D521">
        <f t="shared" si="9"/>
        <v>2780</v>
      </c>
    </row>
    <row r="522" spans="1:4">
      <c r="A522" t="s">
        <v>2</v>
      </c>
      <c r="B522">
        <v>480</v>
      </c>
      <c r="C522" t="str" cm="1">
        <f t="array" ref="C522">IF(
  AND(ISNUMBER(SEARCH("加工品",SUBSTITUTE(A522,"　"," "))), ISNUMBER(SEARCH("ベビーリーフ",SUBSTITUTE(A522,"　"," ")))),
  "ベビーリーフ（加工品）",
  IFERROR(
    INDEX($I$2:$I$10, MATCH(TRUE, ISNUMBER(SEARCH($H$2:$H$10, SUBSTITUTE(A522,"　"," "))), 0)),
    TRIM(SUBSTITUTE(A522,"　"," "))
  )
)</f>
        <v>グリーンオーク</v>
      </c>
      <c r="D522">
        <f t="shared" si="9"/>
        <v>480</v>
      </c>
    </row>
    <row r="523" spans="1:4">
      <c r="A523" t="s">
        <v>3</v>
      </c>
      <c r="B523" s="1">
        <v>1720</v>
      </c>
      <c r="C523" t="str" cm="1">
        <f t="array" ref="C523">IF(
  AND(ISNUMBER(SEARCH("加工品",SUBSTITUTE(A523,"　"," "))), ISNUMBER(SEARCH("ベビーリーフ",SUBSTITUTE(A523,"　"," ")))),
  "ベビーリーフ（加工品）",
  IFERROR(
    INDEX($I$2:$I$10, MATCH(TRUE, ISNUMBER(SEARCH($H$2:$H$10, SUBSTITUTE(A523,"　"," "))), 0)),
    TRIM(SUBSTITUTE(A523,"　"," "))
  )
)</f>
        <v>ベビーリーフ（加工品）</v>
      </c>
      <c r="D523">
        <f t="shared" si="9"/>
        <v>1720</v>
      </c>
    </row>
    <row r="524" spans="1:4">
      <c r="A524" t="s">
        <v>11</v>
      </c>
      <c r="B524" s="1">
        <v>2100</v>
      </c>
      <c r="C524" t="str" cm="1">
        <f t="array" ref="C524">IF(
  AND(ISNUMBER(SEARCH("加工品",SUBSTITUTE(A524,"　"," "))), ISNUMBER(SEARCH("ベビーリーフ",SUBSTITUTE(A524,"　"," ")))),
  "ベビーリーフ（加工品）",
  IFERROR(
    INDEX($I$2:$I$10, MATCH(TRUE, ISNUMBER(SEARCH($H$2:$H$10, SUBSTITUTE(A524,"　"," "))), 0)),
    TRIM(SUBSTITUTE(A524,"　"," "))
  )
)</f>
        <v>レッドオーク</v>
      </c>
      <c r="D524">
        <f t="shared" si="9"/>
        <v>2100</v>
      </c>
    </row>
    <row r="525" spans="1:4">
      <c r="A525" t="s">
        <v>9</v>
      </c>
      <c r="B525" s="1">
        <v>3200</v>
      </c>
      <c r="C525" t="str" cm="1">
        <f t="array" ref="C525">IF(
  AND(ISNUMBER(SEARCH("加工品",SUBSTITUTE(A525,"　"," "))), ISNUMBER(SEARCH("ベビーリーフ",SUBSTITUTE(A525,"　"," ")))),
  "ベビーリーフ（加工品）",
  IFERROR(
    INDEX($I$2:$I$10, MATCH(TRUE, ISNUMBER(SEARCH($H$2:$H$10, SUBSTITUTE(A525,"　"," "))), 0)),
    TRIM(SUBSTITUTE(A525,"　"," "))
  )
)</f>
        <v>ロロロッサ</v>
      </c>
      <c r="D525">
        <f t="shared" si="9"/>
        <v>3200</v>
      </c>
    </row>
    <row r="526" spans="1:4">
      <c r="A526" t="s">
        <v>2</v>
      </c>
      <c r="B526">
        <v>480</v>
      </c>
      <c r="C526" t="str" cm="1">
        <f t="array" ref="C526">IF(
  AND(ISNUMBER(SEARCH("加工品",SUBSTITUTE(A526,"　"," "))), ISNUMBER(SEARCH("ベビーリーフ",SUBSTITUTE(A526,"　"," ")))),
  "ベビーリーフ（加工品）",
  IFERROR(
    INDEX($I$2:$I$10, MATCH(TRUE, ISNUMBER(SEARCH($H$2:$H$10, SUBSTITUTE(A526,"　"," "))), 0)),
    TRIM(SUBSTITUTE(A526,"　"," "))
  )
)</f>
        <v>グリーンオーク</v>
      </c>
      <c r="D526">
        <f t="shared" si="9"/>
        <v>480</v>
      </c>
    </row>
    <row r="527" spans="1:4">
      <c r="A527" t="s">
        <v>3</v>
      </c>
      <c r="B527" s="1">
        <v>1720</v>
      </c>
      <c r="C527" t="str" cm="1">
        <f t="array" ref="C527">IF(
  AND(ISNUMBER(SEARCH("加工品",SUBSTITUTE(A527,"　"," "))), ISNUMBER(SEARCH("ベビーリーフ",SUBSTITUTE(A527,"　"," ")))),
  "ベビーリーフ（加工品）",
  IFERROR(
    INDEX($I$2:$I$10, MATCH(TRUE, ISNUMBER(SEARCH($H$2:$H$10, SUBSTITUTE(A527,"　"," "))), 0)),
    TRIM(SUBSTITUTE(A527,"　"," "))
  )
)</f>
        <v>ベビーリーフ（加工品）</v>
      </c>
      <c r="D527">
        <f t="shared" si="9"/>
        <v>1720</v>
      </c>
    </row>
    <row r="528" spans="1:4">
      <c r="A528" t="s">
        <v>11</v>
      </c>
      <c r="B528" s="1">
        <v>2100</v>
      </c>
      <c r="C528" t="str" cm="1">
        <f t="array" ref="C528">IF(
  AND(ISNUMBER(SEARCH("加工品",SUBSTITUTE(A528,"　"," "))), ISNUMBER(SEARCH("ベビーリーフ",SUBSTITUTE(A528,"　"," ")))),
  "ベビーリーフ（加工品）",
  IFERROR(
    INDEX($I$2:$I$10, MATCH(TRUE, ISNUMBER(SEARCH($H$2:$H$10, SUBSTITUTE(A528,"　"," "))), 0)),
    TRIM(SUBSTITUTE(A528,"　"," "))
  )
)</f>
        <v>レッドオーク</v>
      </c>
      <c r="D528">
        <f t="shared" si="9"/>
        <v>2100</v>
      </c>
    </row>
    <row r="529" spans="1:4">
      <c r="A529" t="s">
        <v>9</v>
      </c>
      <c r="B529" s="1">
        <v>3200</v>
      </c>
      <c r="C529" t="str" cm="1">
        <f t="array" ref="C529">IF(
  AND(ISNUMBER(SEARCH("加工品",SUBSTITUTE(A529,"　"," "))), ISNUMBER(SEARCH("ベビーリーフ",SUBSTITUTE(A529,"　"," ")))),
  "ベビーリーフ（加工品）",
  IFERROR(
    INDEX($I$2:$I$10, MATCH(TRUE, ISNUMBER(SEARCH($H$2:$H$10, SUBSTITUTE(A529,"　"," "))), 0)),
    TRIM(SUBSTITUTE(A529,"　"," "))
  )
)</f>
        <v>ロロロッサ</v>
      </c>
      <c r="D529">
        <f t="shared" si="9"/>
        <v>3200</v>
      </c>
    </row>
    <row r="530" spans="1:4">
      <c r="A530" t="s">
        <v>3</v>
      </c>
      <c r="B530">
        <v>260</v>
      </c>
      <c r="C530" t="str" cm="1">
        <f t="array" ref="C530">IF(
  AND(ISNUMBER(SEARCH("加工品",SUBSTITUTE(A530,"　"," "))), ISNUMBER(SEARCH("ベビーリーフ",SUBSTITUTE(A530,"　"," ")))),
  "ベビーリーフ（加工品）",
  IFERROR(
    INDEX($I$2:$I$10, MATCH(TRUE, ISNUMBER(SEARCH($H$2:$H$10, SUBSTITUTE(A530,"　"," "))), 0)),
    TRIM(SUBSTITUTE(A530,"　"," "))
  )
)</f>
        <v>ベビーリーフ（加工品）</v>
      </c>
      <c r="D530">
        <f t="shared" si="9"/>
        <v>260</v>
      </c>
    </row>
    <row r="531" spans="1:4">
      <c r="A531" t="s">
        <v>3</v>
      </c>
      <c r="B531">
        <v>200</v>
      </c>
      <c r="C531" t="str" cm="1">
        <f t="array" ref="C531">IF(
  AND(ISNUMBER(SEARCH("加工品",SUBSTITUTE(A531,"　"," "))), ISNUMBER(SEARCH("ベビーリーフ",SUBSTITUTE(A531,"　"," ")))),
  "ベビーリーフ（加工品）",
  IFERROR(
    INDEX($I$2:$I$10, MATCH(TRUE, ISNUMBER(SEARCH($H$2:$H$10, SUBSTITUTE(A531,"　"," "))), 0)),
    TRIM(SUBSTITUTE(A531,"　"," "))
  )
)</f>
        <v>ベビーリーフ（加工品）</v>
      </c>
      <c r="D531">
        <f t="shared" si="9"/>
        <v>200</v>
      </c>
    </row>
    <row r="532" spans="1:4">
      <c r="A532" t="s">
        <v>2</v>
      </c>
      <c r="B532">
        <v>400</v>
      </c>
      <c r="C532" t="str" cm="1">
        <f t="array" ref="C532">IF(
  AND(ISNUMBER(SEARCH("加工品",SUBSTITUTE(A532,"　"," "))), ISNUMBER(SEARCH("ベビーリーフ",SUBSTITUTE(A532,"　"," ")))),
  "ベビーリーフ（加工品）",
  IFERROR(
    INDEX($I$2:$I$10, MATCH(TRUE, ISNUMBER(SEARCH($H$2:$H$10, SUBSTITUTE(A532,"　"," "))), 0)),
    TRIM(SUBSTITUTE(A532,"　"," "))
  )
)</f>
        <v>グリーンオーク</v>
      </c>
      <c r="D532">
        <f t="shared" si="9"/>
        <v>400</v>
      </c>
    </row>
    <row r="533" spans="1:4">
      <c r="A533" t="s">
        <v>3</v>
      </c>
      <c r="B533">
        <v>800</v>
      </c>
      <c r="C533" t="str" cm="1">
        <f t="array" ref="C533">IF(
  AND(ISNUMBER(SEARCH("加工品",SUBSTITUTE(A533,"　"," "))), ISNUMBER(SEARCH("ベビーリーフ",SUBSTITUTE(A533,"　"," ")))),
  "ベビーリーフ（加工品）",
  IFERROR(
    INDEX($I$2:$I$10, MATCH(TRUE, ISNUMBER(SEARCH($H$2:$H$10, SUBSTITUTE(A533,"　"," "))), 0)),
    TRIM(SUBSTITUTE(A533,"　"," "))
  )
)</f>
        <v>ベビーリーフ（加工品）</v>
      </c>
      <c r="D533">
        <f t="shared" si="9"/>
        <v>800</v>
      </c>
    </row>
    <row r="534" spans="1:4">
      <c r="A534" t="s">
        <v>9</v>
      </c>
      <c r="B534">
        <v>580</v>
      </c>
      <c r="C534" t="str" cm="1">
        <f t="array" ref="C534">IF(
  AND(ISNUMBER(SEARCH("加工品",SUBSTITUTE(A534,"　"," "))), ISNUMBER(SEARCH("ベビーリーフ",SUBSTITUTE(A534,"　"," ")))),
  "ベビーリーフ（加工品）",
  IFERROR(
    INDEX($I$2:$I$10, MATCH(TRUE, ISNUMBER(SEARCH($H$2:$H$10, SUBSTITUTE(A534,"　"," "))), 0)),
    TRIM(SUBSTITUTE(A534,"　"," "))
  )
)</f>
        <v>ロロロッサ</v>
      </c>
      <c r="D534">
        <f t="shared" si="9"/>
        <v>580</v>
      </c>
    </row>
    <row r="535" spans="1:4">
      <c r="A535" t="s">
        <v>11</v>
      </c>
      <c r="B535">
        <v>600</v>
      </c>
      <c r="C535" t="str" cm="1">
        <f t="array" ref="C535">IF(
  AND(ISNUMBER(SEARCH("加工品",SUBSTITUTE(A535,"　"," "))), ISNUMBER(SEARCH("ベビーリーフ",SUBSTITUTE(A535,"　"," ")))),
  "ベビーリーフ（加工品）",
  IFERROR(
    INDEX($I$2:$I$10, MATCH(TRUE, ISNUMBER(SEARCH($H$2:$H$10, SUBSTITUTE(A535,"　"," "))), 0)),
    TRIM(SUBSTITUTE(A535,"　"," "))
  )
)</f>
        <v>レッドオーク</v>
      </c>
      <c r="D535">
        <f t="shared" si="9"/>
        <v>600</v>
      </c>
    </row>
    <row r="536" spans="1:4">
      <c r="A536" t="s">
        <v>3</v>
      </c>
      <c r="B536">
        <v>260</v>
      </c>
      <c r="C536" t="str" cm="1">
        <f t="array" ref="C536">IF(
  AND(ISNUMBER(SEARCH("加工品",SUBSTITUTE(A536,"　"," "))), ISNUMBER(SEARCH("ベビーリーフ",SUBSTITUTE(A536,"　"," ")))),
  "ベビーリーフ（加工品）",
  IFERROR(
    INDEX($I$2:$I$10, MATCH(TRUE, ISNUMBER(SEARCH($H$2:$H$10, SUBSTITUTE(A536,"　"," "))), 0)),
    TRIM(SUBSTITUTE(A536,"　"," "))
  )
)</f>
        <v>ベビーリーフ（加工品）</v>
      </c>
      <c r="D536">
        <f t="shared" si="9"/>
        <v>260</v>
      </c>
    </row>
    <row r="537" spans="1:4">
      <c r="A537" t="s">
        <v>2</v>
      </c>
      <c r="B537">
        <v>260</v>
      </c>
      <c r="C537" t="str" cm="1">
        <f t="array" ref="C537">IF(
  AND(ISNUMBER(SEARCH("加工品",SUBSTITUTE(A537,"　"," "))), ISNUMBER(SEARCH("ベビーリーフ",SUBSTITUTE(A537,"　"," ")))),
  "ベビーリーフ（加工品）",
  IFERROR(
    INDEX($I$2:$I$10, MATCH(TRUE, ISNUMBER(SEARCH($H$2:$H$10, SUBSTITUTE(A537,"　"," "))), 0)),
    TRIM(SUBSTITUTE(A537,"　"," "))
  )
)</f>
        <v>グリーンオーク</v>
      </c>
      <c r="D537">
        <f t="shared" si="9"/>
        <v>260</v>
      </c>
    </row>
    <row r="538" spans="1:4">
      <c r="A538" t="s">
        <v>8</v>
      </c>
      <c r="B538">
        <v>80</v>
      </c>
      <c r="C538" t="str" cm="1">
        <f t="array" ref="C538">IF(
  AND(ISNUMBER(SEARCH("加工品",SUBSTITUTE(A538,"　"," "))), ISNUMBER(SEARCH("ベビーリーフ",SUBSTITUTE(A538,"　"," ")))),
  "ベビーリーフ（加工品）",
  IFERROR(
    INDEX($I$2:$I$10, MATCH(TRUE, ISNUMBER(SEARCH($H$2:$H$10, SUBSTITUTE(A538,"　"," "))), 0)),
    TRIM(SUBSTITUTE(A538,"　"," "))
  )
)</f>
        <v>イチゴ</v>
      </c>
      <c r="D538">
        <f t="shared" si="9"/>
        <v>80</v>
      </c>
    </row>
    <row r="539" spans="1:4">
      <c r="A539" t="s">
        <v>11</v>
      </c>
      <c r="B539" s="1">
        <v>1500</v>
      </c>
      <c r="C539" t="str" cm="1">
        <f t="array" ref="C539">IF(
  AND(ISNUMBER(SEARCH("加工品",SUBSTITUTE(A539,"　"," "))), ISNUMBER(SEARCH("ベビーリーフ",SUBSTITUTE(A539,"　"," ")))),
  "ベビーリーフ（加工品）",
  IFERROR(
    INDEX($I$2:$I$10, MATCH(TRUE, ISNUMBER(SEARCH($H$2:$H$10, SUBSTITUTE(A539,"　"," "))), 0)),
    TRIM(SUBSTITUTE(A539,"　"," "))
  )
)</f>
        <v>レッドオーク</v>
      </c>
      <c r="D539">
        <f t="shared" si="9"/>
        <v>1500</v>
      </c>
    </row>
    <row r="540" spans="1:4">
      <c r="A540" t="s">
        <v>9</v>
      </c>
      <c r="B540">
        <v>600</v>
      </c>
      <c r="C540" t="str" cm="1">
        <f t="array" ref="C540">IF(
  AND(ISNUMBER(SEARCH("加工品",SUBSTITUTE(A540,"　"," "))), ISNUMBER(SEARCH("ベビーリーフ",SUBSTITUTE(A540,"　"," ")))),
  "ベビーリーフ（加工品）",
  IFERROR(
    INDEX($I$2:$I$10, MATCH(TRUE, ISNUMBER(SEARCH($H$2:$H$10, SUBSTITUTE(A540,"　"," "))), 0)),
    TRIM(SUBSTITUTE(A540,"　"," "))
  )
)</f>
        <v>ロロロッサ</v>
      </c>
      <c r="D540">
        <f t="shared" si="9"/>
        <v>600</v>
      </c>
    </row>
    <row r="541" spans="1:4">
      <c r="A541" t="s">
        <v>3</v>
      </c>
      <c r="B541">
        <v>260</v>
      </c>
      <c r="C541" t="str" cm="1">
        <f t="array" ref="C541">IF(
  AND(ISNUMBER(SEARCH("加工品",SUBSTITUTE(A541,"　"," "))), ISNUMBER(SEARCH("ベビーリーフ",SUBSTITUTE(A541,"　"," ")))),
  "ベビーリーフ（加工品）",
  IFERROR(
    INDEX($I$2:$I$10, MATCH(TRUE, ISNUMBER(SEARCH($H$2:$H$10, SUBSTITUTE(A541,"　"," "))), 0)),
    TRIM(SUBSTITUTE(A541,"　"," "))
  )
)</f>
        <v>ベビーリーフ（加工品）</v>
      </c>
      <c r="D541">
        <f t="shared" si="9"/>
        <v>260</v>
      </c>
    </row>
    <row r="542" spans="1:4">
      <c r="A542" t="s">
        <v>2</v>
      </c>
      <c r="B542">
        <v>260</v>
      </c>
      <c r="C542" t="str" cm="1">
        <f t="array" ref="C542">IF(
  AND(ISNUMBER(SEARCH("加工品",SUBSTITUTE(A542,"　"," "))), ISNUMBER(SEARCH("ベビーリーフ",SUBSTITUTE(A542,"　"," ")))),
  "ベビーリーフ（加工品）",
  IFERROR(
    INDEX($I$2:$I$10, MATCH(TRUE, ISNUMBER(SEARCH($H$2:$H$10, SUBSTITUTE(A542,"　"," "))), 0)),
    TRIM(SUBSTITUTE(A542,"　"," "))
  )
)</f>
        <v>グリーンオーク</v>
      </c>
      <c r="D542">
        <f t="shared" si="9"/>
        <v>260</v>
      </c>
    </row>
    <row r="543" spans="1:4">
      <c r="A543" t="s">
        <v>8</v>
      </c>
      <c r="B543">
        <v>80</v>
      </c>
      <c r="C543" t="str" cm="1">
        <f t="array" ref="C543">IF(
  AND(ISNUMBER(SEARCH("加工品",SUBSTITUTE(A543,"　"," "))), ISNUMBER(SEARCH("ベビーリーフ",SUBSTITUTE(A543,"　"," ")))),
  "ベビーリーフ（加工品）",
  IFERROR(
    INDEX($I$2:$I$10, MATCH(TRUE, ISNUMBER(SEARCH($H$2:$H$10, SUBSTITUTE(A543,"　"," "))), 0)),
    TRIM(SUBSTITUTE(A543,"　"," "))
  )
)</f>
        <v>イチゴ</v>
      </c>
      <c r="D543">
        <f t="shared" si="9"/>
        <v>80</v>
      </c>
    </row>
    <row r="544" spans="1:4">
      <c r="A544" t="s">
        <v>11</v>
      </c>
      <c r="B544" s="1">
        <v>1500</v>
      </c>
      <c r="C544" t="str" cm="1">
        <f t="array" ref="C544">IF(
  AND(ISNUMBER(SEARCH("加工品",SUBSTITUTE(A544,"　"," "))), ISNUMBER(SEARCH("ベビーリーフ",SUBSTITUTE(A544,"　"," ")))),
  "ベビーリーフ（加工品）",
  IFERROR(
    INDEX($I$2:$I$10, MATCH(TRUE, ISNUMBER(SEARCH($H$2:$H$10, SUBSTITUTE(A544,"　"," "))), 0)),
    TRIM(SUBSTITUTE(A544,"　"," "))
  )
)</f>
        <v>レッドオーク</v>
      </c>
      <c r="D544">
        <f t="shared" si="9"/>
        <v>1500</v>
      </c>
    </row>
    <row r="545" spans="1:4">
      <c r="A545" t="s">
        <v>9</v>
      </c>
      <c r="B545">
        <v>600</v>
      </c>
      <c r="C545" t="str" cm="1">
        <f t="array" ref="C545">IF(
  AND(ISNUMBER(SEARCH("加工品",SUBSTITUTE(A545,"　"," "))), ISNUMBER(SEARCH("ベビーリーフ",SUBSTITUTE(A545,"　"," ")))),
  "ベビーリーフ（加工品）",
  IFERROR(
    INDEX($I$2:$I$10, MATCH(TRUE, ISNUMBER(SEARCH($H$2:$H$10, SUBSTITUTE(A545,"　"," "))), 0)),
    TRIM(SUBSTITUTE(A545,"　"," "))
  )
)</f>
        <v>ロロロッサ</v>
      </c>
      <c r="D545">
        <f t="shared" si="9"/>
        <v>600</v>
      </c>
    </row>
    <row r="546" spans="1:4">
      <c r="A546" t="s">
        <v>2</v>
      </c>
      <c r="B546">
        <v>260</v>
      </c>
      <c r="C546" t="str" cm="1">
        <f t="array" ref="C546">IF(
  AND(ISNUMBER(SEARCH("加工品",SUBSTITUTE(A546,"　"," "))), ISNUMBER(SEARCH("ベビーリーフ",SUBSTITUTE(A546,"　"," ")))),
  "ベビーリーフ（加工品）",
  IFERROR(
    INDEX($I$2:$I$10, MATCH(TRUE, ISNUMBER(SEARCH($H$2:$H$10, SUBSTITUTE(A546,"　"," "))), 0)),
    TRIM(SUBSTITUTE(A546,"　"," "))
  )
)</f>
        <v>グリーンオーク</v>
      </c>
      <c r="D546">
        <f t="shared" si="9"/>
        <v>260</v>
      </c>
    </row>
    <row r="547" spans="1:4">
      <c r="A547" t="s">
        <v>3</v>
      </c>
      <c r="B547">
        <v>180</v>
      </c>
      <c r="C547" t="str" cm="1">
        <f t="array" ref="C547">IF(
  AND(ISNUMBER(SEARCH("加工品",SUBSTITUTE(A547,"　"," "))), ISNUMBER(SEARCH("ベビーリーフ",SUBSTITUTE(A547,"　"," ")))),
  "ベビーリーフ（加工品）",
  IFERROR(
    INDEX($I$2:$I$10, MATCH(TRUE, ISNUMBER(SEARCH($H$2:$H$10, SUBSTITUTE(A547,"　"," "))), 0)),
    TRIM(SUBSTITUTE(A547,"　"," "))
  )
)</f>
        <v>ベビーリーフ（加工品）</v>
      </c>
      <c r="D547">
        <f t="shared" si="9"/>
        <v>180</v>
      </c>
    </row>
    <row r="548" spans="1:4">
      <c r="A548" t="s">
        <v>12</v>
      </c>
      <c r="B548">
        <v>540</v>
      </c>
      <c r="C548" t="str" cm="1">
        <f t="array" ref="C548">IF(
  AND(ISNUMBER(SEARCH("加工品",SUBSTITUTE(A548,"　"," "))), ISNUMBER(SEARCH("ベビーリーフ",SUBSTITUTE(A548,"　"," ")))),
  "ベビーリーフ（加工品）",
  IFERROR(
    INDEX($I$2:$I$10, MATCH(TRUE, ISNUMBER(SEARCH($H$2:$H$10, SUBSTITUTE(A548,"　"," "))), 0)),
    TRIM(SUBSTITUTE(A548,"　"," "))
  )
)</f>
        <v>ブロッコリースプラウト</v>
      </c>
      <c r="D548">
        <f t="shared" si="9"/>
        <v>540</v>
      </c>
    </row>
    <row r="549" spans="1:4">
      <c r="A549" t="s">
        <v>9</v>
      </c>
      <c r="B549">
        <v>860</v>
      </c>
      <c r="C549" t="str" cm="1">
        <f t="array" ref="C549">IF(
  AND(ISNUMBER(SEARCH("加工品",SUBSTITUTE(A549,"　"," "))), ISNUMBER(SEARCH("ベビーリーフ",SUBSTITUTE(A549,"　"," ")))),
  "ベビーリーフ（加工品）",
  IFERROR(
    INDEX($I$2:$I$10, MATCH(TRUE, ISNUMBER(SEARCH($H$2:$H$10, SUBSTITUTE(A549,"　"," "))), 0)),
    TRIM(SUBSTITUTE(A549,"　"," "))
  )
)</f>
        <v>ロロロッサ</v>
      </c>
      <c r="D549">
        <f t="shared" si="9"/>
        <v>860</v>
      </c>
    </row>
    <row r="550" spans="1:4">
      <c r="A550" t="s">
        <v>2</v>
      </c>
      <c r="B550">
        <v>260</v>
      </c>
      <c r="C550" t="str" cm="1">
        <f t="array" ref="C550">IF(
  AND(ISNUMBER(SEARCH("加工品",SUBSTITUTE(A550,"　"," "))), ISNUMBER(SEARCH("ベビーリーフ",SUBSTITUTE(A550,"　"," ")))),
  "ベビーリーフ（加工品）",
  IFERROR(
    INDEX($I$2:$I$10, MATCH(TRUE, ISNUMBER(SEARCH($H$2:$H$10, SUBSTITUTE(A550,"　"," "))), 0)),
    TRIM(SUBSTITUTE(A550,"　"," "))
  )
)</f>
        <v>グリーンオーク</v>
      </c>
      <c r="D550">
        <f t="shared" si="9"/>
        <v>260</v>
      </c>
    </row>
    <row r="551" spans="1:4">
      <c r="A551" t="s">
        <v>3</v>
      </c>
      <c r="B551">
        <v>180</v>
      </c>
      <c r="C551" t="str" cm="1">
        <f t="array" ref="C551">IF(
  AND(ISNUMBER(SEARCH("加工品",SUBSTITUTE(A551,"　"," "))), ISNUMBER(SEARCH("ベビーリーフ",SUBSTITUTE(A551,"　"," ")))),
  "ベビーリーフ（加工品）",
  IFERROR(
    INDEX($I$2:$I$10, MATCH(TRUE, ISNUMBER(SEARCH($H$2:$H$10, SUBSTITUTE(A551,"　"," "))), 0)),
    TRIM(SUBSTITUTE(A551,"　"," "))
  )
)</f>
        <v>ベビーリーフ（加工品）</v>
      </c>
      <c r="D551">
        <f t="shared" si="9"/>
        <v>180</v>
      </c>
    </row>
    <row r="552" spans="1:4">
      <c r="A552" t="s">
        <v>12</v>
      </c>
      <c r="B552">
        <v>540</v>
      </c>
      <c r="C552" t="str" cm="1">
        <f t="array" ref="C552">IF(
  AND(ISNUMBER(SEARCH("加工品",SUBSTITUTE(A552,"　"," "))), ISNUMBER(SEARCH("ベビーリーフ",SUBSTITUTE(A552,"　"," ")))),
  "ベビーリーフ（加工品）",
  IFERROR(
    INDEX($I$2:$I$10, MATCH(TRUE, ISNUMBER(SEARCH($H$2:$H$10, SUBSTITUTE(A552,"　"," "))), 0)),
    TRIM(SUBSTITUTE(A552,"　"," "))
  )
)</f>
        <v>ブロッコリースプラウト</v>
      </c>
      <c r="D552">
        <f t="shared" si="9"/>
        <v>540</v>
      </c>
    </row>
    <row r="553" spans="1:4">
      <c r="A553" t="s">
        <v>9</v>
      </c>
      <c r="B553">
        <v>860</v>
      </c>
      <c r="C553" t="str" cm="1">
        <f t="array" ref="C553">IF(
  AND(ISNUMBER(SEARCH("加工品",SUBSTITUTE(A553,"　"," "))), ISNUMBER(SEARCH("ベビーリーフ",SUBSTITUTE(A553,"　"," ")))),
  "ベビーリーフ（加工品）",
  IFERROR(
    INDEX($I$2:$I$10, MATCH(TRUE, ISNUMBER(SEARCH($H$2:$H$10, SUBSTITUTE(A553,"　"," "))), 0)),
    TRIM(SUBSTITUTE(A553,"　"," "))
  )
)</f>
        <v>ロロロッサ</v>
      </c>
      <c r="D553">
        <f t="shared" si="9"/>
        <v>860</v>
      </c>
    </row>
    <row r="554" spans="1:4">
      <c r="A554" t="s">
        <v>13</v>
      </c>
      <c r="B554">
        <v>60</v>
      </c>
      <c r="C554" t="str" cm="1">
        <f t="array" ref="C554">IF(
  AND(ISNUMBER(SEARCH("加工品",SUBSTITUTE(A554,"　"," "))), ISNUMBER(SEARCH("ベビーリーフ",SUBSTITUTE(A554,"　"," ")))),
  "ベビーリーフ（加工品）",
  IFERROR(
    INDEX($I$2:$I$10, MATCH(TRUE, ISNUMBER(SEARCH($H$2:$H$10, SUBSTITUTE(A554,"　"," "))), 0)),
    TRIM(SUBSTITUTE(A554,"　"," "))
  )
)</f>
        <v>縮緬ケール</v>
      </c>
      <c r="D554">
        <f t="shared" si="9"/>
        <v>60</v>
      </c>
    </row>
    <row r="555" spans="1:4">
      <c r="A555" t="s">
        <v>2</v>
      </c>
      <c r="B555">
        <v>80</v>
      </c>
      <c r="C555" t="str" cm="1">
        <f t="array" ref="C555">IF(
  AND(ISNUMBER(SEARCH("加工品",SUBSTITUTE(A555,"　"," "))), ISNUMBER(SEARCH("ベビーリーフ",SUBSTITUTE(A555,"　"," ")))),
  "ベビーリーフ（加工品）",
  IFERROR(
    INDEX($I$2:$I$10, MATCH(TRUE, ISNUMBER(SEARCH($H$2:$H$10, SUBSTITUTE(A555,"　"," "))), 0)),
    TRIM(SUBSTITUTE(A555,"　"," "))
  )
)</f>
        <v>グリーンオーク</v>
      </c>
      <c r="D555">
        <f t="shared" si="9"/>
        <v>80</v>
      </c>
    </row>
    <row r="556" spans="1:4">
      <c r="A556" t="s">
        <v>11</v>
      </c>
      <c r="B556">
        <v>540</v>
      </c>
      <c r="C556" t="str" cm="1">
        <f t="array" ref="C556">IF(
  AND(ISNUMBER(SEARCH("加工品",SUBSTITUTE(A556,"　"," "))), ISNUMBER(SEARCH("ベビーリーフ",SUBSTITUTE(A556,"　"," ")))),
  "ベビーリーフ（加工品）",
  IFERROR(
    INDEX($I$2:$I$10, MATCH(TRUE, ISNUMBER(SEARCH($H$2:$H$10, SUBSTITUTE(A556,"　"," "))), 0)),
    TRIM(SUBSTITUTE(A556,"　"," "))
  )
)</f>
        <v>レッドオーク</v>
      </c>
      <c r="D556">
        <f t="shared" si="9"/>
        <v>540</v>
      </c>
    </row>
    <row r="557" spans="1:4">
      <c r="A557" t="s">
        <v>9</v>
      </c>
      <c r="B557">
        <v>480</v>
      </c>
      <c r="C557" t="str" cm="1">
        <f t="array" ref="C557">IF(
  AND(ISNUMBER(SEARCH("加工品",SUBSTITUTE(A557,"　"," "))), ISNUMBER(SEARCH("ベビーリーフ",SUBSTITUTE(A557,"　"," ")))),
  "ベビーリーフ（加工品）",
  IFERROR(
    INDEX($I$2:$I$10, MATCH(TRUE, ISNUMBER(SEARCH($H$2:$H$10, SUBSTITUTE(A557,"　"," "))), 0)),
    TRIM(SUBSTITUTE(A557,"　"," "))
  )
)</f>
        <v>ロロロッサ</v>
      </c>
      <c r="D557">
        <f t="shared" si="9"/>
        <v>480</v>
      </c>
    </row>
    <row r="558" spans="1:4">
      <c r="A558" t="s">
        <v>3</v>
      </c>
      <c r="B558">
        <v>660</v>
      </c>
      <c r="C558" t="str" cm="1">
        <f t="array" ref="C558">IF(
  AND(ISNUMBER(SEARCH("加工品",SUBSTITUTE(A558,"　"," "))), ISNUMBER(SEARCH("ベビーリーフ",SUBSTITUTE(A558,"　"," ")))),
  "ベビーリーフ（加工品）",
  IFERROR(
    INDEX($I$2:$I$10, MATCH(TRUE, ISNUMBER(SEARCH($H$2:$H$10, SUBSTITUTE(A558,"　"," "))), 0)),
    TRIM(SUBSTITUTE(A558,"　"," "))
  )
)</f>
        <v>ベビーリーフ（加工品）</v>
      </c>
      <c r="D558">
        <f t="shared" si="9"/>
        <v>660</v>
      </c>
    </row>
    <row r="559" spans="1:4">
      <c r="A559" t="s">
        <v>3</v>
      </c>
      <c r="B559">
        <v>180</v>
      </c>
      <c r="C559" t="str" cm="1">
        <f t="array" ref="C559">IF(
  AND(ISNUMBER(SEARCH("加工品",SUBSTITUTE(A559,"　"," "))), ISNUMBER(SEARCH("ベビーリーフ",SUBSTITUTE(A559,"　"," ")))),
  "ベビーリーフ（加工品）",
  IFERROR(
    INDEX($I$2:$I$10, MATCH(TRUE, ISNUMBER(SEARCH($H$2:$H$10, SUBSTITUTE(A559,"　"," "))), 0)),
    TRIM(SUBSTITUTE(A559,"　"," "))
  )
)</f>
        <v>ベビーリーフ（加工品）</v>
      </c>
      <c r="D559">
        <f t="shared" si="9"/>
        <v>180</v>
      </c>
    </row>
    <row r="560" spans="1:4">
      <c r="A560" t="s">
        <v>2</v>
      </c>
      <c r="B560">
        <v>220</v>
      </c>
      <c r="C560" t="str" cm="1">
        <f t="array" ref="C560">IF(
  AND(ISNUMBER(SEARCH("加工品",SUBSTITUTE(A560,"　"," "))), ISNUMBER(SEARCH("ベビーリーフ",SUBSTITUTE(A560,"　"," ")))),
  "ベビーリーフ（加工品）",
  IFERROR(
    INDEX($I$2:$I$10, MATCH(TRUE, ISNUMBER(SEARCH($H$2:$H$10, SUBSTITUTE(A560,"　"," "))), 0)),
    TRIM(SUBSTITUTE(A560,"　"," "))
  )
)</f>
        <v>グリーンオーク</v>
      </c>
      <c r="D560">
        <f t="shared" si="9"/>
        <v>220</v>
      </c>
    </row>
    <row r="561" spans="1:4">
      <c r="A561" t="s">
        <v>11</v>
      </c>
      <c r="B561">
        <v>320</v>
      </c>
      <c r="C561" t="str" cm="1">
        <f t="array" ref="C561">IF(
  AND(ISNUMBER(SEARCH("加工品",SUBSTITUTE(A561,"　"," "))), ISNUMBER(SEARCH("ベビーリーフ",SUBSTITUTE(A561,"　"," ")))),
  "ベビーリーフ（加工品）",
  IFERROR(
    INDEX($I$2:$I$10, MATCH(TRUE, ISNUMBER(SEARCH($H$2:$H$10, SUBSTITUTE(A561,"　"," "))), 0)),
    TRIM(SUBSTITUTE(A561,"　"," "))
  )
)</f>
        <v>レッドオーク</v>
      </c>
      <c r="D561">
        <f t="shared" si="9"/>
        <v>320</v>
      </c>
    </row>
    <row r="562" spans="1:4">
      <c r="A562" t="s">
        <v>9</v>
      </c>
      <c r="B562">
        <v>540</v>
      </c>
      <c r="C562" t="str" cm="1">
        <f t="array" ref="C562">IF(
  AND(ISNUMBER(SEARCH("加工品",SUBSTITUTE(A562,"　"," "))), ISNUMBER(SEARCH("ベビーリーフ",SUBSTITUTE(A562,"　"," ")))),
  "ベビーリーフ（加工品）",
  IFERROR(
    INDEX($I$2:$I$10, MATCH(TRUE, ISNUMBER(SEARCH($H$2:$H$10, SUBSTITUTE(A562,"　"," "))), 0)),
    TRIM(SUBSTITUTE(A562,"　"," "))
  )
)</f>
        <v>ロロロッサ</v>
      </c>
      <c r="D562">
        <f t="shared" si="9"/>
        <v>540</v>
      </c>
    </row>
    <row r="563" spans="1:4">
      <c r="A563" t="s">
        <v>3</v>
      </c>
      <c r="B563" s="1">
        <v>1360</v>
      </c>
      <c r="C563" t="str" cm="1">
        <f t="array" ref="C563">IF(
  AND(ISNUMBER(SEARCH("加工品",SUBSTITUTE(A563,"　"," "))), ISNUMBER(SEARCH("ベビーリーフ",SUBSTITUTE(A563,"　"," ")))),
  "ベビーリーフ（加工品）",
  IFERROR(
    INDEX($I$2:$I$10, MATCH(TRUE, ISNUMBER(SEARCH($H$2:$H$10, SUBSTITUTE(A563,"　"," "))), 0)),
    TRIM(SUBSTITUTE(A563,"　"," "))
  )
)</f>
        <v>ベビーリーフ（加工品）</v>
      </c>
      <c r="D563">
        <f t="shared" si="9"/>
        <v>1360</v>
      </c>
    </row>
    <row r="564" spans="1:4">
      <c r="A564" t="s">
        <v>3</v>
      </c>
      <c r="B564">
        <v>180</v>
      </c>
      <c r="C564" t="str" cm="1">
        <f t="array" ref="C564">IF(
  AND(ISNUMBER(SEARCH("加工品",SUBSTITUTE(A564,"　"," "))), ISNUMBER(SEARCH("ベビーリーフ",SUBSTITUTE(A564,"　"," ")))),
  "ベビーリーフ（加工品）",
  IFERROR(
    INDEX($I$2:$I$10, MATCH(TRUE, ISNUMBER(SEARCH($H$2:$H$10, SUBSTITUTE(A564,"　"," "))), 0)),
    TRIM(SUBSTITUTE(A564,"　"," "))
  )
)</f>
        <v>ベビーリーフ（加工品）</v>
      </c>
      <c r="D564">
        <f t="shared" si="9"/>
        <v>180</v>
      </c>
    </row>
    <row r="565" spans="1:4">
      <c r="A565" t="s">
        <v>2</v>
      </c>
      <c r="B565">
        <v>220</v>
      </c>
      <c r="C565" t="str" cm="1">
        <f t="array" ref="C565">IF(
  AND(ISNUMBER(SEARCH("加工品",SUBSTITUTE(A565,"　"," "))), ISNUMBER(SEARCH("ベビーリーフ",SUBSTITUTE(A565,"　"," ")))),
  "ベビーリーフ（加工品）",
  IFERROR(
    INDEX($I$2:$I$10, MATCH(TRUE, ISNUMBER(SEARCH($H$2:$H$10, SUBSTITUTE(A565,"　"," "))), 0)),
    TRIM(SUBSTITUTE(A565,"　"," "))
  )
)</f>
        <v>グリーンオーク</v>
      </c>
      <c r="D565">
        <f t="shared" si="9"/>
        <v>220</v>
      </c>
    </row>
    <row r="566" spans="1:4">
      <c r="A566" t="s">
        <v>11</v>
      </c>
      <c r="B566">
        <v>320</v>
      </c>
      <c r="C566" t="str" cm="1">
        <f t="array" ref="C566">IF(
  AND(ISNUMBER(SEARCH("加工品",SUBSTITUTE(A566,"　"," "))), ISNUMBER(SEARCH("ベビーリーフ",SUBSTITUTE(A566,"　"," ")))),
  "ベビーリーフ（加工品）",
  IFERROR(
    INDEX($I$2:$I$10, MATCH(TRUE, ISNUMBER(SEARCH($H$2:$H$10, SUBSTITUTE(A566,"　"," "))), 0)),
    TRIM(SUBSTITUTE(A566,"　"," "))
  )
)</f>
        <v>レッドオーク</v>
      </c>
      <c r="D566">
        <f t="shared" si="9"/>
        <v>320</v>
      </c>
    </row>
    <row r="567" spans="1:4">
      <c r="A567" t="s">
        <v>9</v>
      </c>
      <c r="B567">
        <v>540</v>
      </c>
      <c r="C567" t="str" cm="1">
        <f t="array" ref="C567">IF(
  AND(ISNUMBER(SEARCH("加工品",SUBSTITUTE(A567,"　"," "))), ISNUMBER(SEARCH("ベビーリーフ",SUBSTITUTE(A567,"　"," ")))),
  "ベビーリーフ（加工品）",
  IFERROR(
    INDEX($I$2:$I$10, MATCH(TRUE, ISNUMBER(SEARCH($H$2:$H$10, SUBSTITUTE(A567,"　"," "))), 0)),
    TRIM(SUBSTITUTE(A567,"　"," "))
  )
)</f>
        <v>ロロロッサ</v>
      </c>
      <c r="D567">
        <f t="shared" si="9"/>
        <v>540</v>
      </c>
    </row>
    <row r="568" spans="1:4">
      <c r="A568" t="s">
        <v>3</v>
      </c>
      <c r="B568" s="1">
        <v>1360</v>
      </c>
      <c r="C568" t="str" cm="1">
        <f t="array" ref="C568">IF(
  AND(ISNUMBER(SEARCH("加工品",SUBSTITUTE(A568,"　"," "))), ISNUMBER(SEARCH("ベビーリーフ",SUBSTITUTE(A568,"　"," ")))),
  "ベビーリーフ（加工品）",
  IFERROR(
    INDEX($I$2:$I$10, MATCH(TRUE, ISNUMBER(SEARCH($H$2:$H$10, SUBSTITUTE(A568,"　"," "))), 0)),
    TRIM(SUBSTITUTE(A568,"　"," "))
  )
)</f>
        <v>ベビーリーフ（加工品）</v>
      </c>
      <c r="D568">
        <f t="shared" si="9"/>
        <v>1360</v>
      </c>
    </row>
    <row r="569" spans="1:4">
      <c r="A569" t="s">
        <v>2</v>
      </c>
      <c r="B569">
        <v>260</v>
      </c>
      <c r="C569" t="str" cm="1">
        <f t="array" ref="C569">IF(
  AND(ISNUMBER(SEARCH("加工品",SUBSTITUTE(A569,"　"," "))), ISNUMBER(SEARCH("ベビーリーフ",SUBSTITUTE(A569,"　"," ")))),
  "ベビーリーフ（加工品）",
  IFERROR(
    INDEX($I$2:$I$10, MATCH(TRUE, ISNUMBER(SEARCH($H$2:$H$10, SUBSTITUTE(A569,"　"," "))), 0)),
    TRIM(SUBSTITUTE(A569,"　"," "))
  )
)</f>
        <v>グリーンオーク</v>
      </c>
      <c r="D569">
        <f t="shared" si="9"/>
        <v>260</v>
      </c>
    </row>
    <row r="570" spans="1:4">
      <c r="A570" t="s">
        <v>3</v>
      </c>
      <c r="B570">
        <v>140</v>
      </c>
      <c r="C570" t="str" cm="1">
        <f t="array" ref="C570">IF(
  AND(ISNUMBER(SEARCH("加工品",SUBSTITUTE(A570,"　"," "))), ISNUMBER(SEARCH("ベビーリーフ",SUBSTITUTE(A570,"　"," ")))),
  "ベビーリーフ（加工品）",
  IFERROR(
    INDEX($I$2:$I$10, MATCH(TRUE, ISNUMBER(SEARCH($H$2:$H$10, SUBSTITUTE(A570,"　"," "))), 0)),
    TRIM(SUBSTITUTE(A570,"　"," "))
  )
)</f>
        <v>ベビーリーフ（加工品）</v>
      </c>
      <c r="D570">
        <f t="shared" si="9"/>
        <v>140</v>
      </c>
    </row>
    <row r="571" spans="1:4">
      <c r="A571" t="s">
        <v>11</v>
      </c>
      <c r="B571">
        <v>520</v>
      </c>
      <c r="C571" t="str" cm="1">
        <f t="array" ref="C571">IF(
  AND(ISNUMBER(SEARCH("加工品",SUBSTITUTE(A571,"　"," "))), ISNUMBER(SEARCH("ベビーリーフ",SUBSTITUTE(A571,"　"," ")))),
  "ベビーリーフ（加工品）",
  IFERROR(
    INDEX($I$2:$I$10, MATCH(TRUE, ISNUMBER(SEARCH($H$2:$H$10, SUBSTITUTE(A571,"　"," "))), 0)),
    TRIM(SUBSTITUTE(A571,"　"," "))
  )
)</f>
        <v>レッドオーク</v>
      </c>
      <c r="D571">
        <f t="shared" si="9"/>
        <v>520</v>
      </c>
    </row>
    <row r="572" spans="1:4">
      <c r="A572" t="s">
        <v>9</v>
      </c>
      <c r="B572">
        <v>480</v>
      </c>
      <c r="C572" t="str" cm="1">
        <f t="array" ref="C572">IF(
  AND(ISNUMBER(SEARCH("加工品",SUBSTITUTE(A572,"　"," "))), ISNUMBER(SEARCH("ベビーリーフ",SUBSTITUTE(A572,"　"," ")))),
  "ベビーリーフ（加工品）",
  IFERROR(
    INDEX($I$2:$I$10, MATCH(TRUE, ISNUMBER(SEARCH($H$2:$H$10, SUBSTITUTE(A572,"　"," "))), 0)),
    TRIM(SUBSTITUTE(A572,"　"," "))
  )
)</f>
        <v>ロロロッサ</v>
      </c>
      <c r="D572">
        <f t="shared" si="9"/>
        <v>480</v>
      </c>
    </row>
    <row r="573" spans="1:4">
      <c r="A573" t="s">
        <v>2</v>
      </c>
      <c r="B573">
        <v>260</v>
      </c>
      <c r="C573" t="str" cm="1">
        <f t="array" ref="C573">IF(
  AND(ISNUMBER(SEARCH("加工品",SUBSTITUTE(A573,"　"," "))), ISNUMBER(SEARCH("ベビーリーフ",SUBSTITUTE(A573,"　"," ")))),
  "ベビーリーフ（加工品）",
  IFERROR(
    INDEX($I$2:$I$10, MATCH(TRUE, ISNUMBER(SEARCH($H$2:$H$10, SUBSTITUTE(A573,"　"," "))), 0)),
    TRIM(SUBSTITUTE(A573,"　"," "))
  )
)</f>
        <v>グリーンオーク</v>
      </c>
      <c r="D573">
        <f t="shared" si="9"/>
        <v>260</v>
      </c>
    </row>
    <row r="574" spans="1:4">
      <c r="A574" t="s">
        <v>3</v>
      </c>
      <c r="B574">
        <v>160</v>
      </c>
      <c r="C574" t="str" cm="1">
        <f t="array" ref="C574">IF(
  AND(ISNUMBER(SEARCH("加工品",SUBSTITUTE(A574,"　"," "))), ISNUMBER(SEARCH("ベビーリーフ",SUBSTITUTE(A574,"　"," ")))),
  "ベビーリーフ（加工品）",
  IFERROR(
    INDEX($I$2:$I$10, MATCH(TRUE, ISNUMBER(SEARCH($H$2:$H$10, SUBSTITUTE(A574,"　"," "))), 0)),
    TRIM(SUBSTITUTE(A574,"　"," "))
  )
)</f>
        <v>ベビーリーフ（加工品）</v>
      </c>
      <c r="D574">
        <f t="shared" si="9"/>
        <v>160</v>
      </c>
    </row>
    <row r="575" spans="1:4">
      <c r="A575" t="s">
        <v>11</v>
      </c>
      <c r="B575">
        <v>300</v>
      </c>
      <c r="C575" t="str" cm="1">
        <f t="array" ref="C575">IF(
  AND(ISNUMBER(SEARCH("加工品",SUBSTITUTE(A575,"　"," "))), ISNUMBER(SEARCH("ベビーリーフ",SUBSTITUTE(A575,"　"," ")))),
  "ベビーリーフ（加工品）",
  IFERROR(
    INDEX($I$2:$I$10, MATCH(TRUE, ISNUMBER(SEARCH($H$2:$H$10, SUBSTITUTE(A575,"　"," "))), 0)),
    TRIM(SUBSTITUTE(A575,"　"," "))
  )
)</f>
        <v>レッドオーク</v>
      </c>
      <c r="D575">
        <f t="shared" si="9"/>
        <v>300</v>
      </c>
    </row>
    <row r="576" spans="1:4">
      <c r="A576" t="s">
        <v>9</v>
      </c>
      <c r="B576">
        <v>560</v>
      </c>
      <c r="C576" t="str" cm="1">
        <f t="array" ref="C576">IF(
  AND(ISNUMBER(SEARCH("加工品",SUBSTITUTE(A576,"　"," "))), ISNUMBER(SEARCH("ベビーリーフ",SUBSTITUTE(A576,"　"," ")))),
  "ベビーリーフ（加工品）",
  IFERROR(
    INDEX($I$2:$I$10, MATCH(TRUE, ISNUMBER(SEARCH($H$2:$H$10, SUBSTITUTE(A576,"　"," "))), 0)),
    TRIM(SUBSTITUTE(A576,"　"," "))
  )
)</f>
        <v>ロロロッサ</v>
      </c>
      <c r="D576">
        <f t="shared" si="9"/>
        <v>560</v>
      </c>
    </row>
    <row r="577" spans="1:4">
      <c r="A577" t="s">
        <v>3</v>
      </c>
      <c r="B577">
        <v>380</v>
      </c>
      <c r="C577" t="str" cm="1">
        <f t="array" ref="C577">IF(
  AND(ISNUMBER(SEARCH("加工品",SUBSTITUTE(A577,"　"," "))), ISNUMBER(SEARCH("ベビーリーフ",SUBSTITUTE(A577,"　"," ")))),
  "ベビーリーフ（加工品）",
  IFERROR(
    INDEX($I$2:$I$10, MATCH(TRUE, ISNUMBER(SEARCH($H$2:$H$10, SUBSTITUTE(A577,"　"," "))), 0)),
    TRIM(SUBSTITUTE(A577,"　"," "))
  )
)</f>
        <v>ベビーリーフ（加工品）</v>
      </c>
      <c r="D577">
        <f t="shared" si="9"/>
        <v>380</v>
      </c>
    </row>
    <row r="578" spans="1:4">
      <c r="A578" t="s">
        <v>11</v>
      </c>
      <c r="B578">
        <v>860</v>
      </c>
      <c r="C578" t="str" cm="1">
        <f t="array" ref="C578">IF(
  AND(ISNUMBER(SEARCH("加工品",SUBSTITUTE(A578,"　"," "))), ISNUMBER(SEARCH("ベビーリーフ",SUBSTITUTE(A578,"　"," ")))),
  "ベビーリーフ（加工品）",
  IFERROR(
    INDEX($I$2:$I$10, MATCH(TRUE, ISNUMBER(SEARCH($H$2:$H$10, SUBSTITUTE(A578,"　"," "))), 0)),
    TRIM(SUBSTITUTE(A578,"　"," "))
  )
)</f>
        <v>レッドオーク</v>
      </c>
      <c r="D578">
        <f t="shared" si="9"/>
        <v>860</v>
      </c>
    </row>
    <row r="579" spans="1:4">
      <c r="A579" t="s">
        <v>9</v>
      </c>
      <c r="B579" s="1">
        <v>1160</v>
      </c>
      <c r="C579" t="str" cm="1">
        <f t="array" ref="C579">IF(
  AND(ISNUMBER(SEARCH("加工品",SUBSTITUTE(A579,"　"," "))), ISNUMBER(SEARCH("ベビーリーフ",SUBSTITUTE(A579,"　"," ")))),
  "ベビーリーフ（加工品）",
  IFERROR(
    INDEX($I$2:$I$10, MATCH(TRUE, ISNUMBER(SEARCH($H$2:$H$10, SUBSTITUTE(A579,"　"," "))), 0)),
    TRIM(SUBSTITUTE(A579,"　"," "))
  )
)</f>
        <v>ロロロッサ</v>
      </c>
      <c r="D579">
        <f t="shared" ref="D579:D642" si="10">--SUBSTITUTE(B579,",","")</f>
        <v>1160</v>
      </c>
    </row>
    <row r="580" spans="1:4">
      <c r="A580" t="s">
        <v>2</v>
      </c>
      <c r="B580">
        <v>200</v>
      </c>
      <c r="C580" t="str" cm="1">
        <f t="array" ref="C580">IF(
  AND(ISNUMBER(SEARCH("加工品",SUBSTITUTE(A580,"　"," "))), ISNUMBER(SEARCH("ベビーリーフ",SUBSTITUTE(A580,"　"," ")))),
  "ベビーリーフ（加工品）",
  IFERROR(
    INDEX($I$2:$I$10, MATCH(TRUE, ISNUMBER(SEARCH($H$2:$H$10, SUBSTITUTE(A580,"　"," "))), 0)),
    TRIM(SUBSTITUTE(A580,"　"," "))
  )
)</f>
        <v>グリーンオーク</v>
      </c>
      <c r="D580">
        <f t="shared" si="10"/>
        <v>200</v>
      </c>
    </row>
    <row r="581" spans="1:4">
      <c r="A581" t="s">
        <v>9</v>
      </c>
      <c r="B581">
        <v>400</v>
      </c>
      <c r="C581" t="str" cm="1">
        <f t="array" ref="C581">IF(
  AND(ISNUMBER(SEARCH("加工品",SUBSTITUTE(A581,"　"," "))), ISNUMBER(SEARCH("ベビーリーフ",SUBSTITUTE(A581,"　"," ")))),
  "ベビーリーフ（加工品）",
  IFERROR(
    INDEX($I$2:$I$10, MATCH(TRUE, ISNUMBER(SEARCH($H$2:$H$10, SUBSTITUTE(A581,"　"," "))), 0)),
    TRIM(SUBSTITUTE(A581,"　"," "))
  )
)</f>
        <v>ロロロッサ</v>
      </c>
      <c r="D581">
        <f t="shared" si="10"/>
        <v>400</v>
      </c>
    </row>
    <row r="582" spans="1:4">
      <c r="A582" t="s">
        <v>11</v>
      </c>
      <c r="B582">
        <v>360</v>
      </c>
      <c r="C582" t="str" cm="1">
        <f t="array" ref="C582">IF(
  AND(ISNUMBER(SEARCH("加工品",SUBSTITUTE(A582,"　"," "))), ISNUMBER(SEARCH("ベビーリーフ",SUBSTITUTE(A582,"　"," ")))),
  "ベビーリーフ（加工品）",
  IFERROR(
    INDEX($I$2:$I$10, MATCH(TRUE, ISNUMBER(SEARCH($H$2:$H$10, SUBSTITUTE(A582,"　"," "))), 0)),
    TRIM(SUBSTITUTE(A582,"　"," "))
  )
)</f>
        <v>レッドオーク</v>
      </c>
      <c r="D582">
        <f t="shared" si="10"/>
        <v>360</v>
      </c>
    </row>
    <row r="583" spans="1:4">
      <c r="A583" t="s">
        <v>2</v>
      </c>
      <c r="B583">
        <v>200</v>
      </c>
      <c r="C583" t="str" cm="1">
        <f t="array" ref="C583">IF(
  AND(ISNUMBER(SEARCH("加工品",SUBSTITUTE(A583,"　"," "))), ISNUMBER(SEARCH("ベビーリーフ",SUBSTITUTE(A583,"　"," ")))),
  "ベビーリーフ（加工品）",
  IFERROR(
    INDEX($I$2:$I$10, MATCH(TRUE, ISNUMBER(SEARCH($H$2:$H$10, SUBSTITUTE(A583,"　"," "))), 0)),
    TRIM(SUBSTITUTE(A583,"　"," "))
  )
)</f>
        <v>グリーンオーク</v>
      </c>
      <c r="D583">
        <f t="shared" si="10"/>
        <v>200</v>
      </c>
    </row>
    <row r="584" spans="1:4">
      <c r="A584" t="s">
        <v>11</v>
      </c>
      <c r="B584">
        <v>100</v>
      </c>
      <c r="C584" t="str" cm="1">
        <f t="array" ref="C584">IF(
  AND(ISNUMBER(SEARCH("加工品",SUBSTITUTE(A584,"　"," "))), ISNUMBER(SEARCH("ベビーリーフ",SUBSTITUTE(A584,"　"," ")))),
  "ベビーリーフ（加工品）",
  IFERROR(
    INDEX($I$2:$I$10, MATCH(TRUE, ISNUMBER(SEARCH($H$2:$H$10, SUBSTITUTE(A584,"　"," "))), 0)),
    TRIM(SUBSTITUTE(A584,"　"," "))
  )
)</f>
        <v>レッドオーク</v>
      </c>
      <c r="D584">
        <f t="shared" si="10"/>
        <v>100</v>
      </c>
    </row>
    <row r="585" spans="1:4">
      <c r="A585" t="s">
        <v>9</v>
      </c>
      <c r="B585">
        <v>340</v>
      </c>
      <c r="C585" t="str" cm="1">
        <f t="array" ref="C585">IF(
  AND(ISNUMBER(SEARCH("加工品",SUBSTITUTE(A585,"　"," "))), ISNUMBER(SEARCH("ベビーリーフ",SUBSTITUTE(A585,"　"," ")))),
  "ベビーリーフ（加工品）",
  IFERROR(
    INDEX($I$2:$I$10, MATCH(TRUE, ISNUMBER(SEARCH($H$2:$H$10, SUBSTITUTE(A585,"　"," "))), 0)),
    TRIM(SUBSTITUTE(A585,"　"," "))
  )
)</f>
        <v>ロロロッサ</v>
      </c>
      <c r="D585">
        <f t="shared" si="10"/>
        <v>340</v>
      </c>
    </row>
    <row r="586" spans="1:4">
      <c r="A586" t="s">
        <v>2</v>
      </c>
      <c r="B586">
        <v>140</v>
      </c>
      <c r="C586" t="str" cm="1">
        <f t="array" ref="C586">IF(
  AND(ISNUMBER(SEARCH("加工品",SUBSTITUTE(A586,"　"," "))), ISNUMBER(SEARCH("ベビーリーフ",SUBSTITUTE(A586,"　"," ")))),
  "ベビーリーフ（加工品）",
  IFERROR(
    INDEX($I$2:$I$10, MATCH(TRUE, ISNUMBER(SEARCH($H$2:$H$10, SUBSTITUTE(A586,"　"," "))), 0)),
    TRIM(SUBSTITUTE(A586,"　"," "))
  )
)</f>
        <v>グリーンオーク</v>
      </c>
      <c r="D586">
        <f t="shared" si="10"/>
        <v>140</v>
      </c>
    </row>
    <row r="587" spans="1:4">
      <c r="A587" t="s">
        <v>9</v>
      </c>
      <c r="B587">
        <v>220</v>
      </c>
      <c r="C587" t="str" cm="1">
        <f t="array" ref="C587">IF(
  AND(ISNUMBER(SEARCH("加工品",SUBSTITUTE(A587,"　"," "))), ISNUMBER(SEARCH("ベビーリーフ",SUBSTITUTE(A587,"　"," ")))),
  "ベビーリーフ（加工品）",
  IFERROR(
    INDEX($I$2:$I$10, MATCH(TRUE, ISNUMBER(SEARCH($H$2:$H$10, SUBSTITUTE(A587,"　"," "))), 0)),
    TRIM(SUBSTITUTE(A587,"　"," "))
  )
)</f>
        <v>ロロロッサ</v>
      </c>
      <c r="D587">
        <f t="shared" si="10"/>
        <v>220</v>
      </c>
    </row>
    <row r="588" spans="1:4">
      <c r="A588" t="s">
        <v>11</v>
      </c>
      <c r="B588">
        <v>180</v>
      </c>
      <c r="C588" t="str" cm="1">
        <f t="array" ref="C588">IF(
  AND(ISNUMBER(SEARCH("加工品",SUBSTITUTE(A588,"　"," "))), ISNUMBER(SEARCH("ベビーリーフ",SUBSTITUTE(A588,"　"," ")))),
  "ベビーリーフ（加工品）",
  IFERROR(
    INDEX($I$2:$I$10, MATCH(TRUE, ISNUMBER(SEARCH($H$2:$H$10, SUBSTITUTE(A588,"　"," "))), 0)),
    TRIM(SUBSTITUTE(A588,"　"," "))
  )
)</f>
        <v>レッドオーク</v>
      </c>
      <c r="D588">
        <f t="shared" si="10"/>
        <v>180</v>
      </c>
    </row>
    <row r="589" spans="1:4">
      <c r="A589" t="s">
        <v>9</v>
      </c>
      <c r="B589">
        <v>220</v>
      </c>
      <c r="C589" t="str" cm="1">
        <f t="array" ref="C589">IF(
  AND(ISNUMBER(SEARCH("加工品",SUBSTITUTE(A589,"　"," "))), ISNUMBER(SEARCH("ベビーリーフ",SUBSTITUTE(A589,"　"," ")))),
  "ベビーリーフ（加工品）",
  IFERROR(
    INDEX($I$2:$I$10, MATCH(TRUE, ISNUMBER(SEARCH($H$2:$H$10, SUBSTITUTE(A589,"　"," "))), 0)),
    TRIM(SUBSTITUTE(A589,"　"," "))
  )
)</f>
        <v>ロロロッサ</v>
      </c>
      <c r="D589">
        <f t="shared" si="10"/>
        <v>220</v>
      </c>
    </row>
    <row r="590" spans="1:4">
      <c r="A590" t="s">
        <v>11</v>
      </c>
      <c r="B590">
        <v>240</v>
      </c>
      <c r="C590" t="str" cm="1">
        <f t="array" ref="C590">IF(
  AND(ISNUMBER(SEARCH("加工品",SUBSTITUTE(A590,"　"," "))), ISNUMBER(SEARCH("ベビーリーフ",SUBSTITUTE(A590,"　"," ")))),
  "ベビーリーフ（加工品）",
  IFERROR(
    INDEX($I$2:$I$10, MATCH(TRUE, ISNUMBER(SEARCH($H$2:$H$10, SUBSTITUTE(A590,"　"," "))), 0)),
    TRIM(SUBSTITUTE(A590,"　"," "))
  )
)</f>
        <v>レッドオーク</v>
      </c>
      <c r="D590">
        <f t="shared" si="10"/>
        <v>240</v>
      </c>
    </row>
    <row r="591" spans="1:4">
      <c r="A591" t="s">
        <v>9</v>
      </c>
      <c r="B591">
        <v>340</v>
      </c>
      <c r="C591" t="str" cm="1">
        <f t="array" ref="C591">IF(
  AND(ISNUMBER(SEARCH("加工品",SUBSTITUTE(A591,"　"," "))), ISNUMBER(SEARCH("ベビーリーフ",SUBSTITUTE(A591,"　"," ")))),
  "ベビーリーフ（加工品）",
  IFERROR(
    INDEX($I$2:$I$10, MATCH(TRUE, ISNUMBER(SEARCH($H$2:$H$10, SUBSTITUTE(A591,"　"," "))), 0)),
    TRIM(SUBSTITUTE(A591,"　"," "))
  )
)</f>
        <v>ロロロッサ</v>
      </c>
      <c r="D591">
        <f t="shared" si="10"/>
        <v>340</v>
      </c>
    </row>
    <row r="592" spans="1:4">
      <c r="A592" t="s">
        <v>11</v>
      </c>
      <c r="B592">
        <v>600</v>
      </c>
      <c r="C592" t="str" cm="1">
        <f t="array" ref="C592">IF(
  AND(ISNUMBER(SEARCH("加工品",SUBSTITUTE(A592,"　"," "))), ISNUMBER(SEARCH("ベビーリーフ",SUBSTITUTE(A592,"　"," ")))),
  "ベビーリーフ（加工品）",
  IFERROR(
    INDEX($I$2:$I$10, MATCH(TRUE, ISNUMBER(SEARCH($H$2:$H$10, SUBSTITUTE(A592,"　"," "))), 0)),
    TRIM(SUBSTITUTE(A592,"　"," "))
  )
)</f>
        <v>レッドオーク</v>
      </c>
      <c r="D592">
        <f t="shared" si="10"/>
        <v>600</v>
      </c>
    </row>
    <row r="593" spans="1:4">
      <c r="A593" t="s">
        <v>8</v>
      </c>
      <c r="B593">
        <v>540</v>
      </c>
      <c r="C593" t="str" cm="1">
        <f t="array" ref="C593">IF(
  AND(ISNUMBER(SEARCH("加工品",SUBSTITUTE(A593,"　"," "))), ISNUMBER(SEARCH("ベビーリーフ",SUBSTITUTE(A593,"　"," ")))),
  "ベビーリーフ（加工品）",
  IFERROR(
    INDEX($I$2:$I$10, MATCH(TRUE, ISNUMBER(SEARCH($H$2:$H$10, SUBSTITUTE(A593,"　"," "))), 0)),
    TRIM(SUBSTITUTE(A593,"　"," "))
  )
)</f>
        <v>イチゴ</v>
      </c>
      <c r="D593">
        <f t="shared" si="10"/>
        <v>540</v>
      </c>
    </row>
    <row r="594" spans="1:4">
      <c r="A594" t="s">
        <v>9</v>
      </c>
      <c r="B594">
        <v>400</v>
      </c>
      <c r="C594" t="str" cm="1">
        <f t="array" ref="C594">IF(
  AND(ISNUMBER(SEARCH("加工品",SUBSTITUTE(A594,"　"," "))), ISNUMBER(SEARCH("ベビーリーフ",SUBSTITUTE(A594,"　"," ")))),
  "ベビーリーフ（加工品）",
  IFERROR(
    INDEX($I$2:$I$10, MATCH(TRUE, ISNUMBER(SEARCH($H$2:$H$10, SUBSTITUTE(A594,"　"," "))), 0)),
    TRIM(SUBSTITUTE(A594,"　"," "))
  )
)</f>
        <v>ロロロッサ</v>
      </c>
      <c r="D594">
        <f t="shared" si="10"/>
        <v>400</v>
      </c>
    </row>
    <row r="595" spans="1:4">
      <c r="A595" t="s">
        <v>11</v>
      </c>
      <c r="B595">
        <v>260</v>
      </c>
      <c r="C595" t="str" cm="1">
        <f t="array" ref="C595">IF(
  AND(ISNUMBER(SEARCH("加工品",SUBSTITUTE(A595,"　"," "))), ISNUMBER(SEARCH("ベビーリーフ",SUBSTITUTE(A595,"　"," ")))),
  "ベビーリーフ（加工品）",
  IFERROR(
    INDEX($I$2:$I$10, MATCH(TRUE, ISNUMBER(SEARCH($H$2:$H$10, SUBSTITUTE(A595,"　"," "))), 0)),
    TRIM(SUBSTITUTE(A595,"　"," "))
  )
)</f>
        <v>レッドオーク</v>
      </c>
      <c r="D595">
        <f t="shared" si="10"/>
        <v>260</v>
      </c>
    </row>
    <row r="596" spans="1:4">
      <c r="A596" t="s">
        <v>12</v>
      </c>
      <c r="B596">
        <v>330</v>
      </c>
      <c r="C596" t="str" cm="1">
        <f t="array" ref="C596">IF(
  AND(ISNUMBER(SEARCH("加工品",SUBSTITUTE(A596,"　"," "))), ISNUMBER(SEARCH("ベビーリーフ",SUBSTITUTE(A596,"　"," ")))),
  "ベビーリーフ（加工品）",
  IFERROR(
    INDEX($I$2:$I$10, MATCH(TRUE, ISNUMBER(SEARCH($H$2:$H$10, SUBSTITUTE(A596,"　"," "))), 0)),
    TRIM(SUBSTITUTE(A596,"　"," "))
  )
)</f>
        <v>ブロッコリースプラウト</v>
      </c>
      <c r="D596">
        <f t="shared" si="10"/>
        <v>330</v>
      </c>
    </row>
    <row r="597" spans="1:4">
      <c r="A597" t="s">
        <v>2</v>
      </c>
      <c r="B597">
        <v>100</v>
      </c>
      <c r="C597" t="str" cm="1">
        <f t="array" ref="C597">IF(
  AND(ISNUMBER(SEARCH("加工品",SUBSTITUTE(A597,"　"," "))), ISNUMBER(SEARCH("ベビーリーフ",SUBSTITUTE(A597,"　"," ")))),
  "ベビーリーフ（加工品）",
  IFERROR(
    INDEX($I$2:$I$10, MATCH(TRUE, ISNUMBER(SEARCH($H$2:$H$10, SUBSTITUTE(A597,"　"," "))), 0)),
    TRIM(SUBSTITUTE(A597,"　"," "))
  )
)</f>
        <v>グリーンオーク</v>
      </c>
      <c r="D597">
        <f t="shared" si="10"/>
        <v>100</v>
      </c>
    </row>
    <row r="598" spans="1:4">
      <c r="A598" t="s">
        <v>11</v>
      </c>
      <c r="B598">
        <v>120</v>
      </c>
      <c r="C598" t="str" cm="1">
        <f t="array" ref="C598">IF(
  AND(ISNUMBER(SEARCH("加工品",SUBSTITUTE(A598,"　"," "))), ISNUMBER(SEARCH("ベビーリーフ",SUBSTITUTE(A598,"　"," ")))),
  "ベビーリーフ（加工品）",
  IFERROR(
    INDEX($I$2:$I$10, MATCH(TRUE, ISNUMBER(SEARCH($H$2:$H$10, SUBSTITUTE(A598,"　"," "))), 0)),
    TRIM(SUBSTITUTE(A598,"　"," "))
  )
)</f>
        <v>レッドオーク</v>
      </c>
      <c r="D598">
        <f t="shared" si="10"/>
        <v>120</v>
      </c>
    </row>
    <row r="599" spans="1:4">
      <c r="A599" t="s">
        <v>9</v>
      </c>
      <c r="B599">
        <v>520</v>
      </c>
      <c r="C599" t="str" cm="1">
        <f t="array" ref="C599">IF(
  AND(ISNUMBER(SEARCH("加工品",SUBSTITUTE(A599,"　"," "))), ISNUMBER(SEARCH("ベビーリーフ",SUBSTITUTE(A599,"　"," ")))),
  "ベビーリーフ（加工品）",
  IFERROR(
    INDEX($I$2:$I$10, MATCH(TRUE, ISNUMBER(SEARCH($H$2:$H$10, SUBSTITUTE(A599,"　"," "))), 0)),
    TRIM(SUBSTITUTE(A599,"　"," "))
  )
)</f>
        <v>ロロロッサ</v>
      </c>
      <c r="D599">
        <f t="shared" si="10"/>
        <v>520</v>
      </c>
    </row>
    <row r="600" spans="1:4">
      <c r="A600" t="s">
        <v>11</v>
      </c>
      <c r="B600">
        <v>120</v>
      </c>
      <c r="C600" t="str" cm="1">
        <f t="array" ref="C600">IF(
  AND(ISNUMBER(SEARCH("加工品",SUBSTITUTE(A600,"　"," "))), ISNUMBER(SEARCH("ベビーリーフ",SUBSTITUTE(A600,"　"," ")))),
  "ベビーリーフ（加工品）",
  IFERROR(
    INDEX($I$2:$I$10, MATCH(TRUE, ISNUMBER(SEARCH($H$2:$H$10, SUBSTITUTE(A600,"　"," "))), 0)),
    TRIM(SUBSTITUTE(A600,"　"," "))
  )
)</f>
        <v>レッドオーク</v>
      </c>
      <c r="D600">
        <f t="shared" si="10"/>
        <v>120</v>
      </c>
    </row>
    <row r="601" spans="1:4">
      <c r="A601" t="s">
        <v>2</v>
      </c>
      <c r="B601">
        <v>260</v>
      </c>
      <c r="C601" t="str" cm="1">
        <f t="array" ref="C601">IF(
  AND(ISNUMBER(SEARCH("加工品",SUBSTITUTE(A601,"　"," "))), ISNUMBER(SEARCH("ベビーリーフ",SUBSTITUTE(A601,"　"," ")))),
  "ベビーリーフ（加工品）",
  IFERROR(
    INDEX($I$2:$I$10, MATCH(TRUE, ISNUMBER(SEARCH($H$2:$H$10, SUBSTITUTE(A601,"　"," "))), 0)),
    TRIM(SUBSTITUTE(A601,"　"," "))
  )
)</f>
        <v>グリーンオーク</v>
      </c>
      <c r="D601">
        <f t="shared" si="10"/>
        <v>260</v>
      </c>
    </row>
    <row r="602" spans="1:4">
      <c r="A602" t="s">
        <v>11</v>
      </c>
      <c r="B602">
        <v>140</v>
      </c>
      <c r="C602" t="str" cm="1">
        <f t="array" ref="C602">IF(
  AND(ISNUMBER(SEARCH("加工品",SUBSTITUTE(A602,"　"," "))), ISNUMBER(SEARCH("ベビーリーフ",SUBSTITUTE(A602,"　"," ")))),
  "ベビーリーフ（加工品）",
  IFERROR(
    INDEX($I$2:$I$10, MATCH(TRUE, ISNUMBER(SEARCH($H$2:$H$10, SUBSTITUTE(A602,"　"," "))), 0)),
    TRIM(SUBSTITUTE(A602,"　"," "))
  )
)</f>
        <v>レッドオーク</v>
      </c>
      <c r="D602">
        <f t="shared" si="10"/>
        <v>140</v>
      </c>
    </row>
    <row r="603" spans="1:4">
      <c r="A603" t="s">
        <v>9</v>
      </c>
      <c r="B603">
        <v>680</v>
      </c>
      <c r="C603" t="str" cm="1">
        <f t="array" ref="C603">IF(
  AND(ISNUMBER(SEARCH("加工品",SUBSTITUTE(A603,"　"," "))), ISNUMBER(SEARCH("ベビーリーフ",SUBSTITUTE(A603,"　"," ")))),
  "ベビーリーフ（加工品）",
  IFERROR(
    INDEX($I$2:$I$10, MATCH(TRUE, ISNUMBER(SEARCH($H$2:$H$10, SUBSTITUTE(A603,"　"," "))), 0)),
    TRIM(SUBSTITUTE(A603,"　"," "))
  )
)</f>
        <v>ロロロッサ</v>
      </c>
      <c r="D603">
        <f t="shared" si="10"/>
        <v>680</v>
      </c>
    </row>
    <row r="604" spans="1:4">
      <c r="A604" t="s">
        <v>2</v>
      </c>
      <c r="B604">
        <v>140</v>
      </c>
      <c r="C604" t="str" cm="1">
        <f t="array" ref="C604">IF(
  AND(ISNUMBER(SEARCH("加工品",SUBSTITUTE(A604,"　"," "))), ISNUMBER(SEARCH("ベビーリーフ",SUBSTITUTE(A604,"　"," ")))),
  "ベビーリーフ（加工品）",
  IFERROR(
    INDEX($I$2:$I$10, MATCH(TRUE, ISNUMBER(SEARCH($H$2:$H$10, SUBSTITUTE(A604,"　"," "))), 0)),
    TRIM(SUBSTITUTE(A604,"　"," "))
  )
)</f>
        <v>グリーンオーク</v>
      </c>
      <c r="D604">
        <f t="shared" si="10"/>
        <v>140</v>
      </c>
    </row>
    <row r="605" spans="1:4">
      <c r="A605" t="s">
        <v>9</v>
      </c>
      <c r="B605">
        <v>160</v>
      </c>
      <c r="C605" t="str" cm="1">
        <f t="array" ref="C605">IF(
  AND(ISNUMBER(SEARCH("加工品",SUBSTITUTE(A605,"　"," "))), ISNUMBER(SEARCH("ベビーリーフ",SUBSTITUTE(A605,"　"," ")))),
  "ベビーリーフ（加工品）",
  IFERROR(
    INDEX($I$2:$I$10, MATCH(TRUE, ISNUMBER(SEARCH($H$2:$H$10, SUBSTITUTE(A605,"　"," "))), 0)),
    TRIM(SUBSTITUTE(A605,"　"," "))
  )
)</f>
        <v>ロロロッサ</v>
      </c>
      <c r="D605">
        <f t="shared" si="10"/>
        <v>160</v>
      </c>
    </row>
    <row r="606" spans="1:4">
      <c r="A606" t="s">
        <v>11</v>
      </c>
      <c r="B606">
        <v>240</v>
      </c>
      <c r="C606" t="str" cm="1">
        <f t="array" ref="C606">IF(
  AND(ISNUMBER(SEARCH("加工品",SUBSTITUTE(A606,"　"," "))), ISNUMBER(SEARCH("ベビーリーフ",SUBSTITUTE(A606,"　"," ")))),
  "ベビーリーフ（加工品）",
  IFERROR(
    INDEX($I$2:$I$10, MATCH(TRUE, ISNUMBER(SEARCH($H$2:$H$10, SUBSTITUTE(A606,"　"," "))), 0)),
    TRIM(SUBSTITUTE(A606,"　"," "))
  )
)</f>
        <v>レッドオーク</v>
      </c>
      <c r="D606">
        <f t="shared" si="10"/>
        <v>240</v>
      </c>
    </row>
    <row r="607" spans="1:4">
      <c r="A607" t="s">
        <v>9</v>
      </c>
      <c r="B607">
        <v>100</v>
      </c>
      <c r="C607" t="str" cm="1">
        <f t="array" ref="C607">IF(
  AND(ISNUMBER(SEARCH("加工品",SUBSTITUTE(A607,"　"," "))), ISNUMBER(SEARCH("ベビーリーフ",SUBSTITUTE(A607,"　"," ")))),
  "ベビーリーフ（加工品）",
  IFERROR(
    INDEX($I$2:$I$10, MATCH(TRUE, ISNUMBER(SEARCH($H$2:$H$10, SUBSTITUTE(A607,"　"," "))), 0)),
    TRIM(SUBSTITUTE(A607,"　"," "))
  )
)</f>
        <v>ロロロッサ</v>
      </c>
      <c r="D607">
        <f t="shared" si="10"/>
        <v>100</v>
      </c>
    </row>
    <row r="608" spans="1:4">
      <c r="A608" t="s">
        <v>2</v>
      </c>
      <c r="B608">
        <v>180</v>
      </c>
      <c r="C608" t="str" cm="1">
        <f t="array" ref="C608">IF(
  AND(ISNUMBER(SEARCH("加工品",SUBSTITUTE(A608,"　"," "))), ISNUMBER(SEARCH("ベビーリーフ",SUBSTITUTE(A608,"　"," ")))),
  "ベビーリーフ（加工品）",
  IFERROR(
    INDEX($I$2:$I$10, MATCH(TRUE, ISNUMBER(SEARCH($H$2:$H$10, SUBSTITUTE(A608,"　"," "))), 0)),
    TRIM(SUBSTITUTE(A608,"　"," "))
  )
)</f>
        <v>グリーンオーク</v>
      </c>
      <c r="D608">
        <f t="shared" si="10"/>
        <v>180</v>
      </c>
    </row>
    <row r="609" spans="1:4">
      <c r="A609" t="s">
        <v>11</v>
      </c>
      <c r="B609">
        <v>320</v>
      </c>
      <c r="C609" t="str" cm="1">
        <f t="array" ref="C609">IF(
  AND(ISNUMBER(SEARCH("加工品",SUBSTITUTE(A609,"　"," "))), ISNUMBER(SEARCH("ベビーリーフ",SUBSTITUTE(A609,"　"," ")))),
  "ベビーリーフ（加工品）",
  IFERROR(
    INDEX($I$2:$I$10, MATCH(TRUE, ISNUMBER(SEARCH($H$2:$H$10, SUBSTITUTE(A609,"　"," "))), 0)),
    TRIM(SUBSTITUTE(A609,"　"," "))
  )
)</f>
        <v>レッドオーク</v>
      </c>
      <c r="D609">
        <f t="shared" si="10"/>
        <v>320</v>
      </c>
    </row>
    <row r="610" spans="1:4">
      <c r="A610" t="s">
        <v>9</v>
      </c>
      <c r="B610">
        <v>560</v>
      </c>
      <c r="C610" t="str" cm="1">
        <f t="array" ref="C610">IF(
  AND(ISNUMBER(SEARCH("加工品",SUBSTITUTE(A610,"　"," "))), ISNUMBER(SEARCH("ベビーリーフ",SUBSTITUTE(A610,"　"," ")))),
  "ベビーリーフ（加工品）",
  IFERROR(
    INDEX($I$2:$I$10, MATCH(TRUE, ISNUMBER(SEARCH($H$2:$H$10, SUBSTITUTE(A610,"　"," "))), 0)),
    TRIM(SUBSTITUTE(A610,"　"," "))
  )
)</f>
        <v>ロロロッサ</v>
      </c>
      <c r="D610">
        <f t="shared" si="10"/>
        <v>560</v>
      </c>
    </row>
    <row r="611" spans="1:4">
      <c r="A611" t="s">
        <v>2</v>
      </c>
      <c r="B611">
        <v>180</v>
      </c>
      <c r="C611" t="str" cm="1">
        <f t="array" ref="C611">IF(
  AND(ISNUMBER(SEARCH("加工品",SUBSTITUTE(A611,"　"," "))), ISNUMBER(SEARCH("ベビーリーフ",SUBSTITUTE(A611,"　"," ")))),
  "ベビーリーフ（加工品）",
  IFERROR(
    INDEX($I$2:$I$10, MATCH(TRUE, ISNUMBER(SEARCH($H$2:$H$10, SUBSTITUTE(A611,"　"," "))), 0)),
    TRIM(SUBSTITUTE(A611,"　"," "))
  )
)</f>
        <v>グリーンオーク</v>
      </c>
      <c r="D611">
        <f t="shared" si="10"/>
        <v>180</v>
      </c>
    </row>
    <row r="612" spans="1:4">
      <c r="A612" t="s">
        <v>11</v>
      </c>
      <c r="B612">
        <v>320</v>
      </c>
      <c r="C612" t="str" cm="1">
        <f t="array" ref="C612">IF(
  AND(ISNUMBER(SEARCH("加工品",SUBSTITUTE(A612,"　"," "))), ISNUMBER(SEARCH("ベビーリーフ",SUBSTITUTE(A612,"　"," ")))),
  "ベビーリーフ（加工品）",
  IFERROR(
    INDEX($I$2:$I$10, MATCH(TRUE, ISNUMBER(SEARCH($H$2:$H$10, SUBSTITUTE(A612,"　"," "))), 0)),
    TRIM(SUBSTITUTE(A612,"　"," "))
  )
)</f>
        <v>レッドオーク</v>
      </c>
      <c r="D612">
        <f t="shared" si="10"/>
        <v>320</v>
      </c>
    </row>
    <row r="613" spans="1:4">
      <c r="A613" t="s">
        <v>9</v>
      </c>
      <c r="B613">
        <v>560</v>
      </c>
      <c r="C613" t="str" cm="1">
        <f t="array" ref="C613">IF(
  AND(ISNUMBER(SEARCH("加工品",SUBSTITUTE(A613,"　"," "))), ISNUMBER(SEARCH("ベビーリーフ",SUBSTITUTE(A613,"　"," ")))),
  "ベビーリーフ（加工品）",
  IFERROR(
    INDEX($I$2:$I$10, MATCH(TRUE, ISNUMBER(SEARCH($H$2:$H$10, SUBSTITUTE(A613,"　"," "))), 0)),
    TRIM(SUBSTITUTE(A613,"　"," "))
  )
)</f>
        <v>ロロロッサ</v>
      </c>
      <c r="D613">
        <f t="shared" si="10"/>
        <v>560</v>
      </c>
    </row>
    <row r="614" spans="1:4">
      <c r="A614" t="s">
        <v>2</v>
      </c>
      <c r="B614">
        <v>240</v>
      </c>
      <c r="C614" t="str" cm="1">
        <f t="array" ref="C614">IF(
  AND(ISNUMBER(SEARCH("加工品",SUBSTITUTE(A614,"　"," "))), ISNUMBER(SEARCH("ベビーリーフ",SUBSTITUTE(A614,"　"," ")))),
  "ベビーリーフ（加工品）",
  IFERROR(
    INDEX($I$2:$I$10, MATCH(TRUE, ISNUMBER(SEARCH($H$2:$H$10, SUBSTITUTE(A614,"　"," "))), 0)),
    TRIM(SUBSTITUTE(A614,"　"," "))
  )
)</f>
        <v>グリーンオーク</v>
      </c>
      <c r="D614">
        <f t="shared" si="10"/>
        <v>240</v>
      </c>
    </row>
    <row r="615" spans="1:4">
      <c r="A615" t="s">
        <v>11</v>
      </c>
      <c r="B615">
        <v>280</v>
      </c>
      <c r="C615" t="str" cm="1">
        <f t="array" ref="C615">IF(
  AND(ISNUMBER(SEARCH("加工品",SUBSTITUTE(A615,"　"," "))), ISNUMBER(SEARCH("ベビーリーフ",SUBSTITUTE(A615,"　"," ")))),
  "ベビーリーフ（加工品）",
  IFERROR(
    INDEX($I$2:$I$10, MATCH(TRUE, ISNUMBER(SEARCH($H$2:$H$10, SUBSTITUTE(A615,"　"," "))), 0)),
    TRIM(SUBSTITUTE(A615,"　"," "))
  )
)</f>
        <v>レッドオーク</v>
      </c>
      <c r="D615">
        <f t="shared" si="10"/>
        <v>280</v>
      </c>
    </row>
    <row r="616" spans="1:4">
      <c r="A616" t="s">
        <v>2</v>
      </c>
      <c r="B616">
        <v>240</v>
      </c>
      <c r="C616" t="str" cm="1">
        <f t="array" ref="C616">IF(
  AND(ISNUMBER(SEARCH("加工品",SUBSTITUTE(A616,"　"," "))), ISNUMBER(SEARCH("ベビーリーフ",SUBSTITUTE(A616,"　"," ")))),
  "ベビーリーフ（加工品）",
  IFERROR(
    INDEX($I$2:$I$10, MATCH(TRUE, ISNUMBER(SEARCH($H$2:$H$10, SUBSTITUTE(A616,"　"," "))), 0)),
    TRIM(SUBSTITUTE(A616,"　"," "))
  )
)</f>
        <v>グリーンオーク</v>
      </c>
      <c r="D616">
        <f t="shared" si="10"/>
        <v>240</v>
      </c>
    </row>
    <row r="617" spans="1:4">
      <c r="A617" t="s">
        <v>11</v>
      </c>
      <c r="B617">
        <v>280</v>
      </c>
      <c r="C617" t="str" cm="1">
        <f t="array" ref="C617">IF(
  AND(ISNUMBER(SEARCH("加工品",SUBSTITUTE(A617,"　"," "))), ISNUMBER(SEARCH("ベビーリーフ",SUBSTITUTE(A617,"　"," ")))),
  "ベビーリーフ（加工品）",
  IFERROR(
    INDEX($I$2:$I$10, MATCH(TRUE, ISNUMBER(SEARCH($H$2:$H$10, SUBSTITUTE(A617,"　"," "))), 0)),
    TRIM(SUBSTITUTE(A617,"　"," "))
  )
)</f>
        <v>レッドオーク</v>
      </c>
      <c r="D617">
        <f t="shared" si="10"/>
        <v>280</v>
      </c>
    </row>
    <row r="618" spans="1:4">
      <c r="A618" t="s">
        <v>9</v>
      </c>
      <c r="B618">
        <v>280</v>
      </c>
      <c r="C618" t="str" cm="1">
        <f t="array" ref="C618">IF(
  AND(ISNUMBER(SEARCH("加工品",SUBSTITUTE(A618,"　"," "))), ISNUMBER(SEARCH("ベビーリーフ",SUBSTITUTE(A618,"　"," ")))),
  "ベビーリーフ（加工品）",
  IFERROR(
    INDEX($I$2:$I$10, MATCH(TRUE, ISNUMBER(SEARCH($H$2:$H$10, SUBSTITUTE(A618,"　"," "))), 0)),
    TRIM(SUBSTITUTE(A618,"　"," "))
  )
)</f>
        <v>ロロロッサ</v>
      </c>
      <c r="D618">
        <f t="shared" si="10"/>
        <v>280</v>
      </c>
    </row>
    <row r="619" spans="1:4">
      <c r="A619" t="s">
        <v>11</v>
      </c>
      <c r="B619">
        <v>820</v>
      </c>
      <c r="C619" t="str" cm="1">
        <f t="array" ref="C619">IF(
  AND(ISNUMBER(SEARCH("加工品",SUBSTITUTE(A619,"　"," "))), ISNUMBER(SEARCH("ベビーリーフ",SUBSTITUTE(A619,"　"," ")))),
  "ベビーリーフ（加工品）",
  IFERROR(
    INDEX($I$2:$I$10, MATCH(TRUE, ISNUMBER(SEARCH($H$2:$H$10, SUBSTITUTE(A619,"　"," "))), 0)),
    TRIM(SUBSTITUTE(A619,"　"," "))
  )
)</f>
        <v>レッドオーク</v>
      </c>
      <c r="D619">
        <f t="shared" si="10"/>
        <v>820</v>
      </c>
    </row>
    <row r="620" spans="1:4">
      <c r="A620" t="s">
        <v>9</v>
      </c>
      <c r="B620">
        <v>420</v>
      </c>
      <c r="C620" t="str" cm="1">
        <f t="array" ref="C620">IF(
  AND(ISNUMBER(SEARCH("加工品",SUBSTITUTE(A620,"　"," "))), ISNUMBER(SEARCH("ベビーリーフ",SUBSTITUTE(A620,"　"," ")))),
  "ベビーリーフ（加工品）",
  IFERROR(
    INDEX($I$2:$I$10, MATCH(TRUE, ISNUMBER(SEARCH($H$2:$H$10, SUBSTITUTE(A620,"　"," "))), 0)),
    TRIM(SUBSTITUTE(A620,"　"," "))
  )
)</f>
        <v>ロロロッサ</v>
      </c>
      <c r="D620">
        <f t="shared" si="10"/>
        <v>420</v>
      </c>
    </row>
    <row r="621" spans="1:4">
      <c r="A621" t="s">
        <v>11</v>
      </c>
      <c r="B621">
        <v>140</v>
      </c>
      <c r="C621" t="str" cm="1">
        <f t="array" ref="C621">IF(
  AND(ISNUMBER(SEARCH("加工品",SUBSTITUTE(A621,"　"," "))), ISNUMBER(SEARCH("ベビーリーフ",SUBSTITUTE(A621,"　"," ")))),
  "ベビーリーフ（加工品）",
  IFERROR(
    INDEX($I$2:$I$10, MATCH(TRUE, ISNUMBER(SEARCH($H$2:$H$10, SUBSTITUTE(A621,"　"," "))), 0)),
    TRIM(SUBSTITUTE(A621,"　"," "))
  )
)</f>
        <v>レッドオーク</v>
      </c>
      <c r="D621">
        <f t="shared" si="10"/>
        <v>140</v>
      </c>
    </row>
    <row r="622" spans="1:4">
      <c r="A622" t="s">
        <v>8</v>
      </c>
      <c r="B622">
        <v>195</v>
      </c>
      <c r="C622" t="str" cm="1">
        <f t="array" ref="C622">IF(
  AND(ISNUMBER(SEARCH("加工品",SUBSTITUTE(A622,"　"," "))), ISNUMBER(SEARCH("ベビーリーフ",SUBSTITUTE(A622,"　"," ")))),
  "ベビーリーフ（加工品）",
  IFERROR(
    INDEX($I$2:$I$10, MATCH(TRUE, ISNUMBER(SEARCH($H$2:$H$10, SUBSTITUTE(A622,"　"," "))), 0)),
    TRIM(SUBSTITUTE(A622,"　"," "))
  )
)</f>
        <v>イチゴ</v>
      </c>
      <c r="D622">
        <f t="shared" si="10"/>
        <v>195</v>
      </c>
    </row>
    <row r="623" spans="1:4">
      <c r="A623" t="s">
        <v>11</v>
      </c>
      <c r="B623">
        <v>540</v>
      </c>
      <c r="C623" t="str" cm="1">
        <f t="array" ref="C623">IF(
  AND(ISNUMBER(SEARCH("加工品",SUBSTITUTE(A623,"　"," "))), ISNUMBER(SEARCH("ベビーリーフ",SUBSTITUTE(A623,"　"," ")))),
  "ベビーリーフ（加工品）",
  IFERROR(
    INDEX($I$2:$I$10, MATCH(TRUE, ISNUMBER(SEARCH($H$2:$H$10, SUBSTITUTE(A623,"　"," "))), 0)),
    TRIM(SUBSTITUTE(A623,"　"," "))
  )
)</f>
        <v>レッドオーク</v>
      </c>
      <c r="D623">
        <f t="shared" si="10"/>
        <v>540</v>
      </c>
    </row>
    <row r="624" spans="1:4">
      <c r="A624" t="s">
        <v>9</v>
      </c>
      <c r="B624">
        <v>380</v>
      </c>
      <c r="C624" t="str" cm="1">
        <f t="array" ref="C624">IF(
  AND(ISNUMBER(SEARCH("加工品",SUBSTITUTE(A624,"　"," "))), ISNUMBER(SEARCH("ベビーリーフ",SUBSTITUTE(A624,"　"," ")))),
  "ベビーリーフ（加工品）",
  IFERROR(
    INDEX($I$2:$I$10, MATCH(TRUE, ISNUMBER(SEARCH($H$2:$H$10, SUBSTITUTE(A624,"　"," "))), 0)),
    TRIM(SUBSTITUTE(A624,"　"," "))
  )
)</f>
        <v>ロロロッサ</v>
      </c>
      <c r="D624">
        <f t="shared" si="10"/>
        <v>380</v>
      </c>
    </row>
    <row r="625" spans="1:4">
      <c r="A625" t="s">
        <v>2</v>
      </c>
      <c r="B625">
        <v>100</v>
      </c>
      <c r="C625" t="str" cm="1">
        <f t="array" ref="C625">IF(
  AND(ISNUMBER(SEARCH("加工品",SUBSTITUTE(A625,"　"," "))), ISNUMBER(SEARCH("ベビーリーフ",SUBSTITUTE(A625,"　"," ")))),
  "ベビーリーフ（加工品）",
  IFERROR(
    INDEX($I$2:$I$10, MATCH(TRUE, ISNUMBER(SEARCH($H$2:$H$10, SUBSTITUTE(A625,"　"," "))), 0)),
    TRIM(SUBSTITUTE(A625,"　"," "))
  )
)</f>
        <v>グリーンオーク</v>
      </c>
      <c r="D625">
        <f t="shared" si="10"/>
        <v>100</v>
      </c>
    </row>
    <row r="626" spans="1:4">
      <c r="A626" t="s">
        <v>2</v>
      </c>
      <c r="B626">
        <v>100</v>
      </c>
      <c r="C626" t="str" cm="1">
        <f t="array" ref="C626">IF(
  AND(ISNUMBER(SEARCH("加工品",SUBSTITUTE(A626,"　"," "))), ISNUMBER(SEARCH("ベビーリーフ",SUBSTITUTE(A626,"　"," ")))),
  "ベビーリーフ（加工品）",
  IFERROR(
    INDEX($I$2:$I$10, MATCH(TRUE, ISNUMBER(SEARCH($H$2:$H$10, SUBSTITUTE(A626,"　"," "))), 0)),
    TRIM(SUBSTITUTE(A626,"　"," "))
  )
)</f>
        <v>グリーンオーク</v>
      </c>
      <c r="D626">
        <f t="shared" si="10"/>
        <v>100</v>
      </c>
    </row>
    <row r="627" spans="1:4">
      <c r="A627" t="s">
        <v>11</v>
      </c>
      <c r="B627">
        <v>300</v>
      </c>
      <c r="C627" t="str" cm="1">
        <f t="array" ref="C627">IF(
  AND(ISNUMBER(SEARCH("加工品",SUBSTITUTE(A627,"　"," "))), ISNUMBER(SEARCH("ベビーリーフ",SUBSTITUTE(A627,"　"," ")))),
  "ベビーリーフ（加工品）",
  IFERROR(
    INDEX($I$2:$I$10, MATCH(TRUE, ISNUMBER(SEARCH($H$2:$H$10, SUBSTITUTE(A627,"　"," "))), 0)),
    TRIM(SUBSTITUTE(A627,"　"," "))
  )
)</f>
        <v>レッドオーク</v>
      </c>
      <c r="D627">
        <f t="shared" si="10"/>
        <v>300</v>
      </c>
    </row>
    <row r="628" spans="1:4">
      <c r="A628" t="s">
        <v>9</v>
      </c>
      <c r="B628">
        <v>540</v>
      </c>
      <c r="C628" t="str" cm="1">
        <f t="array" ref="C628">IF(
  AND(ISNUMBER(SEARCH("加工品",SUBSTITUTE(A628,"　"," "))), ISNUMBER(SEARCH("ベビーリーフ",SUBSTITUTE(A628,"　"," ")))),
  "ベビーリーフ（加工品）",
  IFERROR(
    INDEX($I$2:$I$10, MATCH(TRUE, ISNUMBER(SEARCH($H$2:$H$10, SUBSTITUTE(A628,"　"," "))), 0)),
    TRIM(SUBSTITUTE(A628,"　"," "))
  )
)</f>
        <v>ロロロッサ</v>
      </c>
      <c r="D628">
        <f t="shared" si="10"/>
        <v>540</v>
      </c>
    </row>
    <row r="629" spans="1:4">
      <c r="A629" t="s">
        <v>2</v>
      </c>
      <c r="B629">
        <v>280</v>
      </c>
      <c r="C629" t="str" cm="1">
        <f t="array" ref="C629">IF(
  AND(ISNUMBER(SEARCH("加工品",SUBSTITUTE(A629,"　"," "))), ISNUMBER(SEARCH("ベビーリーフ",SUBSTITUTE(A629,"　"," ")))),
  "ベビーリーフ（加工品）",
  IFERROR(
    INDEX($I$2:$I$10, MATCH(TRUE, ISNUMBER(SEARCH($H$2:$H$10, SUBSTITUTE(A629,"　"," "))), 0)),
    TRIM(SUBSTITUTE(A629,"　"," "))
  )
)</f>
        <v>グリーンオーク</v>
      </c>
      <c r="D629">
        <f t="shared" si="10"/>
        <v>280</v>
      </c>
    </row>
    <row r="630" spans="1:4">
      <c r="A630" t="s">
        <v>11</v>
      </c>
      <c r="B630">
        <v>320</v>
      </c>
      <c r="C630" t="str" cm="1">
        <f t="array" ref="C630">IF(
  AND(ISNUMBER(SEARCH("加工品",SUBSTITUTE(A630,"　"," "))), ISNUMBER(SEARCH("ベビーリーフ",SUBSTITUTE(A630,"　"," ")))),
  "ベビーリーフ（加工品）",
  IFERROR(
    INDEX($I$2:$I$10, MATCH(TRUE, ISNUMBER(SEARCH($H$2:$H$10, SUBSTITUTE(A630,"　"," "))), 0)),
    TRIM(SUBSTITUTE(A630,"　"," "))
  )
)</f>
        <v>レッドオーク</v>
      </c>
      <c r="D630">
        <f t="shared" si="10"/>
        <v>320</v>
      </c>
    </row>
    <row r="631" spans="1:4">
      <c r="A631" t="s">
        <v>9</v>
      </c>
      <c r="B631" s="1">
        <v>1500</v>
      </c>
      <c r="C631" t="str" cm="1">
        <f t="array" ref="C631">IF(
  AND(ISNUMBER(SEARCH("加工品",SUBSTITUTE(A631,"　"," "))), ISNUMBER(SEARCH("ベビーリーフ",SUBSTITUTE(A631,"　"," ")))),
  "ベビーリーフ（加工品）",
  IFERROR(
    INDEX($I$2:$I$10, MATCH(TRUE, ISNUMBER(SEARCH($H$2:$H$10, SUBSTITUTE(A631,"　"," "))), 0)),
    TRIM(SUBSTITUTE(A631,"　"," "))
  )
)</f>
        <v>ロロロッサ</v>
      </c>
      <c r="D631">
        <f t="shared" si="10"/>
        <v>1500</v>
      </c>
    </row>
    <row r="632" spans="1:4">
      <c r="A632" t="s">
        <v>11</v>
      </c>
      <c r="B632">
        <v>180</v>
      </c>
      <c r="C632" t="str" cm="1">
        <f t="array" ref="C632">IF(
  AND(ISNUMBER(SEARCH("加工品",SUBSTITUTE(A632,"　"," "))), ISNUMBER(SEARCH("ベビーリーフ",SUBSTITUTE(A632,"　"," ")))),
  "ベビーリーフ（加工品）",
  IFERROR(
    INDEX($I$2:$I$10, MATCH(TRUE, ISNUMBER(SEARCH($H$2:$H$10, SUBSTITUTE(A632,"　"," "))), 0)),
    TRIM(SUBSTITUTE(A632,"　"," "))
  )
)</f>
        <v>レッドオーク</v>
      </c>
      <c r="D632">
        <f t="shared" si="10"/>
        <v>180</v>
      </c>
    </row>
    <row r="633" spans="1:4">
      <c r="A633" t="s">
        <v>9</v>
      </c>
      <c r="B633">
        <v>540</v>
      </c>
      <c r="C633" t="str" cm="1">
        <f t="array" ref="C633">IF(
  AND(ISNUMBER(SEARCH("加工品",SUBSTITUTE(A633,"　"," "))), ISNUMBER(SEARCH("ベビーリーフ",SUBSTITUTE(A633,"　"," ")))),
  "ベビーリーフ（加工品）",
  IFERROR(
    INDEX($I$2:$I$10, MATCH(TRUE, ISNUMBER(SEARCH($H$2:$H$10, SUBSTITUTE(A633,"　"," "))), 0)),
    TRIM(SUBSTITUTE(A633,"　"," "))
  )
)</f>
        <v>ロロロッサ</v>
      </c>
      <c r="D633">
        <f t="shared" si="10"/>
        <v>540</v>
      </c>
    </row>
    <row r="634" spans="1:4">
      <c r="A634" t="s">
        <v>9</v>
      </c>
      <c r="B634">
        <v>160</v>
      </c>
      <c r="C634" t="str" cm="1">
        <f t="array" ref="C634">IF(
  AND(ISNUMBER(SEARCH("加工品",SUBSTITUTE(A634,"　"," "))), ISNUMBER(SEARCH("ベビーリーフ",SUBSTITUTE(A634,"　"," ")))),
  "ベビーリーフ（加工品）",
  IFERROR(
    INDEX($I$2:$I$10, MATCH(TRUE, ISNUMBER(SEARCH($H$2:$H$10, SUBSTITUTE(A634,"　"," "))), 0)),
    TRIM(SUBSTITUTE(A634,"　"," "))
  )
)</f>
        <v>ロロロッサ</v>
      </c>
      <c r="D634">
        <f t="shared" si="10"/>
        <v>160</v>
      </c>
    </row>
    <row r="635" spans="1:4">
      <c r="A635" t="s">
        <v>11</v>
      </c>
      <c r="B635">
        <v>220</v>
      </c>
      <c r="C635" t="str" cm="1">
        <f t="array" ref="C635">IF(
  AND(ISNUMBER(SEARCH("加工品",SUBSTITUTE(A635,"　"," "))), ISNUMBER(SEARCH("ベビーリーフ",SUBSTITUTE(A635,"　"," ")))),
  "ベビーリーフ（加工品）",
  IFERROR(
    INDEX($I$2:$I$10, MATCH(TRUE, ISNUMBER(SEARCH($H$2:$H$10, SUBSTITUTE(A635,"　"," "))), 0)),
    TRIM(SUBSTITUTE(A635,"　"," "))
  )
)</f>
        <v>レッドオーク</v>
      </c>
      <c r="D635">
        <f t="shared" si="10"/>
        <v>220</v>
      </c>
    </row>
    <row r="636" spans="1:4">
      <c r="A636" t="s">
        <v>12</v>
      </c>
      <c r="B636">
        <v>180</v>
      </c>
      <c r="C636" t="str" cm="1">
        <f t="array" ref="C636">IF(
  AND(ISNUMBER(SEARCH("加工品",SUBSTITUTE(A636,"　"," "))), ISNUMBER(SEARCH("ベビーリーフ",SUBSTITUTE(A636,"　"," ")))),
  "ベビーリーフ（加工品）",
  IFERROR(
    INDEX($I$2:$I$10, MATCH(TRUE, ISNUMBER(SEARCH($H$2:$H$10, SUBSTITUTE(A636,"　"," "))), 0)),
    TRIM(SUBSTITUTE(A636,"　"," "))
  )
)</f>
        <v>ブロッコリースプラウト</v>
      </c>
      <c r="D636">
        <f t="shared" si="10"/>
        <v>180</v>
      </c>
    </row>
    <row r="637" spans="1:4">
      <c r="A637" t="s">
        <v>9</v>
      </c>
      <c r="B637">
        <v>650</v>
      </c>
      <c r="C637" t="str" cm="1">
        <f t="array" ref="C637">IF(
  AND(ISNUMBER(SEARCH("加工品",SUBSTITUTE(A637,"　"," "))), ISNUMBER(SEARCH("ベビーリーフ",SUBSTITUTE(A637,"　"," ")))),
  "ベビーリーフ（加工品）",
  IFERROR(
    INDEX($I$2:$I$10, MATCH(TRUE, ISNUMBER(SEARCH($H$2:$H$10, SUBSTITUTE(A637,"　"," "))), 0)),
    TRIM(SUBSTITUTE(A637,"　"," "))
  )
)</f>
        <v>ロロロッサ</v>
      </c>
      <c r="D637">
        <f t="shared" si="10"/>
        <v>650</v>
      </c>
    </row>
    <row r="638" spans="1:4">
      <c r="A638" t="s">
        <v>11</v>
      </c>
      <c r="B638">
        <v>180</v>
      </c>
      <c r="C638" t="str" cm="1">
        <f t="array" ref="C638">IF(
  AND(ISNUMBER(SEARCH("加工品",SUBSTITUTE(A638,"　"," "))), ISNUMBER(SEARCH("ベビーリーフ",SUBSTITUTE(A638,"　"," ")))),
  "ベビーリーフ（加工品）",
  IFERROR(
    INDEX($I$2:$I$10, MATCH(TRUE, ISNUMBER(SEARCH($H$2:$H$10, SUBSTITUTE(A638,"　"," "))), 0)),
    TRIM(SUBSTITUTE(A638,"　"," "))
  )
)</f>
        <v>レッドオーク</v>
      </c>
      <c r="D638">
        <f t="shared" si="10"/>
        <v>180</v>
      </c>
    </row>
    <row r="639" spans="1:4">
      <c r="A639" t="s">
        <v>9</v>
      </c>
      <c r="B639">
        <v>460</v>
      </c>
      <c r="C639" t="str" cm="1">
        <f t="array" ref="C639">IF(
  AND(ISNUMBER(SEARCH("加工品",SUBSTITUTE(A639,"　"," "))), ISNUMBER(SEARCH("ベビーリーフ",SUBSTITUTE(A639,"　"," ")))),
  "ベビーリーフ（加工品）",
  IFERROR(
    INDEX($I$2:$I$10, MATCH(TRUE, ISNUMBER(SEARCH($H$2:$H$10, SUBSTITUTE(A639,"　"," "))), 0)),
    TRIM(SUBSTITUTE(A639,"　"," "))
  )
)</f>
        <v>ロロロッサ</v>
      </c>
      <c r="D639">
        <f t="shared" si="10"/>
        <v>460</v>
      </c>
    </row>
    <row r="640" spans="1:4">
      <c r="A640" t="s">
        <v>11</v>
      </c>
      <c r="B640">
        <v>120</v>
      </c>
      <c r="C640" t="str" cm="1">
        <f t="array" ref="C640">IF(
  AND(ISNUMBER(SEARCH("加工品",SUBSTITUTE(A640,"　"," "))), ISNUMBER(SEARCH("ベビーリーフ",SUBSTITUTE(A640,"　"," ")))),
  "ベビーリーフ（加工品）",
  IFERROR(
    INDEX($I$2:$I$10, MATCH(TRUE, ISNUMBER(SEARCH($H$2:$H$10, SUBSTITUTE(A640,"　"," "))), 0)),
    TRIM(SUBSTITUTE(A640,"　"," "))
  )
)</f>
        <v>レッドオーク</v>
      </c>
      <c r="D640">
        <f t="shared" si="10"/>
        <v>120</v>
      </c>
    </row>
    <row r="641" spans="1:4">
      <c r="A641" t="s">
        <v>9</v>
      </c>
      <c r="B641">
        <v>580</v>
      </c>
      <c r="C641" t="str" cm="1">
        <f t="array" ref="C641">IF(
  AND(ISNUMBER(SEARCH("加工品",SUBSTITUTE(A641,"　"," "))), ISNUMBER(SEARCH("ベビーリーフ",SUBSTITUTE(A641,"　"," ")))),
  "ベビーリーフ（加工品）",
  IFERROR(
    INDEX($I$2:$I$10, MATCH(TRUE, ISNUMBER(SEARCH($H$2:$H$10, SUBSTITUTE(A641,"　"," "))), 0)),
    TRIM(SUBSTITUTE(A641,"　"," "))
  )
)</f>
        <v>ロロロッサ</v>
      </c>
      <c r="D641">
        <f t="shared" si="10"/>
        <v>580</v>
      </c>
    </row>
    <row r="642" spans="1:4">
      <c r="A642" t="s">
        <v>8</v>
      </c>
      <c r="B642">
        <v>10</v>
      </c>
      <c r="C642" t="str" cm="1">
        <f t="array" ref="C642">IF(
  AND(ISNUMBER(SEARCH("加工品",SUBSTITUTE(A642,"　"," "))), ISNUMBER(SEARCH("ベビーリーフ",SUBSTITUTE(A642,"　"," ")))),
  "ベビーリーフ（加工品）",
  IFERROR(
    INDEX($I$2:$I$10, MATCH(TRUE, ISNUMBER(SEARCH($H$2:$H$10, SUBSTITUTE(A642,"　"," "))), 0)),
    TRIM(SUBSTITUTE(A642,"　"," "))
  )
)</f>
        <v>イチゴ</v>
      </c>
      <c r="D642">
        <f t="shared" si="10"/>
        <v>10</v>
      </c>
    </row>
    <row r="643" spans="1:4">
      <c r="A643" t="s">
        <v>11</v>
      </c>
      <c r="B643">
        <v>660</v>
      </c>
      <c r="C643" t="str" cm="1">
        <f t="array" ref="C643">IF(
  AND(ISNUMBER(SEARCH("加工品",SUBSTITUTE(A643,"　"," "))), ISNUMBER(SEARCH("ベビーリーフ",SUBSTITUTE(A643,"　"," ")))),
  "ベビーリーフ（加工品）",
  IFERROR(
    INDEX($I$2:$I$10, MATCH(TRUE, ISNUMBER(SEARCH($H$2:$H$10, SUBSTITUTE(A643,"　"," "))), 0)),
    TRIM(SUBSTITUTE(A643,"　"," "))
  )
)</f>
        <v>レッドオーク</v>
      </c>
      <c r="D643">
        <f t="shared" ref="D643:D696" si="11">--SUBSTITUTE(B643,",","")</f>
        <v>660</v>
      </c>
    </row>
    <row r="644" spans="1:4">
      <c r="A644" t="s">
        <v>9</v>
      </c>
      <c r="B644">
        <v>580</v>
      </c>
      <c r="C644" t="str" cm="1">
        <f t="array" ref="C644">IF(
  AND(ISNUMBER(SEARCH("加工品",SUBSTITUTE(A644,"　"," "))), ISNUMBER(SEARCH("ベビーリーフ",SUBSTITUTE(A644,"　"," ")))),
  "ベビーリーフ（加工品）",
  IFERROR(
    INDEX($I$2:$I$10, MATCH(TRUE, ISNUMBER(SEARCH($H$2:$H$10, SUBSTITUTE(A644,"　"," "))), 0)),
    TRIM(SUBSTITUTE(A644,"　"," "))
  )
)</f>
        <v>ロロロッサ</v>
      </c>
      <c r="D644">
        <f t="shared" si="11"/>
        <v>580</v>
      </c>
    </row>
    <row r="645" spans="1:4">
      <c r="A645" t="s">
        <v>8</v>
      </c>
      <c r="B645">
        <v>10</v>
      </c>
      <c r="C645" t="str" cm="1">
        <f t="array" ref="C645">IF(
  AND(ISNUMBER(SEARCH("加工品",SUBSTITUTE(A645,"　"," "))), ISNUMBER(SEARCH("ベビーリーフ",SUBSTITUTE(A645,"　"," ")))),
  "ベビーリーフ（加工品）",
  IFERROR(
    INDEX($I$2:$I$10, MATCH(TRUE, ISNUMBER(SEARCH($H$2:$H$10, SUBSTITUTE(A645,"　"," "))), 0)),
    TRIM(SUBSTITUTE(A645,"　"," "))
  )
)</f>
        <v>イチゴ</v>
      </c>
      <c r="D645">
        <f t="shared" si="11"/>
        <v>10</v>
      </c>
    </row>
    <row r="646" spans="1:4">
      <c r="A646" t="s">
        <v>11</v>
      </c>
      <c r="B646">
        <v>660</v>
      </c>
      <c r="C646" t="str" cm="1">
        <f t="array" ref="C646">IF(
  AND(ISNUMBER(SEARCH("加工品",SUBSTITUTE(A646,"　"," "))), ISNUMBER(SEARCH("ベビーリーフ",SUBSTITUTE(A646,"　"," ")))),
  "ベビーリーフ（加工品）",
  IFERROR(
    INDEX($I$2:$I$10, MATCH(TRUE, ISNUMBER(SEARCH($H$2:$H$10, SUBSTITUTE(A646,"　"," "))), 0)),
    TRIM(SUBSTITUTE(A646,"　"," "))
  )
)</f>
        <v>レッドオーク</v>
      </c>
      <c r="D646">
        <f t="shared" si="11"/>
        <v>660</v>
      </c>
    </row>
    <row r="647" spans="1:4">
      <c r="A647" t="s">
        <v>9</v>
      </c>
      <c r="B647">
        <v>580</v>
      </c>
      <c r="C647" t="str" cm="1">
        <f t="array" ref="C647">IF(
  AND(ISNUMBER(SEARCH("加工品",SUBSTITUTE(A647,"　"," "))), ISNUMBER(SEARCH("ベビーリーフ",SUBSTITUTE(A647,"　"," ")))),
  "ベビーリーフ（加工品）",
  IFERROR(
    INDEX($I$2:$I$10, MATCH(TRUE, ISNUMBER(SEARCH($H$2:$H$10, SUBSTITUTE(A647,"　"," "))), 0)),
    TRIM(SUBSTITUTE(A647,"　"," "))
  )
)</f>
        <v>ロロロッサ</v>
      </c>
      <c r="D647">
        <f t="shared" si="11"/>
        <v>580</v>
      </c>
    </row>
    <row r="648" spans="1:4">
      <c r="A648" t="s">
        <v>8</v>
      </c>
      <c r="B648">
        <v>10</v>
      </c>
      <c r="C648" t="str" cm="1">
        <f t="array" ref="C648">IF(
  AND(ISNUMBER(SEARCH("加工品",SUBSTITUTE(A648,"　"," "))), ISNUMBER(SEARCH("ベビーリーフ",SUBSTITUTE(A648,"　"," ")))),
  "ベビーリーフ（加工品）",
  IFERROR(
    INDEX($I$2:$I$10, MATCH(TRUE, ISNUMBER(SEARCH($H$2:$H$10, SUBSTITUTE(A648,"　"," "))), 0)),
    TRIM(SUBSTITUTE(A648,"　"," "))
  )
)</f>
        <v>イチゴ</v>
      </c>
      <c r="D648">
        <f t="shared" si="11"/>
        <v>10</v>
      </c>
    </row>
    <row r="649" spans="1:4">
      <c r="A649" t="s">
        <v>11</v>
      </c>
      <c r="B649">
        <v>660</v>
      </c>
      <c r="C649" t="str" cm="1">
        <f t="array" ref="C649">IF(
  AND(ISNUMBER(SEARCH("加工品",SUBSTITUTE(A649,"　"," "))), ISNUMBER(SEARCH("ベビーリーフ",SUBSTITUTE(A649,"　"," ")))),
  "ベビーリーフ（加工品）",
  IFERROR(
    INDEX($I$2:$I$10, MATCH(TRUE, ISNUMBER(SEARCH($H$2:$H$10, SUBSTITUTE(A649,"　"," "))), 0)),
    TRIM(SUBSTITUTE(A649,"　"," "))
  )
)</f>
        <v>レッドオーク</v>
      </c>
      <c r="D649">
        <f t="shared" si="11"/>
        <v>660</v>
      </c>
    </row>
    <row r="650" spans="1:4">
      <c r="A650" t="s">
        <v>9</v>
      </c>
      <c r="B650">
        <v>580</v>
      </c>
      <c r="C650" t="str" cm="1">
        <f t="array" ref="C650">IF(
  AND(ISNUMBER(SEARCH("加工品",SUBSTITUTE(A650,"　"," "))), ISNUMBER(SEARCH("ベビーリーフ",SUBSTITUTE(A650,"　"," ")))),
  "ベビーリーフ（加工品）",
  IFERROR(
    INDEX($I$2:$I$10, MATCH(TRUE, ISNUMBER(SEARCH($H$2:$H$10, SUBSTITUTE(A650,"　"," "))), 0)),
    TRIM(SUBSTITUTE(A650,"　"," "))
  )
)</f>
        <v>ロロロッサ</v>
      </c>
      <c r="D650">
        <f t="shared" si="11"/>
        <v>580</v>
      </c>
    </row>
    <row r="651" spans="1:4">
      <c r="A651" t="s">
        <v>8</v>
      </c>
      <c r="B651">
        <v>10</v>
      </c>
      <c r="C651" t="str" cm="1">
        <f t="array" ref="C651">IF(
  AND(ISNUMBER(SEARCH("加工品",SUBSTITUTE(A651,"　"," "))), ISNUMBER(SEARCH("ベビーリーフ",SUBSTITUTE(A651,"　"," ")))),
  "ベビーリーフ（加工品）",
  IFERROR(
    INDEX($I$2:$I$10, MATCH(TRUE, ISNUMBER(SEARCH($H$2:$H$10, SUBSTITUTE(A651,"　"," "))), 0)),
    TRIM(SUBSTITUTE(A651,"　"," "))
  )
)</f>
        <v>イチゴ</v>
      </c>
      <c r="D651">
        <f t="shared" si="11"/>
        <v>10</v>
      </c>
    </row>
    <row r="652" spans="1:4">
      <c r="A652" t="s">
        <v>11</v>
      </c>
      <c r="B652">
        <v>660</v>
      </c>
      <c r="C652" t="str" cm="1">
        <f t="array" ref="C652">IF(
  AND(ISNUMBER(SEARCH("加工品",SUBSTITUTE(A652,"　"," "))), ISNUMBER(SEARCH("ベビーリーフ",SUBSTITUTE(A652,"　"," ")))),
  "ベビーリーフ（加工品）",
  IFERROR(
    INDEX($I$2:$I$10, MATCH(TRUE, ISNUMBER(SEARCH($H$2:$H$10, SUBSTITUTE(A652,"　"," "))), 0)),
    TRIM(SUBSTITUTE(A652,"　"," "))
  )
)</f>
        <v>レッドオーク</v>
      </c>
      <c r="D652">
        <f t="shared" si="11"/>
        <v>660</v>
      </c>
    </row>
    <row r="653" spans="1:4">
      <c r="A653" t="s">
        <v>9</v>
      </c>
      <c r="B653">
        <v>580</v>
      </c>
      <c r="C653" t="str" cm="1">
        <f t="array" ref="C653">IF(
  AND(ISNUMBER(SEARCH("加工品",SUBSTITUTE(A653,"　"," "))), ISNUMBER(SEARCH("ベビーリーフ",SUBSTITUTE(A653,"　"," ")))),
  "ベビーリーフ（加工品）",
  IFERROR(
    INDEX($I$2:$I$10, MATCH(TRUE, ISNUMBER(SEARCH($H$2:$H$10, SUBSTITUTE(A653,"　"," "))), 0)),
    TRIM(SUBSTITUTE(A653,"　"," "))
  )
)</f>
        <v>ロロロッサ</v>
      </c>
      <c r="D653">
        <f t="shared" si="11"/>
        <v>580</v>
      </c>
    </row>
    <row r="654" spans="1:4">
      <c r="A654" t="s">
        <v>8</v>
      </c>
      <c r="B654">
        <v>10</v>
      </c>
      <c r="C654" t="str" cm="1">
        <f t="array" ref="C654">IF(
  AND(ISNUMBER(SEARCH("加工品",SUBSTITUTE(A654,"　"," "))), ISNUMBER(SEARCH("ベビーリーフ",SUBSTITUTE(A654,"　"," ")))),
  "ベビーリーフ（加工品）",
  IFERROR(
    INDEX($I$2:$I$10, MATCH(TRUE, ISNUMBER(SEARCH($H$2:$H$10, SUBSTITUTE(A654,"　"," "))), 0)),
    TRIM(SUBSTITUTE(A654,"　"," "))
  )
)</f>
        <v>イチゴ</v>
      </c>
      <c r="D654">
        <f t="shared" si="11"/>
        <v>10</v>
      </c>
    </row>
    <row r="655" spans="1:4">
      <c r="A655" t="s">
        <v>11</v>
      </c>
      <c r="B655">
        <v>660</v>
      </c>
      <c r="C655" t="str" cm="1">
        <f t="array" ref="C655">IF(
  AND(ISNUMBER(SEARCH("加工品",SUBSTITUTE(A655,"　"," "))), ISNUMBER(SEARCH("ベビーリーフ",SUBSTITUTE(A655,"　"," ")))),
  "ベビーリーフ（加工品）",
  IFERROR(
    INDEX($I$2:$I$10, MATCH(TRUE, ISNUMBER(SEARCH($H$2:$H$10, SUBSTITUTE(A655,"　"," "))), 0)),
    TRIM(SUBSTITUTE(A655,"　"," "))
  )
)</f>
        <v>レッドオーク</v>
      </c>
      <c r="D655">
        <f t="shared" si="11"/>
        <v>660</v>
      </c>
    </row>
    <row r="656" spans="1:4">
      <c r="A656" t="s">
        <v>9</v>
      </c>
      <c r="B656">
        <v>580</v>
      </c>
      <c r="C656" t="str" cm="1">
        <f t="array" ref="C656">IF(
  AND(ISNUMBER(SEARCH("加工品",SUBSTITUTE(A656,"　"," "))), ISNUMBER(SEARCH("ベビーリーフ",SUBSTITUTE(A656,"　"," ")))),
  "ベビーリーフ（加工品）",
  IFERROR(
    INDEX($I$2:$I$10, MATCH(TRUE, ISNUMBER(SEARCH($H$2:$H$10, SUBSTITUTE(A656,"　"," "))), 0)),
    TRIM(SUBSTITUTE(A656,"　"," "))
  )
)</f>
        <v>ロロロッサ</v>
      </c>
      <c r="D656">
        <f t="shared" si="11"/>
        <v>580</v>
      </c>
    </row>
    <row r="657" spans="1:4">
      <c r="A657" t="s">
        <v>8</v>
      </c>
      <c r="B657">
        <v>10</v>
      </c>
      <c r="C657" t="str" cm="1">
        <f t="array" ref="C657">IF(
  AND(ISNUMBER(SEARCH("加工品",SUBSTITUTE(A657,"　"," "))), ISNUMBER(SEARCH("ベビーリーフ",SUBSTITUTE(A657,"　"," ")))),
  "ベビーリーフ（加工品）",
  IFERROR(
    INDEX($I$2:$I$10, MATCH(TRUE, ISNUMBER(SEARCH($H$2:$H$10, SUBSTITUTE(A657,"　"," "))), 0)),
    TRIM(SUBSTITUTE(A657,"　"," "))
  )
)</f>
        <v>イチゴ</v>
      </c>
      <c r="D657">
        <f t="shared" si="11"/>
        <v>10</v>
      </c>
    </row>
    <row r="658" spans="1:4">
      <c r="A658" t="s">
        <v>11</v>
      </c>
      <c r="B658">
        <v>660</v>
      </c>
      <c r="C658" t="str" cm="1">
        <f t="array" ref="C658">IF(
  AND(ISNUMBER(SEARCH("加工品",SUBSTITUTE(A658,"　"," "))), ISNUMBER(SEARCH("ベビーリーフ",SUBSTITUTE(A658,"　"," ")))),
  "ベビーリーフ（加工品）",
  IFERROR(
    INDEX($I$2:$I$10, MATCH(TRUE, ISNUMBER(SEARCH($H$2:$H$10, SUBSTITUTE(A658,"　"," "))), 0)),
    TRIM(SUBSTITUTE(A658,"　"," "))
  )
)</f>
        <v>レッドオーク</v>
      </c>
      <c r="D658">
        <f t="shared" si="11"/>
        <v>660</v>
      </c>
    </row>
    <row r="659" spans="1:4">
      <c r="A659" t="s">
        <v>9</v>
      </c>
      <c r="B659">
        <v>580</v>
      </c>
      <c r="C659" t="str" cm="1">
        <f t="array" ref="C659">IF(
  AND(ISNUMBER(SEARCH("加工品",SUBSTITUTE(A659,"　"," "))), ISNUMBER(SEARCH("ベビーリーフ",SUBSTITUTE(A659,"　"," ")))),
  "ベビーリーフ（加工品）",
  IFERROR(
    INDEX($I$2:$I$10, MATCH(TRUE, ISNUMBER(SEARCH($H$2:$H$10, SUBSTITUTE(A659,"　"," "))), 0)),
    TRIM(SUBSTITUTE(A659,"　"," "))
  )
)</f>
        <v>ロロロッサ</v>
      </c>
      <c r="D659">
        <f t="shared" si="11"/>
        <v>580</v>
      </c>
    </row>
    <row r="660" spans="1:4">
      <c r="A660" t="s">
        <v>8</v>
      </c>
      <c r="B660">
        <v>10</v>
      </c>
      <c r="C660" t="str" cm="1">
        <f t="array" ref="C660">IF(
  AND(ISNUMBER(SEARCH("加工品",SUBSTITUTE(A660,"　"," "))), ISNUMBER(SEARCH("ベビーリーフ",SUBSTITUTE(A660,"　"," ")))),
  "ベビーリーフ（加工品）",
  IFERROR(
    INDEX($I$2:$I$10, MATCH(TRUE, ISNUMBER(SEARCH($H$2:$H$10, SUBSTITUTE(A660,"　"," "))), 0)),
    TRIM(SUBSTITUTE(A660,"　"," "))
  )
)</f>
        <v>イチゴ</v>
      </c>
      <c r="D660">
        <f t="shared" si="11"/>
        <v>10</v>
      </c>
    </row>
    <row r="661" spans="1:4">
      <c r="A661" t="s">
        <v>11</v>
      </c>
      <c r="B661">
        <v>660</v>
      </c>
      <c r="C661" t="str" cm="1">
        <f t="array" ref="C661">IF(
  AND(ISNUMBER(SEARCH("加工品",SUBSTITUTE(A661,"　"," "))), ISNUMBER(SEARCH("ベビーリーフ",SUBSTITUTE(A661,"　"," ")))),
  "ベビーリーフ（加工品）",
  IFERROR(
    INDEX($I$2:$I$10, MATCH(TRUE, ISNUMBER(SEARCH($H$2:$H$10, SUBSTITUTE(A661,"　"," "))), 0)),
    TRIM(SUBSTITUTE(A661,"　"," "))
  )
)</f>
        <v>レッドオーク</v>
      </c>
      <c r="D661">
        <f t="shared" si="11"/>
        <v>660</v>
      </c>
    </row>
    <row r="662" spans="1:4">
      <c r="A662" t="s">
        <v>9</v>
      </c>
      <c r="B662">
        <v>120</v>
      </c>
      <c r="C662" t="str" cm="1">
        <f t="array" ref="C662">IF(
  AND(ISNUMBER(SEARCH("加工品",SUBSTITUTE(A662,"　"," "))), ISNUMBER(SEARCH("ベビーリーフ",SUBSTITUTE(A662,"　"," ")))),
  "ベビーリーフ（加工品）",
  IFERROR(
    INDEX($I$2:$I$10, MATCH(TRUE, ISNUMBER(SEARCH($H$2:$H$10, SUBSTITUTE(A662,"　"," "))), 0)),
    TRIM(SUBSTITUTE(A662,"　"," "))
  )
)</f>
        <v>ロロロッサ</v>
      </c>
      <c r="D662">
        <f t="shared" si="11"/>
        <v>120</v>
      </c>
    </row>
    <row r="663" spans="1:4">
      <c r="A663" t="s">
        <v>11</v>
      </c>
      <c r="B663">
        <v>20</v>
      </c>
      <c r="C663" t="str" cm="1">
        <f t="array" ref="C663">IF(
  AND(ISNUMBER(SEARCH("加工品",SUBSTITUTE(A663,"　"," "))), ISNUMBER(SEARCH("ベビーリーフ",SUBSTITUTE(A663,"　"," ")))),
  "ベビーリーフ（加工品）",
  IFERROR(
    INDEX($I$2:$I$10, MATCH(TRUE, ISNUMBER(SEARCH($H$2:$H$10, SUBSTITUTE(A663,"　"," "))), 0)),
    TRIM(SUBSTITUTE(A663,"　"," "))
  )
)</f>
        <v>レッドオーク</v>
      </c>
      <c r="D663">
        <f t="shared" si="11"/>
        <v>20</v>
      </c>
    </row>
    <row r="664" spans="1:4">
      <c r="A664" t="s">
        <v>11</v>
      </c>
      <c r="B664">
        <v>40</v>
      </c>
      <c r="C664" t="str" cm="1">
        <f t="array" ref="C664">IF(
  AND(ISNUMBER(SEARCH("加工品",SUBSTITUTE(A664,"　"," "))), ISNUMBER(SEARCH("ベビーリーフ",SUBSTITUTE(A664,"　"," ")))),
  "ベビーリーフ（加工品）",
  IFERROR(
    INDEX($I$2:$I$10, MATCH(TRUE, ISNUMBER(SEARCH($H$2:$H$10, SUBSTITUTE(A664,"　"," "))), 0)),
    TRIM(SUBSTITUTE(A664,"　"," "))
  )
)</f>
        <v>レッドオーク</v>
      </c>
      <c r="D664">
        <f t="shared" si="11"/>
        <v>40</v>
      </c>
    </row>
    <row r="665" spans="1:4">
      <c r="A665" t="s">
        <v>9</v>
      </c>
      <c r="B665">
        <v>20</v>
      </c>
      <c r="C665" t="str" cm="1">
        <f t="array" ref="C665">IF(
  AND(ISNUMBER(SEARCH("加工品",SUBSTITUTE(A665,"　"," "))), ISNUMBER(SEARCH("ベビーリーフ",SUBSTITUTE(A665,"　"," ")))),
  "ベビーリーフ（加工品）",
  IFERROR(
    INDEX($I$2:$I$10, MATCH(TRUE, ISNUMBER(SEARCH($H$2:$H$10, SUBSTITUTE(A665,"　"," "))), 0)),
    TRIM(SUBSTITUTE(A665,"　"," "))
  )
)</f>
        <v>ロロロッサ</v>
      </c>
      <c r="D665">
        <f t="shared" si="11"/>
        <v>20</v>
      </c>
    </row>
    <row r="666" spans="1:4">
      <c r="A666" t="s">
        <v>9</v>
      </c>
      <c r="B666">
        <v>660</v>
      </c>
      <c r="C666" t="str" cm="1">
        <f t="array" ref="C666">IF(
  AND(ISNUMBER(SEARCH("加工品",SUBSTITUTE(A666,"　"," "))), ISNUMBER(SEARCH("ベビーリーフ",SUBSTITUTE(A666,"　"," ")))),
  "ベビーリーフ（加工品）",
  IFERROR(
    INDEX($I$2:$I$10, MATCH(TRUE, ISNUMBER(SEARCH($H$2:$H$10, SUBSTITUTE(A666,"　"," "))), 0)),
    TRIM(SUBSTITUTE(A666,"　"," "))
  )
)</f>
        <v>ロロロッサ</v>
      </c>
      <c r="D666">
        <f t="shared" si="11"/>
        <v>660</v>
      </c>
    </row>
    <row r="667" spans="1:4">
      <c r="A667" t="s">
        <v>11</v>
      </c>
      <c r="B667">
        <v>60</v>
      </c>
      <c r="C667" t="str" cm="1">
        <f t="array" ref="C667">IF(
  AND(ISNUMBER(SEARCH("加工品",SUBSTITUTE(A667,"　"," "))), ISNUMBER(SEARCH("ベビーリーフ",SUBSTITUTE(A667,"　"," ")))),
  "ベビーリーフ（加工品）",
  IFERROR(
    INDEX($I$2:$I$10, MATCH(TRUE, ISNUMBER(SEARCH($H$2:$H$10, SUBSTITUTE(A667,"　"," "))), 0)),
    TRIM(SUBSTITUTE(A667,"　"," "))
  )
)</f>
        <v>レッドオーク</v>
      </c>
      <c r="D667">
        <f t="shared" si="11"/>
        <v>60</v>
      </c>
    </row>
    <row r="668" spans="1:4">
      <c r="A668" t="s">
        <v>9</v>
      </c>
      <c r="B668">
        <v>860</v>
      </c>
      <c r="C668" t="str" cm="1">
        <f t="array" ref="C668">IF(
  AND(ISNUMBER(SEARCH("加工品",SUBSTITUTE(A668,"　"," "))), ISNUMBER(SEARCH("ベビーリーフ",SUBSTITUTE(A668,"　"," ")))),
  "ベビーリーフ（加工品）",
  IFERROR(
    INDEX($I$2:$I$10, MATCH(TRUE, ISNUMBER(SEARCH($H$2:$H$10, SUBSTITUTE(A668,"　"," "))), 0)),
    TRIM(SUBSTITUTE(A668,"　"," "))
  )
)</f>
        <v>ロロロッサ</v>
      </c>
      <c r="D668">
        <f t="shared" si="11"/>
        <v>860</v>
      </c>
    </row>
    <row r="669" spans="1:4">
      <c r="A669" t="s">
        <v>11</v>
      </c>
      <c r="B669">
        <v>400</v>
      </c>
      <c r="C669" t="str" cm="1">
        <f t="array" ref="C669">IF(
  AND(ISNUMBER(SEARCH("加工品",SUBSTITUTE(A669,"　"," "))), ISNUMBER(SEARCH("ベビーリーフ",SUBSTITUTE(A669,"　"," ")))),
  "ベビーリーフ（加工品）",
  IFERROR(
    INDEX($I$2:$I$10, MATCH(TRUE, ISNUMBER(SEARCH($H$2:$H$10, SUBSTITUTE(A669,"　"," "))), 0)),
    TRIM(SUBSTITUTE(A669,"　"," "))
  )
)</f>
        <v>レッドオーク</v>
      </c>
      <c r="D669">
        <f t="shared" si="11"/>
        <v>400</v>
      </c>
    </row>
    <row r="670" spans="1:4">
      <c r="A670" t="s">
        <v>8</v>
      </c>
      <c r="B670">
        <v>100</v>
      </c>
      <c r="C670" t="str" cm="1">
        <f t="array" ref="C670">IF(
  AND(ISNUMBER(SEARCH("加工品",SUBSTITUTE(A670,"　"," "))), ISNUMBER(SEARCH("ベビーリーフ",SUBSTITUTE(A670,"　"," ")))),
  "ベビーリーフ（加工品）",
  IFERROR(
    INDEX($I$2:$I$10, MATCH(TRUE, ISNUMBER(SEARCH($H$2:$H$10, SUBSTITUTE(A670,"　"," "))), 0)),
    TRIM(SUBSTITUTE(A670,"　"," "))
  )
)</f>
        <v>イチゴ</v>
      </c>
      <c r="D670">
        <f t="shared" si="11"/>
        <v>100</v>
      </c>
    </row>
    <row r="671" spans="1:4">
      <c r="A671" t="s">
        <v>9</v>
      </c>
      <c r="B671">
        <v>200</v>
      </c>
      <c r="C671" t="str" cm="1">
        <f t="array" ref="C671">IF(
  AND(ISNUMBER(SEARCH("加工品",SUBSTITUTE(A671,"　"," "))), ISNUMBER(SEARCH("ベビーリーフ",SUBSTITUTE(A671,"　"," ")))),
  "ベビーリーフ（加工品）",
  IFERROR(
    INDEX($I$2:$I$10, MATCH(TRUE, ISNUMBER(SEARCH($H$2:$H$10, SUBSTITUTE(A671,"　"," "))), 0)),
    TRIM(SUBSTITUTE(A671,"　"," "))
  )
)</f>
        <v>ロロロッサ</v>
      </c>
      <c r="D671">
        <f t="shared" si="11"/>
        <v>200</v>
      </c>
    </row>
    <row r="672" spans="1:4">
      <c r="A672" t="s">
        <v>9</v>
      </c>
      <c r="B672">
        <v>800</v>
      </c>
      <c r="C672" t="str" cm="1">
        <f t="array" ref="C672">IF(
  AND(ISNUMBER(SEARCH("加工品",SUBSTITUTE(A672,"　"," "))), ISNUMBER(SEARCH("ベビーリーフ",SUBSTITUTE(A672,"　"," ")))),
  "ベビーリーフ（加工品）",
  IFERROR(
    INDEX($I$2:$I$10, MATCH(TRUE, ISNUMBER(SEARCH($H$2:$H$10, SUBSTITUTE(A672,"　"," "))), 0)),
    TRIM(SUBSTITUTE(A672,"　"," "))
  )
)</f>
        <v>ロロロッサ</v>
      </c>
      <c r="D672">
        <f t="shared" si="11"/>
        <v>800</v>
      </c>
    </row>
    <row r="673" spans="1:4">
      <c r="A673" t="s">
        <v>11</v>
      </c>
      <c r="B673">
        <v>200</v>
      </c>
      <c r="C673" t="str" cm="1">
        <f t="array" ref="C673">IF(
  AND(ISNUMBER(SEARCH("加工品",SUBSTITUTE(A673,"　"," "))), ISNUMBER(SEARCH("ベビーリーフ",SUBSTITUTE(A673,"　"," ")))),
  "ベビーリーフ（加工品）",
  IFERROR(
    INDEX($I$2:$I$10, MATCH(TRUE, ISNUMBER(SEARCH($H$2:$H$10, SUBSTITUTE(A673,"　"," "))), 0)),
    TRIM(SUBSTITUTE(A673,"　"," "))
  )
)</f>
        <v>レッドオーク</v>
      </c>
      <c r="D673">
        <f t="shared" si="11"/>
        <v>200</v>
      </c>
    </row>
    <row r="674" spans="1:4">
      <c r="A674" t="s">
        <v>9</v>
      </c>
      <c r="B674">
        <v>500</v>
      </c>
      <c r="C674" t="str" cm="1">
        <f t="array" ref="C674">IF(
  AND(ISNUMBER(SEARCH("加工品",SUBSTITUTE(A674,"　"," "))), ISNUMBER(SEARCH("ベビーリーフ",SUBSTITUTE(A674,"　"," ")))),
  "ベビーリーフ（加工品）",
  IFERROR(
    INDEX($I$2:$I$10, MATCH(TRUE, ISNUMBER(SEARCH($H$2:$H$10, SUBSTITUTE(A674,"　"," "))), 0)),
    TRIM(SUBSTITUTE(A674,"　"," "))
  )
)</f>
        <v>ロロロッサ</v>
      </c>
      <c r="D674">
        <f t="shared" si="11"/>
        <v>500</v>
      </c>
    </row>
    <row r="675" spans="1:4">
      <c r="A675" t="s">
        <v>9</v>
      </c>
      <c r="B675">
        <v>800</v>
      </c>
      <c r="C675" t="str" cm="1">
        <f t="array" ref="C675">IF(
  AND(ISNUMBER(SEARCH("加工品",SUBSTITUTE(A675,"　"," "))), ISNUMBER(SEARCH("ベビーリーフ",SUBSTITUTE(A675,"　"," ")))),
  "ベビーリーフ（加工品）",
  IFERROR(
    INDEX($I$2:$I$10, MATCH(TRUE, ISNUMBER(SEARCH($H$2:$H$10, SUBSTITUTE(A675,"　"," "))), 0)),
    TRIM(SUBSTITUTE(A675,"　"," "))
  )
)</f>
        <v>ロロロッサ</v>
      </c>
      <c r="D675">
        <f t="shared" si="11"/>
        <v>800</v>
      </c>
    </row>
    <row r="676" spans="1:4">
      <c r="A676" t="s">
        <v>11</v>
      </c>
      <c r="B676">
        <v>200</v>
      </c>
      <c r="C676" t="str" cm="1">
        <f t="array" ref="C676">IF(
  AND(ISNUMBER(SEARCH("加工品",SUBSTITUTE(A676,"　"," "))), ISNUMBER(SEARCH("ベビーリーフ",SUBSTITUTE(A676,"　"," ")))),
  "ベビーリーフ（加工品）",
  IFERROR(
    INDEX($I$2:$I$10, MATCH(TRUE, ISNUMBER(SEARCH($H$2:$H$10, SUBSTITUTE(A676,"　"," "))), 0)),
    TRIM(SUBSTITUTE(A676,"　"," "))
  )
)</f>
        <v>レッドオーク</v>
      </c>
      <c r="D676">
        <f t="shared" si="11"/>
        <v>200</v>
      </c>
    </row>
    <row r="677" spans="1:4">
      <c r="A677" t="s">
        <v>9</v>
      </c>
      <c r="B677">
        <v>900</v>
      </c>
      <c r="C677" t="str" cm="1">
        <f t="array" ref="C677">IF(
  AND(ISNUMBER(SEARCH("加工品",SUBSTITUTE(A677,"　"," "))), ISNUMBER(SEARCH("ベビーリーフ",SUBSTITUTE(A677,"　"," ")))),
  "ベビーリーフ（加工品）",
  IFERROR(
    INDEX($I$2:$I$10, MATCH(TRUE, ISNUMBER(SEARCH($H$2:$H$10, SUBSTITUTE(A677,"　"," "))), 0)),
    TRIM(SUBSTITUTE(A677,"　"," "))
  )
)</f>
        <v>ロロロッサ</v>
      </c>
      <c r="D677">
        <f t="shared" si="11"/>
        <v>900</v>
      </c>
    </row>
    <row r="678" spans="1:4">
      <c r="A678" t="s">
        <v>9</v>
      </c>
      <c r="B678">
        <v>200</v>
      </c>
      <c r="C678" t="str" cm="1">
        <f t="array" ref="C678">IF(
  AND(ISNUMBER(SEARCH("加工品",SUBSTITUTE(A678,"　"," "))), ISNUMBER(SEARCH("ベビーリーフ",SUBSTITUTE(A678,"　"," ")))),
  "ベビーリーフ（加工品）",
  IFERROR(
    INDEX($I$2:$I$10, MATCH(TRUE, ISNUMBER(SEARCH($H$2:$H$10, SUBSTITUTE(A678,"　"," "))), 0)),
    TRIM(SUBSTITUTE(A678,"　"," "))
  )
)</f>
        <v>ロロロッサ</v>
      </c>
      <c r="D678">
        <f t="shared" si="11"/>
        <v>200</v>
      </c>
    </row>
    <row r="679" spans="1:4">
      <c r="A679" t="s">
        <v>9</v>
      </c>
      <c r="B679">
        <v>100</v>
      </c>
      <c r="C679" t="str" cm="1">
        <f t="array" ref="C679">IF(
  AND(ISNUMBER(SEARCH("加工品",SUBSTITUTE(A679,"　"," "))), ISNUMBER(SEARCH("ベビーリーフ",SUBSTITUTE(A679,"　"," ")))),
  "ベビーリーフ（加工品）",
  IFERROR(
    INDEX($I$2:$I$10, MATCH(TRUE, ISNUMBER(SEARCH($H$2:$H$10, SUBSTITUTE(A679,"　"," "))), 0)),
    TRIM(SUBSTITUTE(A679,"　"," "))
  )
)</f>
        <v>ロロロッサ</v>
      </c>
      <c r="D679">
        <f t="shared" si="11"/>
        <v>100</v>
      </c>
    </row>
    <row r="680" spans="1:4">
      <c r="A680" t="s">
        <v>9</v>
      </c>
      <c r="B680">
        <v>200</v>
      </c>
      <c r="C680" t="str" cm="1">
        <f t="array" ref="C680">IF(
  AND(ISNUMBER(SEARCH("加工品",SUBSTITUTE(A680,"　"," "))), ISNUMBER(SEARCH("ベビーリーフ",SUBSTITUTE(A680,"　"," ")))),
  "ベビーリーフ（加工品）",
  IFERROR(
    INDEX($I$2:$I$10, MATCH(TRUE, ISNUMBER(SEARCH($H$2:$H$10, SUBSTITUTE(A680,"　"," "))), 0)),
    TRIM(SUBSTITUTE(A680,"　"," "))
  )
)</f>
        <v>ロロロッサ</v>
      </c>
      <c r="D680">
        <f t="shared" si="11"/>
        <v>200</v>
      </c>
    </row>
    <row r="681" spans="1:4">
      <c r="A681" t="s">
        <v>9</v>
      </c>
      <c r="B681">
        <v>400</v>
      </c>
      <c r="C681" t="str" cm="1">
        <f t="array" ref="C681">IF(
  AND(ISNUMBER(SEARCH("加工品",SUBSTITUTE(A681,"　"," "))), ISNUMBER(SEARCH("ベビーリーフ",SUBSTITUTE(A681,"　"," ")))),
  "ベビーリーフ（加工品）",
  IFERROR(
    INDEX($I$2:$I$10, MATCH(TRUE, ISNUMBER(SEARCH($H$2:$H$10, SUBSTITUTE(A681,"　"," "))), 0)),
    TRIM(SUBSTITUTE(A681,"　"," "))
  )
)</f>
        <v>ロロロッサ</v>
      </c>
      <c r="D681">
        <f t="shared" si="11"/>
        <v>400</v>
      </c>
    </row>
    <row r="682" spans="1:4">
      <c r="A682" t="s">
        <v>14</v>
      </c>
      <c r="B682">
        <v>100</v>
      </c>
      <c r="C682" t="str" cm="1">
        <f t="array" ref="C682">IF(
  AND(ISNUMBER(SEARCH("加工品",SUBSTITUTE(A682,"　"," "))), ISNUMBER(SEARCH("ベビーリーフ",SUBSTITUTE(A682,"　"," ")))),
  "ベビーリーフ（加工品）",
  IFERROR(
    INDEX($I$2:$I$10, MATCH(TRUE, ISNUMBER(SEARCH($H$2:$H$10, SUBSTITUTE(A682,"　"," "))), 0)),
    TRIM(SUBSTITUTE(A682,"　"," "))
  )
)</f>
        <v>アマランサス</v>
      </c>
      <c r="D682">
        <f t="shared" si="11"/>
        <v>100</v>
      </c>
    </row>
    <row r="683" spans="1:4">
      <c r="A683" t="s">
        <v>11</v>
      </c>
      <c r="B683">
        <v>200</v>
      </c>
      <c r="C683" t="str" cm="1">
        <f t="array" ref="C683">IF(
  AND(ISNUMBER(SEARCH("加工品",SUBSTITUTE(A683,"　"," "))), ISNUMBER(SEARCH("ベビーリーフ",SUBSTITUTE(A683,"　"," ")))),
  "ベビーリーフ（加工品）",
  IFERROR(
    INDEX($I$2:$I$10, MATCH(TRUE, ISNUMBER(SEARCH($H$2:$H$10, SUBSTITUTE(A683,"　"," "))), 0)),
    TRIM(SUBSTITUTE(A683,"　"," "))
  )
)</f>
        <v>レッドオーク</v>
      </c>
      <c r="D683">
        <f t="shared" si="11"/>
        <v>200</v>
      </c>
    </row>
    <row r="684" spans="1:4">
      <c r="A684" t="s">
        <v>9</v>
      </c>
      <c r="B684">
        <v>500</v>
      </c>
      <c r="C684" t="str" cm="1">
        <f t="array" ref="C684">IF(
  AND(ISNUMBER(SEARCH("加工品",SUBSTITUTE(A684,"　"," "))), ISNUMBER(SEARCH("ベビーリーフ",SUBSTITUTE(A684,"　"," ")))),
  "ベビーリーフ（加工品）",
  IFERROR(
    INDEX($I$2:$I$10, MATCH(TRUE, ISNUMBER(SEARCH($H$2:$H$10, SUBSTITUTE(A684,"　"," "))), 0)),
    TRIM(SUBSTITUTE(A684,"　"," "))
  )
)</f>
        <v>ロロロッサ</v>
      </c>
      <c r="D684">
        <f t="shared" si="11"/>
        <v>500</v>
      </c>
    </row>
    <row r="685" spans="1:4">
      <c r="A685" t="s">
        <v>11</v>
      </c>
      <c r="B685">
        <v>400</v>
      </c>
      <c r="C685" t="str" cm="1">
        <f t="array" ref="C685">IF(
  AND(ISNUMBER(SEARCH("加工品",SUBSTITUTE(A685,"　"," "))), ISNUMBER(SEARCH("ベビーリーフ",SUBSTITUTE(A685,"　"," ")))),
  "ベビーリーフ（加工品）",
  IFERROR(
    INDEX($I$2:$I$10, MATCH(TRUE, ISNUMBER(SEARCH($H$2:$H$10, SUBSTITUTE(A685,"　"," "))), 0)),
    TRIM(SUBSTITUTE(A685,"　"," "))
  )
)</f>
        <v>レッドオーク</v>
      </c>
      <c r="D685">
        <f t="shared" si="11"/>
        <v>400</v>
      </c>
    </row>
    <row r="686" spans="1:4">
      <c r="A686" t="s">
        <v>9</v>
      </c>
      <c r="B686">
        <v>200</v>
      </c>
      <c r="C686" t="str" cm="1">
        <f t="array" ref="C686">IF(
  AND(ISNUMBER(SEARCH("加工品",SUBSTITUTE(A686,"　"," "))), ISNUMBER(SEARCH("ベビーリーフ",SUBSTITUTE(A686,"　"," ")))),
  "ベビーリーフ（加工品）",
  IFERROR(
    INDEX($I$2:$I$10, MATCH(TRUE, ISNUMBER(SEARCH($H$2:$H$10, SUBSTITUTE(A686,"　"," "))), 0)),
    TRIM(SUBSTITUTE(A686,"　"," "))
  )
)</f>
        <v>ロロロッサ</v>
      </c>
      <c r="D686">
        <f t="shared" si="11"/>
        <v>200</v>
      </c>
    </row>
    <row r="687" spans="1:4">
      <c r="A687" t="s">
        <v>11</v>
      </c>
      <c r="B687">
        <v>700</v>
      </c>
      <c r="C687" t="str" cm="1">
        <f t="array" ref="C687">IF(
  AND(ISNUMBER(SEARCH("加工品",SUBSTITUTE(A687,"　"," "))), ISNUMBER(SEARCH("ベビーリーフ",SUBSTITUTE(A687,"　"," ")))),
  "ベビーリーフ（加工品）",
  IFERROR(
    INDEX($I$2:$I$10, MATCH(TRUE, ISNUMBER(SEARCH($H$2:$H$10, SUBSTITUTE(A687,"　"," "))), 0)),
    TRIM(SUBSTITUTE(A687,"　"," "))
  )
)</f>
        <v>レッドオーク</v>
      </c>
      <c r="D687">
        <f t="shared" si="11"/>
        <v>700</v>
      </c>
    </row>
    <row r="688" spans="1:4">
      <c r="A688" t="s">
        <v>9</v>
      </c>
      <c r="B688">
        <v>600</v>
      </c>
      <c r="C688" t="str" cm="1">
        <f t="array" ref="C688">IF(
  AND(ISNUMBER(SEARCH("加工品",SUBSTITUTE(A688,"　"," "))), ISNUMBER(SEARCH("ベビーリーフ",SUBSTITUTE(A688,"　"," ")))),
  "ベビーリーフ（加工品）",
  IFERROR(
    INDEX($I$2:$I$10, MATCH(TRUE, ISNUMBER(SEARCH($H$2:$H$10, SUBSTITUTE(A688,"　"," "))), 0)),
    TRIM(SUBSTITUTE(A688,"　"," "))
  )
)</f>
        <v>ロロロッサ</v>
      </c>
      <c r="D688">
        <f t="shared" si="11"/>
        <v>600</v>
      </c>
    </row>
    <row r="689" spans="1:4">
      <c r="A689" t="s">
        <v>9</v>
      </c>
      <c r="B689">
        <v>700</v>
      </c>
      <c r="C689" t="str" cm="1">
        <f t="array" ref="C689">IF(
  AND(ISNUMBER(SEARCH("加工品",SUBSTITUTE(A689,"　"," "))), ISNUMBER(SEARCH("ベビーリーフ",SUBSTITUTE(A689,"　"," ")))),
  "ベビーリーフ（加工品）",
  IFERROR(
    INDEX($I$2:$I$10, MATCH(TRUE, ISNUMBER(SEARCH($H$2:$H$10, SUBSTITUTE(A689,"　"," "))), 0)),
    TRIM(SUBSTITUTE(A689,"　"," "))
  )
)</f>
        <v>ロロロッサ</v>
      </c>
      <c r="D689">
        <f t="shared" si="11"/>
        <v>700</v>
      </c>
    </row>
    <row r="690" spans="1:4">
      <c r="A690" t="s">
        <v>9</v>
      </c>
      <c r="B690">
        <v>200</v>
      </c>
      <c r="C690" t="str" cm="1">
        <f t="array" ref="C690">IF(
  AND(ISNUMBER(SEARCH("加工品",SUBSTITUTE(A690,"　"," "))), ISNUMBER(SEARCH("ベビーリーフ",SUBSTITUTE(A690,"　"," ")))),
  "ベビーリーフ（加工品）",
  IFERROR(
    INDEX($I$2:$I$10, MATCH(TRUE, ISNUMBER(SEARCH($H$2:$H$10, SUBSTITUTE(A690,"　"," "))), 0)),
    TRIM(SUBSTITUTE(A690,"　"," "))
  )
)</f>
        <v>ロロロッサ</v>
      </c>
      <c r="D690">
        <f t="shared" si="11"/>
        <v>200</v>
      </c>
    </row>
    <row r="691" spans="1:4">
      <c r="A691" t="s">
        <v>11</v>
      </c>
      <c r="B691">
        <v>600</v>
      </c>
      <c r="C691" t="str" cm="1">
        <f t="array" ref="C691">IF(
  AND(ISNUMBER(SEARCH("加工品",SUBSTITUTE(A691,"　"," "))), ISNUMBER(SEARCH("ベビーリーフ",SUBSTITUTE(A691,"　"," ")))),
  "ベビーリーフ（加工品）",
  IFERROR(
    INDEX($I$2:$I$10, MATCH(TRUE, ISNUMBER(SEARCH($H$2:$H$10, SUBSTITUTE(A691,"　"," "))), 0)),
    TRIM(SUBSTITUTE(A691,"　"," "))
  )
)</f>
        <v>レッドオーク</v>
      </c>
      <c r="D691">
        <f t="shared" si="11"/>
        <v>600</v>
      </c>
    </row>
    <row r="692" spans="1:4">
      <c r="A692" t="s">
        <v>9</v>
      </c>
      <c r="B692">
        <v>200</v>
      </c>
      <c r="C692" t="str" cm="1">
        <f t="array" ref="C692">IF(
  AND(ISNUMBER(SEARCH("加工品",SUBSTITUTE(A692,"　"," "))), ISNUMBER(SEARCH("ベビーリーフ",SUBSTITUTE(A692,"　"," ")))),
  "ベビーリーフ（加工品）",
  IFERROR(
    INDEX($I$2:$I$10, MATCH(TRUE, ISNUMBER(SEARCH($H$2:$H$10, SUBSTITUTE(A692,"　"," "))), 0)),
    TRIM(SUBSTITUTE(A692,"　"," "))
  )
)</f>
        <v>ロロロッサ</v>
      </c>
      <c r="D692">
        <f t="shared" si="11"/>
        <v>200</v>
      </c>
    </row>
    <row r="693" spans="1:4">
      <c r="A693" t="s">
        <v>11</v>
      </c>
      <c r="B693">
        <v>900</v>
      </c>
      <c r="C693" t="str" cm="1">
        <f t="array" ref="C693">IF(
  AND(ISNUMBER(SEARCH("加工品",SUBSTITUTE(A693,"　"," "))), ISNUMBER(SEARCH("ベビーリーフ",SUBSTITUTE(A693,"　"," ")))),
  "ベビーリーフ（加工品）",
  IFERROR(
    INDEX($I$2:$I$10, MATCH(TRUE, ISNUMBER(SEARCH($H$2:$H$10, SUBSTITUTE(A693,"　"," "))), 0)),
    TRIM(SUBSTITUTE(A693,"　"," "))
  )
)</f>
        <v>レッドオーク</v>
      </c>
      <c r="D693">
        <f t="shared" si="11"/>
        <v>900</v>
      </c>
    </row>
    <row r="694" spans="1:4">
      <c r="A694" t="s">
        <v>9</v>
      </c>
      <c r="B694">
        <v>900</v>
      </c>
      <c r="C694" t="str" cm="1">
        <f t="array" ref="C694">IF(
  AND(ISNUMBER(SEARCH("加工品",SUBSTITUTE(A694,"　"," "))), ISNUMBER(SEARCH("ベビーリーフ",SUBSTITUTE(A694,"　"," ")))),
  "ベビーリーフ（加工品）",
  IFERROR(
    INDEX($I$2:$I$10, MATCH(TRUE, ISNUMBER(SEARCH($H$2:$H$10, SUBSTITUTE(A694,"　"," "))), 0)),
    TRIM(SUBSTITUTE(A694,"　"," "))
  )
)</f>
        <v>ロロロッサ</v>
      </c>
      <c r="D694">
        <f t="shared" si="11"/>
        <v>900</v>
      </c>
    </row>
    <row r="695" spans="1:4">
      <c r="A695" t="s">
        <v>9</v>
      </c>
      <c r="B695">
        <v>600</v>
      </c>
      <c r="C695" t="str" cm="1">
        <f t="array" ref="C695">IF(
  AND(ISNUMBER(SEARCH("加工品",SUBSTITUTE(A695,"　"," "))), ISNUMBER(SEARCH("ベビーリーフ",SUBSTITUTE(A695,"　"," ")))),
  "ベビーリーフ（加工品）",
  IFERROR(
    INDEX($I$2:$I$10, MATCH(TRUE, ISNUMBER(SEARCH($H$2:$H$10, SUBSTITUTE(A695,"　"," "))), 0)),
    TRIM(SUBSTITUTE(A695,"　"," "))
  )
)</f>
        <v>ロロロッサ</v>
      </c>
      <c r="D695">
        <f t="shared" si="11"/>
        <v>600</v>
      </c>
    </row>
    <row r="696" spans="1:4">
      <c r="A696" t="s">
        <v>11</v>
      </c>
      <c r="B696">
        <v>500</v>
      </c>
      <c r="C696" t="str" cm="1">
        <f t="array" ref="C696">IF(
  AND(ISNUMBER(SEARCH("加工品",SUBSTITUTE(A696,"　"," "))), ISNUMBER(SEARCH("ベビーリーフ",SUBSTITUTE(A696,"　"," ")))),
  "ベビーリーフ（加工品）",
  IFERROR(
    INDEX($I$2:$I$10, MATCH(TRUE, ISNUMBER(SEARCH($H$2:$H$10, SUBSTITUTE(A696,"　"," "))), 0)),
    TRIM(SUBSTITUTE(A696,"　"," "))
  )
)</f>
        <v>レッドオーク</v>
      </c>
      <c r="D696">
        <f t="shared" si="11"/>
        <v>500</v>
      </c>
    </row>
  </sheetData>
  <phoneticPr fontId="1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19795-3AFE-4EB8-A15C-456AC1E25617}">
  <dimension ref="A1:S806"/>
  <sheetViews>
    <sheetView tabSelected="1" topLeftCell="J772" zoomScale="53" zoomScaleNormal="70" workbookViewId="0">
      <selection activeCell="S805" sqref="S805"/>
    </sheetView>
  </sheetViews>
  <sheetFormatPr defaultRowHeight="18"/>
  <cols>
    <col min="1" max="1" width="12.83203125" style="2" bestFit="1" customWidth="1"/>
    <col min="2" max="2" width="4.6640625" bestFit="1" customWidth="1"/>
    <col min="3" max="3" width="9.33203125" bestFit="1" customWidth="1"/>
    <col min="4" max="4" width="29.33203125" bestFit="1" customWidth="1"/>
    <col min="5" max="5" width="22.75" bestFit="1" customWidth="1"/>
    <col min="6" max="6" width="5.6640625" customWidth="1"/>
    <col min="7" max="7" width="3" style="3" bestFit="1" customWidth="1"/>
    <col min="8" max="8" width="11.08203125" bestFit="1" customWidth="1"/>
    <col min="9" max="9" width="35.9140625" bestFit="1" customWidth="1"/>
    <col min="10" max="10" width="27.9140625" bestFit="1" customWidth="1"/>
    <col min="11" max="12" width="5.6640625" customWidth="1"/>
    <col min="13" max="13" width="24.33203125" bestFit="1" customWidth="1"/>
    <col min="14" max="14" width="23.75" bestFit="1" customWidth="1"/>
    <col min="15" max="15" width="45" bestFit="1" customWidth="1"/>
    <col min="16" max="16" width="21.1640625" bestFit="1" customWidth="1"/>
    <col min="17" max="17" width="53.9140625" bestFit="1" customWidth="1"/>
    <col min="18" max="18" width="36.1640625" bestFit="1" customWidth="1"/>
    <col min="19" max="19" width="5.6640625" bestFit="1" customWidth="1"/>
  </cols>
  <sheetData>
    <row r="1" spans="1:19" s="5" customFormat="1" ht="26.5">
      <c r="A1" s="4" t="s">
        <v>53</v>
      </c>
      <c r="G1" s="6"/>
      <c r="H1" s="5" t="s">
        <v>54</v>
      </c>
      <c r="M1" s="5" t="s">
        <v>30</v>
      </c>
      <c r="N1" s="5" t="s">
        <v>31</v>
      </c>
      <c r="P1" s="5" t="s">
        <v>55</v>
      </c>
    </row>
    <row r="2" spans="1:19">
      <c r="A2"/>
      <c r="G2"/>
      <c r="I2" s="10"/>
      <c r="J2" s="10"/>
      <c r="K2" s="11"/>
      <c r="M2" t="s">
        <v>32</v>
      </c>
      <c r="N2" t="s">
        <v>74</v>
      </c>
      <c r="O2" cm="1">
        <f t="array" ref="O2">_xlfn.LET(
_xlpm.corp,$I2,_xlpm.key,$M$2:$M$200,_xlpm.name,$N$2:$N$200,_xlpm.hits,_xlfn._xlws.FILTER(_xlpm.name,ISNUMBER(SEARCH(_xlpm.key,_xlpm.corp))),
IFERROR(INDEX(_xlpm.hits,1),_xlpm.corp))</f>
        <v>0</v>
      </c>
      <c r="P2" t="str">
        <f>IFERROR(TEXT(DATEVALUE(SUBSTITUTE(SUBSTITUTE(H2,".","/"),"-","/")),"yyyy-mm-dd"),
TEXT(H2,"yyyy-mm-dd"))</f>
        <v>1900-01-00</v>
      </c>
      <c r="Q2" t="str">
        <f>_xlfn.LET(
  _xlpm.corp, $O2,
  _xlpm.crop, $J2,
  _xlpm.suffix,
    IF(ISNUMBER(SEARCH("加工", _xlpm.crop)),      "/加工BL",
    IF(ISNUMBER(SEARCH("ミニトマト", _xlpm.crop)),"/ミニトマト",
    IF(ISNUMBER(SEARCH("イチゴ", _xlpm.crop)),    "/イチゴ",
    IF(ISNUMBER(SEARCH("ベビーリーフ",_xlpm.crop)),"",
       "/葉物野菜"
    )))),
  _xlpm.corp &amp; _xlpm.suffix
)</f>
        <v>0/葉物野菜</v>
      </c>
      <c r="R2" t="str">
        <f t="shared" ref="R2:R7" si="0">IF(
  AND(ISNUMBER(SEARCH("加工品",SUBSTITUTE(J2,"　"," "))),ISNUMBER(SEARCH("ベビーリーフ",SUBSTITUTE(J2,"　"," ")))),
  "加工BL",
  IF(LEFT(TRIM(SUBSTITUTE(J2,"　"," ")),5)="ベビーリーフ",
     "BL"&amp;TRIM(MID(TRIM(SUBSTITUTE(J2,"　"," ")),FIND(" ",TRIM(SUBSTITUTE(J2,"　"," "))&amp;" ")+1,255)),
     TRIM(SUBSTITUTE(J2,"　"," "))
  )
)</f>
        <v/>
      </c>
      <c r="S2" t="str">
        <f>IF(K2="", "", --SUBSTITUTE(K2, ",", ""))</f>
        <v/>
      </c>
    </row>
    <row r="3" spans="1:19">
      <c r="A3"/>
      <c r="G3"/>
      <c r="H3" s="9">
        <v>46052</v>
      </c>
      <c r="I3" s="10" t="s">
        <v>57</v>
      </c>
      <c r="J3" s="10" t="s">
        <v>3</v>
      </c>
      <c r="K3" s="11">
        <v>100</v>
      </c>
      <c r="M3" t="s">
        <v>33</v>
      </c>
      <c r="N3" t="s">
        <v>75</v>
      </c>
      <c r="O3" t="str" cm="1">
        <f t="array" ref="O3">_xlfn.LET(
_xlpm.corp,$I3,_xlpm.key,$M$2:$M$200,_xlpm.name,$N$2:$N$200,_xlpm.hits,_xlfn._xlws.FILTER(_xlpm.name,ISNUMBER(SEARCH(_xlpm.key,_xlpm.corp))),
IFERROR(INDEX(_xlpm.hits,1),_xlpm.corp))</f>
        <v>QB</v>
      </c>
      <c r="P3" t="str">
        <f t="shared" ref="P3:P7" si="1">IFERROR(TEXT(DATEVALUE(SUBSTITUTE(SUBSTITUTE(H3,".","/"),"-","/")),"yyyy-mm-dd"),
TEXT(H3,"yyyy-mm-dd"))</f>
        <v>2026-01-30</v>
      </c>
      <c r="Q3" t="str">
        <f t="shared" ref="Q3:Q66" si="2">_xlfn.LET(
  _xlpm.corp, $O3,
  _xlpm.crop, $J3,
  _xlpm.suffix,
    IF(ISNUMBER(SEARCH("加工", _xlpm.crop)),      "/加工BL",
    IF(ISNUMBER(SEARCH("ミニトマト", _xlpm.crop)),"/ミニトマト",
    IF(ISNUMBER(SEARCH("イチゴ", _xlpm.crop)),    "/イチゴ",
    IF(ISNUMBER(SEARCH("ベビーリーフ",_xlpm.crop)),"",
       "/葉物野菜"
    )))),
  _xlpm.corp &amp; _xlpm.suffix
)</f>
        <v>QB/加工BL</v>
      </c>
      <c r="R3" t="str">
        <f t="shared" si="0"/>
        <v>加工BL</v>
      </c>
      <c r="S3">
        <f t="shared" ref="S3:S7" si="3">IF(K3="", "", --SUBSTITUTE(K3, ",", ""))</f>
        <v>100</v>
      </c>
    </row>
    <row r="4" spans="1:19">
      <c r="A4" s="7">
        <v>73479</v>
      </c>
      <c r="B4" s="8" t="s">
        <v>23</v>
      </c>
      <c r="C4" s="9">
        <v>46052</v>
      </c>
      <c r="D4" s="10" t="s">
        <v>57</v>
      </c>
      <c r="E4" s="10" t="s">
        <v>3</v>
      </c>
      <c r="F4" s="11">
        <v>100</v>
      </c>
      <c r="G4" s="12" t="s">
        <v>24</v>
      </c>
      <c r="H4" s="15">
        <v>46052</v>
      </c>
      <c r="I4" s="16" t="s">
        <v>57</v>
      </c>
      <c r="J4" s="16" t="s">
        <v>2</v>
      </c>
      <c r="K4" s="17">
        <v>240</v>
      </c>
      <c r="M4" t="s">
        <v>34</v>
      </c>
      <c r="N4" t="s">
        <v>76</v>
      </c>
      <c r="O4" t="str" cm="1">
        <f t="array" ref="O4">_xlfn.LET(
_xlpm.corp,$I4,_xlpm.key,$M$2:$M$200,_xlpm.name,$N$2:$N$200,_xlpm.hits,_xlfn._xlws.FILTER(_xlpm.name,ISNUMBER(SEARCH(_xlpm.key,_xlpm.corp))),
IFERROR(INDEX(_xlpm.hits,1),_xlpm.corp))</f>
        <v>QB</v>
      </c>
      <c r="P4" t="str">
        <f t="shared" si="1"/>
        <v>2026-01-30</v>
      </c>
      <c r="Q4" t="str">
        <f t="shared" si="2"/>
        <v>QB</v>
      </c>
      <c r="R4" t="str">
        <f t="shared" si="0"/>
        <v>ベビーリーフ グリーンオーク</v>
      </c>
      <c r="S4">
        <f t="shared" si="3"/>
        <v>240</v>
      </c>
    </row>
    <row r="5" spans="1:19">
      <c r="A5" s="13">
        <v>73478</v>
      </c>
      <c r="B5" s="14" t="s">
        <v>23</v>
      </c>
      <c r="C5" s="15">
        <v>46052</v>
      </c>
      <c r="D5" s="16" t="s">
        <v>57</v>
      </c>
      <c r="E5" s="16" t="s">
        <v>2</v>
      </c>
      <c r="F5" s="17">
        <v>240</v>
      </c>
      <c r="G5" s="18" t="s">
        <v>24</v>
      </c>
      <c r="H5" s="9">
        <v>46052</v>
      </c>
      <c r="I5" s="10" t="s">
        <v>57</v>
      </c>
      <c r="J5" s="10" t="s">
        <v>4</v>
      </c>
      <c r="K5" s="11">
        <v>180</v>
      </c>
      <c r="M5" t="s">
        <v>35</v>
      </c>
      <c r="N5" t="s">
        <v>77</v>
      </c>
      <c r="O5" t="str" cm="1">
        <f t="array" ref="O5">_xlfn.LET(
_xlpm.corp,$I5,_xlpm.key,$M$2:$M$200,_xlpm.name,$N$2:$N$200,_xlpm.hits,_xlfn._xlws.FILTER(_xlpm.name,ISNUMBER(SEARCH(_xlpm.key,_xlpm.corp))),
IFERROR(INDEX(_xlpm.hits,1),_xlpm.corp))</f>
        <v>QB</v>
      </c>
      <c r="P5" t="str">
        <f t="shared" si="1"/>
        <v>2026-01-30</v>
      </c>
      <c r="Q5" t="str">
        <f t="shared" si="2"/>
        <v>QB</v>
      </c>
      <c r="R5" t="str">
        <f t="shared" si="0"/>
        <v>ベビーリーフ ピノグリーン</v>
      </c>
      <c r="S5">
        <f t="shared" si="3"/>
        <v>180</v>
      </c>
    </row>
    <row r="6" spans="1:19">
      <c r="A6" s="7">
        <v>73477</v>
      </c>
      <c r="B6" s="8" t="s">
        <v>23</v>
      </c>
      <c r="C6" s="9">
        <v>46052</v>
      </c>
      <c r="D6" s="10" t="s">
        <v>57</v>
      </c>
      <c r="E6" s="10" t="s">
        <v>4</v>
      </c>
      <c r="F6" s="11">
        <v>180</v>
      </c>
      <c r="G6" s="12" t="s">
        <v>24</v>
      </c>
      <c r="H6" s="15">
        <v>46052</v>
      </c>
      <c r="I6" s="16" t="s">
        <v>69</v>
      </c>
      <c r="J6" s="16" t="s">
        <v>3</v>
      </c>
      <c r="K6" s="19">
        <v>1300</v>
      </c>
      <c r="M6" t="s">
        <v>36</v>
      </c>
      <c r="N6" t="s">
        <v>78</v>
      </c>
      <c r="O6" t="str" cm="1">
        <f t="array" ref="O6">_xlfn.LET(
_xlpm.corp,$I6,_xlpm.key,$M$2:$M$200,_xlpm.name,$N$2:$N$200,_xlpm.hits,_xlfn._xlws.FILTER(_xlpm.name,ISNUMBER(SEARCH(_xlpm.key,_xlpm.corp))),
IFERROR(INDEX(_xlpm.hits,1),_xlpm.corp))</f>
        <v>バリュエンス</v>
      </c>
      <c r="P6" t="str">
        <f t="shared" si="1"/>
        <v>2026-01-30</v>
      </c>
      <c r="Q6" t="str">
        <f t="shared" si="2"/>
        <v>バリュエンス/加工BL</v>
      </c>
      <c r="R6" t="str">
        <f t="shared" si="0"/>
        <v>加工BL</v>
      </c>
      <c r="S6">
        <f t="shared" si="3"/>
        <v>1300</v>
      </c>
    </row>
    <row r="7" spans="1:19">
      <c r="A7" s="13">
        <v>73476</v>
      </c>
      <c r="B7" s="14" t="s">
        <v>23</v>
      </c>
      <c r="C7" s="15">
        <v>46052</v>
      </c>
      <c r="D7" s="16" t="s">
        <v>69</v>
      </c>
      <c r="E7" s="16" t="s">
        <v>3</v>
      </c>
      <c r="F7" s="19">
        <v>1300</v>
      </c>
      <c r="G7" s="18" t="s">
        <v>24</v>
      </c>
      <c r="H7" s="9">
        <v>46052</v>
      </c>
      <c r="I7" s="10" t="s">
        <v>67</v>
      </c>
      <c r="J7" s="10" t="s">
        <v>2</v>
      </c>
      <c r="K7" s="11">
        <v>220</v>
      </c>
      <c r="M7" t="s">
        <v>37</v>
      </c>
      <c r="N7" t="s">
        <v>79</v>
      </c>
      <c r="O7" t="str" cm="1">
        <f t="array" ref="O7">_xlfn.LET(
_xlpm.corp,$I7,_xlpm.key,$M$2:$M$200,_xlpm.name,$N$2:$N$200,_xlpm.hits,_xlfn._xlws.FILTER(_xlpm.name,ISNUMBER(SEARCH(_xlpm.key,_xlpm.corp))),
IFERROR(INDEX(_xlpm.hits,1),_xlpm.corp))</f>
        <v>日本ロレアル</v>
      </c>
      <c r="P7" t="str">
        <f t="shared" si="1"/>
        <v>2026-01-30</v>
      </c>
      <c r="Q7" t="str">
        <f t="shared" si="2"/>
        <v>日本ロレアル</v>
      </c>
      <c r="R7" t="str">
        <f t="shared" si="0"/>
        <v>ベビーリーフ グリーンオーク</v>
      </c>
      <c r="S7">
        <f t="shared" si="3"/>
        <v>220</v>
      </c>
    </row>
    <row r="8" spans="1:19">
      <c r="A8" s="7">
        <v>73475</v>
      </c>
      <c r="B8" s="8" t="s">
        <v>23</v>
      </c>
      <c r="C8" s="9">
        <v>46052</v>
      </c>
      <c r="D8" s="10" t="s">
        <v>67</v>
      </c>
      <c r="E8" s="10" t="s">
        <v>2</v>
      </c>
      <c r="F8" s="11">
        <v>220</v>
      </c>
      <c r="G8" s="12" t="s">
        <v>24</v>
      </c>
      <c r="H8" s="15">
        <v>46052</v>
      </c>
      <c r="I8" s="16" t="s">
        <v>69</v>
      </c>
      <c r="J8" s="16" t="s">
        <v>9</v>
      </c>
      <c r="K8" s="17">
        <v>640</v>
      </c>
      <c r="M8" t="s">
        <v>50</v>
      </c>
      <c r="N8" t="s">
        <v>80</v>
      </c>
      <c r="O8" t="str" cm="1">
        <f t="array" ref="O8">_xlfn.LET(
_xlpm.corp,$I8,_xlpm.key,$M$2:$M$200,_xlpm.name,$N$2:$N$200,_xlpm.hits,_xlfn._xlws.FILTER(_xlpm.name,ISNUMBER(SEARCH(_xlpm.key,_xlpm.corp))),
IFERROR(INDEX(_xlpm.hits,1),_xlpm.corp))</f>
        <v>バリュエンス</v>
      </c>
      <c r="P8" t="str">
        <f t="shared" ref="P8:P66" si="4">IFERROR(TEXT(DATEVALUE(SUBSTITUTE(SUBSTITUTE(H8,".","/"),"-","/")),"yyyy-mm-dd"),
TEXT(H8,"yyyy-mm-dd"))</f>
        <v>2026-01-30</v>
      </c>
      <c r="Q8" t="str">
        <f t="shared" si="2"/>
        <v>バリュエンス</v>
      </c>
      <c r="R8" t="str">
        <f t="shared" ref="R8:R66" si="5">IF(
  AND(ISNUMBER(SEARCH("加工品",SUBSTITUTE(J8,"　"," "))),ISNUMBER(SEARCH("ベビーリーフ",SUBSTITUTE(J8,"　"," ")))),
  "加工BL",
  IF(LEFT(TRIM(SUBSTITUTE(J8,"　"," ")),5)="ベビーリーフ",
     "BL"&amp;TRIM(MID(TRIM(SUBSTITUTE(J8,"　"," ")),FIND(" ",TRIM(SUBSTITUTE(J8,"　"," "))&amp;" ")+1,255)),
     TRIM(SUBSTITUTE(J8,"　"," "))
  )
)</f>
        <v>ベビーリーフ ロロロッサ</v>
      </c>
      <c r="S8">
        <f t="shared" ref="S8:S66" si="6">IF(K8="", "", --SUBSTITUTE(K8, ",", ""))</f>
        <v>640</v>
      </c>
    </row>
    <row r="9" spans="1:19">
      <c r="A9" s="13">
        <v>73474</v>
      </c>
      <c r="B9" s="14" t="s">
        <v>23</v>
      </c>
      <c r="C9" s="15">
        <v>46052</v>
      </c>
      <c r="D9" s="16" t="s">
        <v>69</v>
      </c>
      <c r="E9" s="16" t="s">
        <v>9</v>
      </c>
      <c r="F9" s="17">
        <v>640</v>
      </c>
      <c r="G9" s="18" t="s">
        <v>24</v>
      </c>
      <c r="H9" s="9">
        <v>46052</v>
      </c>
      <c r="I9" s="10" t="s">
        <v>57</v>
      </c>
      <c r="J9" s="10" t="s">
        <v>3</v>
      </c>
      <c r="K9" s="11">
        <v>120</v>
      </c>
      <c r="M9" t="s">
        <v>38</v>
      </c>
      <c r="N9" t="s">
        <v>82</v>
      </c>
      <c r="O9" t="str" cm="1">
        <f t="array" ref="O9">_xlfn.LET(
_xlpm.corp,$I9,_xlpm.key,$M$2:$M$200,_xlpm.name,$N$2:$N$200,_xlpm.hits,_xlfn._xlws.FILTER(_xlpm.name,ISNUMBER(SEARCH(_xlpm.key,_xlpm.corp))),
IFERROR(INDEX(_xlpm.hits,1),_xlpm.corp))</f>
        <v>QB</v>
      </c>
      <c r="P9" t="str">
        <f t="shared" si="4"/>
        <v>2026-01-30</v>
      </c>
      <c r="Q9" t="str">
        <f t="shared" si="2"/>
        <v>QB/加工BL</v>
      </c>
      <c r="R9" t="str">
        <f t="shared" si="5"/>
        <v>加工BL</v>
      </c>
      <c r="S9">
        <f t="shared" si="6"/>
        <v>120</v>
      </c>
    </row>
    <row r="10" spans="1:19">
      <c r="A10" s="7">
        <v>73473</v>
      </c>
      <c r="B10" s="8" t="s">
        <v>23</v>
      </c>
      <c r="C10" s="9">
        <v>46052</v>
      </c>
      <c r="D10" s="10" t="s">
        <v>57</v>
      </c>
      <c r="E10" s="10" t="s">
        <v>3</v>
      </c>
      <c r="F10" s="11">
        <v>120</v>
      </c>
      <c r="G10" s="12" t="s">
        <v>24</v>
      </c>
      <c r="H10" s="15">
        <v>46052</v>
      </c>
      <c r="I10" s="16" t="s">
        <v>57</v>
      </c>
      <c r="J10" s="16" t="s">
        <v>2</v>
      </c>
      <c r="K10" s="17">
        <v>240</v>
      </c>
      <c r="M10" t="s">
        <v>49</v>
      </c>
      <c r="N10" t="s">
        <v>83</v>
      </c>
      <c r="O10" t="str" cm="1">
        <f t="array" ref="O10">_xlfn.LET(
_xlpm.corp,$I10,_xlpm.key,$M$2:$M$200,_xlpm.name,$N$2:$N$200,_xlpm.hits,_xlfn._xlws.FILTER(_xlpm.name,ISNUMBER(SEARCH(_xlpm.key,_xlpm.corp))),
IFERROR(INDEX(_xlpm.hits,1),_xlpm.corp))</f>
        <v>QB</v>
      </c>
      <c r="P10" t="str">
        <f t="shared" si="4"/>
        <v>2026-01-30</v>
      </c>
      <c r="Q10" t="str">
        <f t="shared" si="2"/>
        <v>QB</v>
      </c>
      <c r="R10" t="str">
        <f t="shared" si="5"/>
        <v>ベビーリーフ グリーンオーク</v>
      </c>
      <c r="S10">
        <f t="shared" si="6"/>
        <v>240</v>
      </c>
    </row>
    <row r="11" spans="1:19">
      <c r="A11" s="13">
        <v>73472</v>
      </c>
      <c r="B11" s="14" t="s">
        <v>23</v>
      </c>
      <c r="C11" s="15">
        <v>46052</v>
      </c>
      <c r="D11" s="16" t="s">
        <v>57</v>
      </c>
      <c r="E11" s="16" t="s">
        <v>2</v>
      </c>
      <c r="F11" s="17">
        <v>240</v>
      </c>
      <c r="G11" s="18" t="s">
        <v>24</v>
      </c>
      <c r="H11" s="9">
        <v>46052</v>
      </c>
      <c r="I11" s="10" t="s">
        <v>26</v>
      </c>
      <c r="J11" s="10" t="s">
        <v>2</v>
      </c>
      <c r="K11" s="11">
        <v>160</v>
      </c>
      <c r="M11" t="s">
        <v>52</v>
      </c>
      <c r="N11" t="s">
        <v>84</v>
      </c>
      <c r="O11" t="str" cm="1">
        <f t="array" ref="O11">_xlfn.LET(
_xlpm.corp,$I11,_xlpm.key,$M$2:$M$200,_xlpm.name,$N$2:$N$200,_xlpm.hits,_xlfn._xlws.FILTER(_xlpm.name,ISNUMBER(SEARCH(_xlpm.key,_xlpm.corp))),
IFERROR(INDEX(_xlpm.hits,1),_xlpm.corp))</f>
        <v>日建</v>
      </c>
      <c r="P11" t="str">
        <f t="shared" si="4"/>
        <v>2026-01-30</v>
      </c>
      <c r="Q11" t="str">
        <f t="shared" si="2"/>
        <v>日建</v>
      </c>
      <c r="R11" t="str">
        <f t="shared" si="5"/>
        <v>ベビーリーフ グリーンオーク</v>
      </c>
      <c r="S11">
        <f t="shared" si="6"/>
        <v>160</v>
      </c>
    </row>
    <row r="12" spans="1:19">
      <c r="A12" s="7">
        <v>73471</v>
      </c>
      <c r="B12" s="8" t="s">
        <v>23</v>
      </c>
      <c r="C12" s="9">
        <v>46052</v>
      </c>
      <c r="D12" s="10" t="s">
        <v>26</v>
      </c>
      <c r="E12" s="10" t="s">
        <v>2</v>
      </c>
      <c r="F12" s="11">
        <v>160</v>
      </c>
      <c r="G12" s="12" t="s">
        <v>24</v>
      </c>
      <c r="H12" s="15">
        <v>46052</v>
      </c>
      <c r="I12" s="16" t="s">
        <v>26</v>
      </c>
      <c r="J12" s="16" t="s">
        <v>3</v>
      </c>
      <c r="K12" s="17">
        <v>200</v>
      </c>
      <c r="M12" t="s">
        <v>39</v>
      </c>
      <c r="N12" t="s">
        <v>85</v>
      </c>
      <c r="O12" t="str" cm="1">
        <f t="array" ref="O12">_xlfn.LET(
_xlpm.corp,$I12,_xlpm.key,$M$2:$M$200,_xlpm.name,$N$2:$N$200,_xlpm.hits,_xlfn._xlws.FILTER(_xlpm.name,ISNUMBER(SEARCH(_xlpm.key,_xlpm.corp))),
IFERROR(INDEX(_xlpm.hits,1),_xlpm.corp))</f>
        <v>日建</v>
      </c>
      <c r="P12" t="str">
        <f t="shared" si="4"/>
        <v>2026-01-30</v>
      </c>
      <c r="Q12" t="str">
        <f t="shared" si="2"/>
        <v>日建/加工BL</v>
      </c>
      <c r="R12" t="str">
        <f t="shared" si="5"/>
        <v>加工BL</v>
      </c>
      <c r="S12">
        <f t="shared" si="6"/>
        <v>200</v>
      </c>
    </row>
    <row r="13" spans="1:19">
      <c r="A13" s="13">
        <v>73470</v>
      </c>
      <c r="B13" s="14" t="s">
        <v>23</v>
      </c>
      <c r="C13" s="15">
        <v>46052</v>
      </c>
      <c r="D13" s="16" t="s">
        <v>26</v>
      </c>
      <c r="E13" s="16" t="s">
        <v>3</v>
      </c>
      <c r="F13" s="17">
        <v>200</v>
      </c>
      <c r="G13" s="18" t="s">
        <v>24</v>
      </c>
      <c r="H13" s="9">
        <v>46052</v>
      </c>
      <c r="I13" s="10" t="s">
        <v>67</v>
      </c>
      <c r="J13" s="10" t="s">
        <v>3</v>
      </c>
      <c r="K13" s="11">
        <v>140</v>
      </c>
      <c r="M13" t="s">
        <v>40</v>
      </c>
      <c r="N13" t="s">
        <v>86</v>
      </c>
      <c r="O13" t="str" cm="1">
        <f t="array" ref="O13">_xlfn.LET(
_xlpm.corp,$I13,_xlpm.key,$M$2:$M$200,_xlpm.name,$N$2:$N$200,_xlpm.hits,_xlfn._xlws.FILTER(_xlpm.name,ISNUMBER(SEARCH(_xlpm.key,_xlpm.corp))),
IFERROR(INDEX(_xlpm.hits,1),_xlpm.corp))</f>
        <v>日本ロレアル</v>
      </c>
      <c r="P13" t="str">
        <f t="shared" si="4"/>
        <v>2026-01-30</v>
      </c>
      <c r="Q13" t="str">
        <f t="shared" si="2"/>
        <v>日本ロレアル/加工BL</v>
      </c>
      <c r="R13" t="str">
        <f t="shared" si="5"/>
        <v>加工BL</v>
      </c>
      <c r="S13">
        <f t="shared" si="6"/>
        <v>140</v>
      </c>
    </row>
    <row r="14" spans="1:19">
      <c r="A14" s="7">
        <v>73469</v>
      </c>
      <c r="B14" s="8" t="s">
        <v>23</v>
      </c>
      <c r="C14" s="9">
        <v>46052</v>
      </c>
      <c r="D14" s="10" t="s">
        <v>67</v>
      </c>
      <c r="E14" s="10" t="s">
        <v>3</v>
      </c>
      <c r="F14" s="11">
        <v>140</v>
      </c>
      <c r="G14" s="12" t="s">
        <v>24</v>
      </c>
      <c r="H14" s="15">
        <v>46052</v>
      </c>
      <c r="I14" s="16" t="s">
        <v>56</v>
      </c>
      <c r="J14" s="16" t="s">
        <v>3</v>
      </c>
      <c r="K14" s="17">
        <v>200</v>
      </c>
      <c r="M14" t="s">
        <v>41</v>
      </c>
      <c r="N14" t="s">
        <v>87</v>
      </c>
      <c r="O14" t="str" cm="1">
        <f t="array" ref="O14">_xlfn.LET(
_xlpm.corp,$I14,_xlpm.key,$M$2:$M$200,_xlpm.name,$N$2:$N$200,_xlpm.hits,_xlfn._xlws.FILTER(_xlpm.name,ISNUMBER(SEARCH(_xlpm.key,_xlpm.corp))),
IFERROR(INDEX(_xlpm.hits,1),_xlpm.corp))</f>
        <v>サンセイランディック</v>
      </c>
      <c r="P14" t="str">
        <f t="shared" si="4"/>
        <v>2026-01-30</v>
      </c>
      <c r="Q14" t="str">
        <f t="shared" si="2"/>
        <v>サンセイランディック/加工BL</v>
      </c>
      <c r="R14" t="str">
        <f t="shared" si="5"/>
        <v>加工BL</v>
      </c>
      <c r="S14">
        <f t="shared" si="6"/>
        <v>200</v>
      </c>
    </row>
    <row r="15" spans="1:19">
      <c r="A15" s="13">
        <v>73468</v>
      </c>
      <c r="B15" s="14" t="s">
        <v>23</v>
      </c>
      <c r="C15" s="15">
        <v>46052</v>
      </c>
      <c r="D15" s="16" t="s">
        <v>56</v>
      </c>
      <c r="E15" s="16" t="s">
        <v>3</v>
      </c>
      <c r="F15" s="17">
        <v>200</v>
      </c>
      <c r="G15" s="18" t="s">
        <v>24</v>
      </c>
      <c r="H15" s="9">
        <v>46052</v>
      </c>
      <c r="I15" s="10" t="s">
        <v>67</v>
      </c>
      <c r="J15" s="10" t="s">
        <v>2</v>
      </c>
      <c r="K15" s="11">
        <v>300</v>
      </c>
      <c r="M15" t="s">
        <v>42</v>
      </c>
      <c r="N15" t="s">
        <v>88</v>
      </c>
      <c r="O15" t="str" cm="1">
        <f t="array" ref="O15">_xlfn.LET(
_xlpm.corp,$I15,_xlpm.key,$M$2:$M$200,_xlpm.name,$N$2:$N$200,_xlpm.hits,_xlfn._xlws.FILTER(_xlpm.name,ISNUMBER(SEARCH(_xlpm.key,_xlpm.corp))),
IFERROR(INDEX(_xlpm.hits,1),_xlpm.corp))</f>
        <v>日本ロレアル</v>
      </c>
      <c r="P15" t="str">
        <f t="shared" si="4"/>
        <v>2026-01-30</v>
      </c>
      <c r="Q15" t="str">
        <f t="shared" si="2"/>
        <v>日本ロレアル</v>
      </c>
      <c r="R15" t="str">
        <f t="shared" si="5"/>
        <v>ベビーリーフ グリーンオーク</v>
      </c>
      <c r="S15">
        <f t="shared" si="6"/>
        <v>300</v>
      </c>
    </row>
    <row r="16" spans="1:19">
      <c r="A16" s="7">
        <v>73467</v>
      </c>
      <c r="B16" s="8" t="s">
        <v>23</v>
      </c>
      <c r="C16" s="9">
        <v>46052</v>
      </c>
      <c r="D16" s="10" t="s">
        <v>67</v>
      </c>
      <c r="E16" s="10" t="s">
        <v>2</v>
      </c>
      <c r="F16" s="11">
        <v>300</v>
      </c>
      <c r="G16" s="12" t="s">
        <v>24</v>
      </c>
      <c r="H16" s="15">
        <v>46052</v>
      </c>
      <c r="I16" s="16" t="s">
        <v>27</v>
      </c>
      <c r="J16" s="16" t="s">
        <v>3</v>
      </c>
      <c r="K16" s="17">
        <v>260</v>
      </c>
      <c r="M16" t="s">
        <v>43</v>
      </c>
      <c r="N16" t="s">
        <v>89</v>
      </c>
      <c r="O16" t="str" cm="1">
        <f t="array" ref="O16">_xlfn.LET(
_xlpm.corp,$I16,_xlpm.key,$M$2:$M$200,_xlpm.name,$N$2:$N$200,_xlpm.hits,_xlfn._xlws.FILTER(_xlpm.name,ISNUMBER(SEARCH(_xlpm.key,_xlpm.corp))),
IFERROR(INDEX(_xlpm.hits,1),_xlpm.corp))</f>
        <v>東レ</v>
      </c>
      <c r="P16" t="str">
        <f t="shared" si="4"/>
        <v>2026-01-30</v>
      </c>
      <c r="Q16" t="str">
        <f t="shared" si="2"/>
        <v>東レ/加工BL</v>
      </c>
      <c r="R16" t="str">
        <f t="shared" si="5"/>
        <v>加工BL</v>
      </c>
      <c r="S16">
        <f t="shared" si="6"/>
        <v>260</v>
      </c>
    </row>
    <row r="17" spans="1:19">
      <c r="A17" s="13">
        <v>73466</v>
      </c>
      <c r="B17" s="14" t="s">
        <v>23</v>
      </c>
      <c r="C17" s="15">
        <v>46052</v>
      </c>
      <c r="D17" s="16" t="s">
        <v>27</v>
      </c>
      <c r="E17" s="16" t="s">
        <v>3</v>
      </c>
      <c r="F17" s="17">
        <v>260</v>
      </c>
      <c r="G17" s="18" t="s">
        <v>24</v>
      </c>
      <c r="H17" s="9">
        <v>46052</v>
      </c>
      <c r="I17" s="10" t="s">
        <v>27</v>
      </c>
      <c r="J17" s="10" t="s">
        <v>62</v>
      </c>
      <c r="K17" s="20">
        <v>2060</v>
      </c>
      <c r="M17" t="s">
        <v>44</v>
      </c>
      <c r="N17" t="s">
        <v>90</v>
      </c>
      <c r="O17" t="str" cm="1">
        <f t="array" ref="O17">_xlfn.LET(
_xlpm.corp,$I17,_xlpm.key,$M$2:$M$200,_xlpm.name,$N$2:$N$200,_xlpm.hits,_xlfn._xlws.FILTER(_xlpm.name,ISNUMBER(SEARCH(_xlpm.key,_xlpm.corp))),
IFERROR(INDEX(_xlpm.hits,1),_xlpm.corp))</f>
        <v>東レ</v>
      </c>
      <c r="P17" t="str">
        <f t="shared" si="4"/>
        <v>2026-01-30</v>
      </c>
      <c r="Q17" t="str">
        <f t="shared" si="2"/>
        <v>東レ</v>
      </c>
      <c r="R17" t="str">
        <f t="shared" si="5"/>
        <v>ベビーリーフ ロログリーン</v>
      </c>
      <c r="S17">
        <f t="shared" si="6"/>
        <v>2060</v>
      </c>
    </row>
    <row r="18" spans="1:19">
      <c r="A18" s="7">
        <v>73465</v>
      </c>
      <c r="B18" s="8" t="s">
        <v>23</v>
      </c>
      <c r="C18" s="9">
        <v>46052</v>
      </c>
      <c r="D18" s="10" t="s">
        <v>27</v>
      </c>
      <c r="E18" s="10" t="s">
        <v>62</v>
      </c>
      <c r="F18" s="20">
        <v>2060</v>
      </c>
      <c r="G18" s="12" t="s">
        <v>24</v>
      </c>
      <c r="H18" s="15">
        <v>46052</v>
      </c>
      <c r="I18" s="16" t="s">
        <v>57</v>
      </c>
      <c r="J18" s="16" t="s">
        <v>3</v>
      </c>
      <c r="K18" s="17">
        <v>120</v>
      </c>
      <c r="M18" t="s">
        <v>45</v>
      </c>
      <c r="N18" t="s">
        <v>91</v>
      </c>
      <c r="O18" t="str" cm="1">
        <f t="array" ref="O18">_xlfn.LET(
_xlpm.corp,$I18,_xlpm.key,$M$2:$M$200,_xlpm.name,$N$2:$N$200,_xlpm.hits,_xlfn._xlws.FILTER(_xlpm.name,ISNUMBER(SEARCH(_xlpm.key,_xlpm.corp))),
IFERROR(INDEX(_xlpm.hits,1),_xlpm.corp))</f>
        <v>QB</v>
      </c>
      <c r="P18" t="str">
        <f t="shared" si="4"/>
        <v>2026-01-30</v>
      </c>
      <c r="Q18" t="str">
        <f t="shared" si="2"/>
        <v>QB/加工BL</v>
      </c>
      <c r="R18" t="str">
        <f t="shared" si="5"/>
        <v>加工BL</v>
      </c>
      <c r="S18">
        <f t="shared" si="6"/>
        <v>120</v>
      </c>
    </row>
    <row r="19" spans="1:19">
      <c r="A19" s="13">
        <v>73464</v>
      </c>
      <c r="B19" s="14" t="s">
        <v>23</v>
      </c>
      <c r="C19" s="15">
        <v>46052</v>
      </c>
      <c r="D19" s="16" t="s">
        <v>57</v>
      </c>
      <c r="E19" s="16" t="s">
        <v>3</v>
      </c>
      <c r="F19" s="17">
        <v>120</v>
      </c>
      <c r="G19" s="18" t="s">
        <v>24</v>
      </c>
      <c r="H19" s="9">
        <v>46052</v>
      </c>
      <c r="I19" s="10" t="s">
        <v>57</v>
      </c>
      <c r="J19" s="10" t="s">
        <v>4</v>
      </c>
      <c r="K19" s="11">
        <v>120</v>
      </c>
      <c r="M19" t="s">
        <v>46</v>
      </c>
      <c r="N19" t="s">
        <v>92</v>
      </c>
      <c r="O19" t="str" cm="1">
        <f t="array" ref="O19">_xlfn.LET(
_xlpm.corp,$I19,_xlpm.key,$M$2:$M$200,_xlpm.name,$N$2:$N$200,_xlpm.hits,_xlfn._xlws.FILTER(_xlpm.name,ISNUMBER(SEARCH(_xlpm.key,_xlpm.corp))),
IFERROR(INDEX(_xlpm.hits,1),_xlpm.corp))</f>
        <v>QB</v>
      </c>
      <c r="P19" t="str">
        <f t="shared" si="4"/>
        <v>2026-01-30</v>
      </c>
      <c r="Q19" t="str">
        <f t="shared" si="2"/>
        <v>QB</v>
      </c>
      <c r="R19" t="str">
        <f t="shared" si="5"/>
        <v>ベビーリーフ ピノグリーン</v>
      </c>
      <c r="S19">
        <f t="shared" si="6"/>
        <v>120</v>
      </c>
    </row>
    <row r="20" spans="1:19">
      <c r="A20" s="7">
        <v>73463</v>
      </c>
      <c r="B20" s="8" t="s">
        <v>23</v>
      </c>
      <c r="C20" s="9">
        <v>46052</v>
      </c>
      <c r="D20" s="10" t="s">
        <v>57</v>
      </c>
      <c r="E20" s="10" t="s">
        <v>4</v>
      </c>
      <c r="F20" s="11">
        <v>120</v>
      </c>
      <c r="G20" s="12" t="s">
        <v>24</v>
      </c>
      <c r="H20" s="15">
        <v>46052</v>
      </c>
      <c r="I20" s="16" t="s">
        <v>59</v>
      </c>
      <c r="J20" s="16" t="s">
        <v>2</v>
      </c>
      <c r="K20" s="17">
        <v>440</v>
      </c>
      <c r="M20" t="s">
        <v>51</v>
      </c>
      <c r="N20" t="s">
        <v>81</v>
      </c>
      <c r="O20" t="str" cm="1">
        <f t="array" ref="O20">_xlfn.LET(
_xlpm.corp,$I20,_xlpm.key,$M$2:$M$200,_xlpm.name,$N$2:$N$200,_xlpm.hits,_xlfn._xlws.FILTER(_xlpm.name,ISNUMBER(SEARCH(_xlpm.key,_xlpm.corp))),
IFERROR(INDEX(_xlpm.hits,1),_xlpm.corp))</f>
        <v>三和</v>
      </c>
      <c r="P20" t="str">
        <f t="shared" si="4"/>
        <v>2026-01-30</v>
      </c>
      <c r="Q20" t="str">
        <f t="shared" si="2"/>
        <v>三和</v>
      </c>
      <c r="R20" t="str">
        <f t="shared" si="5"/>
        <v>ベビーリーフ グリーンオーク</v>
      </c>
      <c r="S20">
        <f t="shared" si="6"/>
        <v>440</v>
      </c>
    </row>
    <row r="21" spans="1:19">
      <c r="A21" s="13">
        <v>73462</v>
      </c>
      <c r="B21" s="14" t="s">
        <v>23</v>
      </c>
      <c r="C21" s="15">
        <v>46052</v>
      </c>
      <c r="D21" s="16" t="s">
        <v>59</v>
      </c>
      <c r="E21" s="16" t="s">
        <v>2</v>
      </c>
      <c r="F21" s="17">
        <v>440</v>
      </c>
      <c r="G21" s="18" t="s">
        <v>24</v>
      </c>
      <c r="H21" s="9">
        <v>46052</v>
      </c>
      <c r="I21" s="10" t="s">
        <v>71</v>
      </c>
      <c r="J21" s="10" t="s">
        <v>62</v>
      </c>
      <c r="K21" s="11">
        <v>740</v>
      </c>
      <c r="M21" t="s">
        <v>47</v>
      </c>
      <c r="N21" t="s">
        <v>81</v>
      </c>
      <c r="O21" t="str" cm="1">
        <f t="array" ref="O21">_xlfn.LET(
_xlpm.corp,$I21,_xlpm.key,$M$2:$M$200,_xlpm.name,$N$2:$N$200,_xlpm.hits,_xlfn._xlws.FILTER(_xlpm.name,ISNUMBER(SEARCH(_xlpm.key,_xlpm.corp))),
IFERROR(INDEX(_xlpm.hits,1),_xlpm.corp))</f>
        <v>ソリトン</v>
      </c>
      <c r="P21" t="str">
        <f t="shared" si="4"/>
        <v>2026-01-30</v>
      </c>
      <c r="Q21" t="str">
        <f t="shared" si="2"/>
        <v>ソリトン</v>
      </c>
      <c r="R21" t="str">
        <f t="shared" si="5"/>
        <v>ベビーリーフ ロログリーン</v>
      </c>
      <c r="S21">
        <f t="shared" si="6"/>
        <v>740</v>
      </c>
    </row>
    <row r="22" spans="1:19">
      <c r="A22" s="7">
        <v>73461</v>
      </c>
      <c r="B22" s="8" t="s">
        <v>23</v>
      </c>
      <c r="C22" s="9">
        <v>46052</v>
      </c>
      <c r="D22" s="10" t="s">
        <v>71</v>
      </c>
      <c r="E22" s="10" t="s">
        <v>62</v>
      </c>
      <c r="F22" s="11">
        <v>740</v>
      </c>
      <c r="G22" s="12" t="s">
        <v>24</v>
      </c>
      <c r="H22" s="15">
        <v>46052</v>
      </c>
      <c r="I22" s="16" t="s">
        <v>68</v>
      </c>
      <c r="J22" s="16" t="s">
        <v>3</v>
      </c>
      <c r="K22" s="17">
        <v>60</v>
      </c>
      <c r="M22" t="s">
        <v>48</v>
      </c>
      <c r="N22" t="s">
        <v>93</v>
      </c>
      <c r="O22" t="str" cm="1">
        <f t="array" ref="O22">_xlfn.LET(
_xlpm.corp,$I22,_xlpm.key,$M$2:$M$200,_xlpm.name,$N$2:$N$200,_xlpm.hits,_xlfn._xlws.FILTER(_xlpm.name,ISNUMBER(SEARCH(_xlpm.key,_xlpm.corp))),
IFERROR(INDEX(_xlpm.hits,1),_xlpm.corp))</f>
        <v>昭和女子</v>
      </c>
      <c r="P22" t="str">
        <f t="shared" si="4"/>
        <v>2026-01-30</v>
      </c>
      <c r="Q22" t="str">
        <f t="shared" si="2"/>
        <v>昭和女子/加工BL</v>
      </c>
      <c r="R22" t="str">
        <f t="shared" si="5"/>
        <v>加工BL</v>
      </c>
      <c r="S22">
        <f t="shared" si="6"/>
        <v>60</v>
      </c>
    </row>
    <row r="23" spans="1:19">
      <c r="A23" s="13">
        <v>73460</v>
      </c>
      <c r="B23" s="14" t="s">
        <v>23</v>
      </c>
      <c r="C23" s="15">
        <v>46052</v>
      </c>
      <c r="D23" s="16" t="s">
        <v>68</v>
      </c>
      <c r="E23" s="16" t="s">
        <v>3</v>
      </c>
      <c r="F23" s="17">
        <v>60</v>
      </c>
      <c r="G23" s="18" t="s">
        <v>24</v>
      </c>
      <c r="H23" s="9">
        <v>46052</v>
      </c>
      <c r="I23" s="10" t="s">
        <v>28</v>
      </c>
      <c r="J23" s="10" t="s">
        <v>2</v>
      </c>
      <c r="K23" s="11">
        <v>200</v>
      </c>
      <c r="O23" t="str" cm="1">
        <f t="array" ref="O23">_xlfn.LET(
_xlpm.corp,$I23,_xlpm.key,$M$2:$M$200,_xlpm.name,$N$2:$N$200,_xlpm.hits,_xlfn._xlws.FILTER(_xlpm.name,ISNUMBER(SEARCH(_xlpm.key,_xlpm.corp))),
IFERROR(INDEX(_xlpm.hits,1),_xlpm.corp))</f>
        <v>牧野フライス</v>
      </c>
      <c r="P23" t="str">
        <f t="shared" si="4"/>
        <v>2026-01-30</v>
      </c>
      <c r="Q23" t="str">
        <f t="shared" si="2"/>
        <v>牧野フライス</v>
      </c>
      <c r="R23" t="str">
        <f t="shared" si="5"/>
        <v>ベビーリーフ グリーンオーク</v>
      </c>
      <c r="S23">
        <f t="shared" si="6"/>
        <v>200</v>
      </c>
    </row>
    <row r="24" spans="1:19">
      <c r="A24" s="7">
        <v>73459</v>
      </c>
      <c r="B24" s="8" t="s">
        <v>23</v>
      </c>
      <c r="C24" s="9">
        <v>46052</v>
      </c>
      <c r="D24" s="10" t="s">
        <v>28</v>
      </c>
      <c r="E24" s="10" t="s">
        <v>2</v>
      </c>
      <c r="F24" s="11">
        <v>200</v>
      </c>
      <c r="G24" s="12" t="s">
        <v>24</v>
      </c>
      <c r="H24" s="15">
        <v>46051</v>
      </c>
      <c r="I24" s="16" t="s">
        <v>27</v>
      </c>
      <c r="J24" s="16" t="s">
        <v>8</v>
      </c>
      <c r="K24" s="19">
        <v>1170</v>
      </c>
      <c r="O24" t="str" cm="1">
        <f t="array" ref="O24">_xlfn.LET(
_xlpm.corp,$I24,_xlpm.key,$M$2:$M$200,_xlpm.name,$N$2:$N$200,_xlpm.hits,_xlfn._xlws.FILTER(_xlpm.name,ISNUMBER(SEARCH(_xlpm.key,_xlpm.corp))),
IFERROR(INDEX(_xlpm.hits,1),_xlpm.corp))</f>
        <v>東レ</v>
      </c>
      <c r="P24" t="str">
        <f t="shared" si="4"/>
        <v>2026-01-29</v>
      </c>
      <c r="Q24" t="str">
        <f t="shared" si="2"/>
        <v>東レ/イチゴ</v>
      </c>
      <c r="R24" t="str">
        <f t="shared" si="5"/>
        <v>イチゴ</v>
      </c>
      <c r="S24">
        <f t="shared" si="6"/>
        <v>1170</v>
      </c>
    </row>
    <row r="25" spans="1:19">
      <c r="A25" s="13">
        <v>73391</v>
      </c>
      <c r="B25" s="14" t="s">
        <v>23</v>
      </c>
      <c r="C25" s="15">
        <v>46051</v>
      </c>
      <c r="D25" s="16" t="s">
        <v>27</v>
      </c>
      <c r="E25" s="16" t="s">
        <v>8</v>
      </c>
      <c r="F25" s="19">
        <v>1170</v>
      </c>
      <c r="G25" s="18" t="s">
        <v>24</v>
      </c>
      <c r="H25" s="9">
        <v>46051</v>
      </c>
      <c r="I25" s="10" t="s">
        <v>71</v>
      </c>
      <c r="J25" s="10" t="s">
        <v>8</v>
      </c>
      <c r="K25" s="20">
        <v>2200</v>
      </c>
      <c r="O25" t="str" cm="1">
        <f t="array" ref="O25">_xlfn.LET(
_xlpm.corp,$I25,_xlpm.key,$M$2:$M$200,_xlpm.name,$N$2:$N$200,_xlpm.hits,_xlfn._xlws.FILTER(_xlpm.name,ISNUMBER(SEARCH(_xlpm.key,_xlpm.corp))),
IFERROR(INDEX(_xlpm.hits,1),_xlpm.corp))</f>
        <v>ソリトン</v>
      </c>
      <c r="P25" t="str">
        <f t="shared" si="4"/>
        <v>2026-01-29</v>
      </c>
      <c r="Q25" t="str">
        <f t="shared" si="2"/>
        <v>ソリトン/イチゴ</v>
      </c>
      <c r="R25" t="str">
        <f t="shared" si="5"/>
        <v>イチゴ</v>
      </c>
      <c r="S25">
        <f t="shared" si="6"/>
        <v>2200</v>
      </c>
    </row>
    <row r="26" spans="1:19">
      <c r="A26" s="7">
        <v>73390</v>
      </c>
      <c r="B26" s="8" t="s">
        <v>23</v>
      </c>
      <c r="C26" s="9">
        <v>46051</v>
      </c>
      <c r="D26" s="10" t="s">
        <v>71</v>
      </c>
      <c r="E26" s="10" t="s">
        <v>8</v>
      </c>
      <c r="F26" s="20">
        <v>2200</v>
      </c>
      <c r="G26" s="12" t="s">
        <v>24</v>
      </c>
      <c r="H26" s="15">
        <v>46051</v>
      </c>
      <c r="I26" s="16" t="s">
        <v>69</v>
      </c>
      <c r="J26" s="16" t="s">
        <v>8</v>
      </c>
      <c r="K26" s="17">
        <v>400</v>
      </c>
      <c r="O26" t="str" cm="1">
        <f t="array" ref="O26">_xlfn.LET(
_xlpm.corp,$I26,_xlpm.key,$M$2:$M$200,_xlpm.name,$N$2:$N$200,_xlpm.hits,_xlfn._xlws.FILTER(_xlpm.name,ISNUMBER(SEARCH(_xlpm.key,_xlpm.corp))),
IFERROR(INDEX(_xlpm.hits,1),_xlpm.corp))</f>
        <v>バリュエンス</v>
      </c>
      <c r="P26" t="str">
        <f t="shared" si="4"/>
        <v>2026-01-29</v>
      </c>
      <c r="Q26" t="str">
        <f t="shared" si="2"/>
        <v>バリュエンス/イチゴ</v>
      </c>
      <c r="R26" t="str">
        <f t="shared" si="5"/>
        <v>イチゴ</v>
      </c>
      <c r="S26">
        <f t="shared" si="6"/>
        <v>400</v>
      </c>
    </row>
    <row r="27" spans="1:19">
      <c r="A27" s="13">
        <v>73389</v>
      </c>
      <c r="B27" s="14" t="s">
        <v>23</v>
      </c>
      <c r="C27" s="15">
        <v>46051</v>
      </c>
      <c r="D27" s="16" t="s">
        <v>69</v>
      </c>
      <c r="E27" s="16" t="s">
        <v>8</v>
      </c>
      <c r="F27" s="17">
        <v>400</v>
      </c>
      <c r="G27" s="18" t="s">
        <v>24</v>
      </c>
      <c r="H27" s="9">
        <v>46051</v>
      </c>
      <c r="I27" s="10" t="s">
        <v>68</v>
      </c>
      <c r="J27" s="10" t="s">
        <v>8</v>
      </c>
      <c r="K27" s="11">
        <v>160</v>
      </c>
      <c r="O27" t="str" cm="1">
        <f t="array" ref="O27">_xlfn.LET(
_xlpm.corp,$I27,_xlpm.key,$M$2:$M$200,_xlpm.name,$N$2:$N$200,_xlpm.hits,_xlfn._xlws.FILTER(_xlpm.name,ISNUMBER(SEARCH(_xlpm.key,_xlpm.corp))),
IFERROR(INDEX(_xlpm.hits,1),_xlpm.corp))</f>
        <v>昭和女子</v>
      </c>
      <c r="P27" t="str">
        <f t="shared" si="4"/>
        <v>2026-01-29</v>
      </c>
      <c r="Q27" t="str">
        <f t="shared" si="2"/>
        <v>昭和女子/イチゴ</v>
      </c>
      <c r="R27" t="str">
        <f t="shared" si="5"/>
        <v>イチゴ</v>
      </c>
      <c r="S27">
        <f t="shared" si="6"/>
        <v>160</v>
      </c>
    </row>
    <row r="28" spans="1:19">
      <c r="A28" s="7">
        <v>73388</v>
      </c>
      <c r="B28" s="8" t="s">
        <v>23</v>
      </c>
      <c r="C28" s="9">
        <v>46051</v>
      </c>
      <c r="D28" s="10" t="s">
        <v>68</v>
      </c>
      <c r="E28" s="10" t="s">
        <v>8</v>
      </c>
      <c r="F28" s="11">
        <v>160</v>
      </c>
      <c r="G28" s="12" t="s">
        <v>24</v>
      </c>
      <c r="H28" s="15">
        <v>46051</v>
      </c>
      <c r="I28" s="16" t="s">
        <v>72</v>
      </c>
      <c r="J28" s="16" t="s">
        <v>2</v>
      </c>
      <c r="K28" s="17">
        <v>180</v>
      </c>
      <c r="O28" t="str" cm="1">
        <f t="array" ref="O28">_xlfn.LET(
_xlpm.corp,$I28,_xlpm.key,$M$2:$M$200,_xlpm.name,$N$2:$N$200,_xlpm.hits,_xlfn._xlws.FILTER(_xlpm.name,ISNUMBER(SEARCH(_xlpm.key,_xlpm.corp))),
IFERROR(INDEX(_xlpm.hits,1),_xlpm.corp))</f>
        <v>岡部</v>
      </c>
      <c r="P28" t="str">
        <f t="shared" si="4"/>
        <v>2026-01-29</v>
      </c>
      <c r="Q28" t="str">
        <f t="shared" si="2"/>
        <v>岡部</v>
      </c>
      <c r="R28" t="str">
        <f t="shared" si="5"/>
        <v>ベビーリーフ グリーンオーク</v>
      </c>
      <c r="S28">
        <f t="shared" si="6"/>
        <v>180</v>
      </c>
    </row>
    <row r="29" spans="1:19">
      <c r="A29" s="13">
        <v>73368</v>
      </c>
      <c r="B29" s="14" t="s">
        <v>23</v>
      </c>
      <c r="C29" s="15">
        <v>46051</v>
      </c>
      <c r="D29" s="16" t="s">
        <v>72</v>
      </c>
      <c r="E29" s="16" t="s">
        <v>2</v>
      </c>
      <c r="F29" s="17">
        <v>180</v>
      </c>
      <c r="G29" s="18" t="s">
        <v>24</v>
      </c>
      <c r="H29" s="9">
        <v>46050</v>
      </c>
      <c r="I29" s="10" t="s">
        <v>65</v>
      </c>
      <c r="J29" s="10" t="s">
        <v>10</v>
      </c>
      <c r="K29" s="11">
        <v>41</v>
      </c>
      <c r="O29" t="str" cm="1">
        <f t="array" ref="O29">_xlfn.LET(
_xlpm.corp,$I29,_xlpm.key,$M$2:$M$200,_xlpm.name,$N$2:$N$200,_xlpm.hits,_xlfn._xlws.FILTER(_xlpm.name,ISNUMBER(SEARCH(_xlpm.key,_xlpm.corp))),
IFERROR(INDEX(_xlpm.hits,1),_xlpm.corp))</f>
        <v>マルテー</v>
      </c>
      <c r="P29" t="str">
        <f t="shared" si="4"/>
        <v>2026-01-28</v>
      </c>
      <c r="Q29" t="str">
        <f t="shared" si="2"/>
        <v>マルテー/加工BL</v>
      </c>
      <c r="R29" t="str">
        <f t="shared" si="5"/>
        <v>加工品 イチゴ</v>
      </c>
      <c r="S29">
        <f t="shared" si="6"/>
        <v>41</v>
      </c>
    </row>
    <row r="30" spans="1:19">
      <c r="A30" s="7">
        <v>73458</v>
      </c>
      <c r="B30" s="8" t="s">
        <v>23</v>
      </c>
      <c r="C30" s="9">
        <v>46050</v>
      </c>
      <c r="D30" s="10" t="s">
        <v>65</v>
      </c>
      <c r="E30" s="10" t="s">
        <v>10</v>
      </c>
      <c r="F30" s="11">
        <v>41</v>
      </c>
      <c r="G30" s="12" t="s">
        <v>24</v>
      </c>
      <c r="H30" s="15">
        <v>46050</v>
      </c>
      <c r="I30" s="16" t="s">
        <v>65</v>
      </c>
      <c r="J30" s="16" t="s">
        <v>261</v>
      </c>
      <c r="K30" s="17">
        <v>130</v>
      </c>
      <c r="O30" t="str" cm="1">
        <f t="array" ref="O30">_xlfn.LET(
_xlpm.corp,$I30,_xlpm.key,$M$2:$M$200,_xlpm.name,$N$2:$N$200,_xlpm.hits,_xlfn._xlws.FILTER(_xlpm.name,ISNUMBER(SEARCH(_xlpm.key,_xlpm.corp))),
IFERROR(INDEX(_xlpm.hits,1),_xlpm.corp))</f>
        <v>マルテー</v>
      </c>
      <c r="P30" t="str">
        <f t="shared" si="4"/>
        <v>2026-01-28</v>
      </c>
      <c r="Q30" t="str">
        <f t="shared" si="2"/>
        <v>マルテー/イチゴ</v>
      </c>
      <c r="R30" t="str">
        <f t="shared" si="5"/>
        <v>イチゴ（かおり野）</v>
      </c>
      <c r="S30">
        <f t="shared" si="6"/>
        <v>130</v>
      </c>
    </row>
    <row r="31" spans="1:19">
      <c r="A31" s="13">
        <v>73457</v>
      </c>
      <c r="B31" s="14" t="s">
        <v>23</v>
      </c>
      <c r="C31" s="15">
        <v>46050</v>
      </c>
      <c r="D31" s="16" t="s">
        <v>65</v>
      </c>
      <c r="E31" s="16" t="s">
        <v>261</v>
      </c>
      <c r="F31" s="17">
        <v>130</v>
      </c>
      <c r="G31" s="18" t="s">
        <v>24</v>
      </c>
      <c r="H31" s="9">
        <v>46050</v>
      </c>
      <c r="I31" s="10" t="s">
        <v>65</v>
      </c>
      <c r="J31" s="10" t="s">
        <v>8</v>
      </c>
      <c r="K31" s="11">
        <v>368</v>
      </c>
      <c r="O31" t="str" cm="1">
        <f t="array" ref="O31">_xlfn.LET(
_xlpm.corp,$I31,_xlpm.key,$M$2:$M$200,_xlpm.name,$N$2:$N$200,_xlpm.hits,_xlfn._xlws.FILTER(_xlpm.name,ISNUMBER(SEARCH(_xlpm.key,_xlpm.corp))),
IFERROR(INDEX(_xlpm.hits,1),_xlpm.corp))</f>
        <v>マルテー</v>
      </c>
      <c r="P31" t="str">
        <f t="shared" si="4"/>
        <v>2026-01-28</v>
      </c>
      <c r="Q31" t="str">
        <f t="shared" si="2"/>
        <v>マルテー/イチゴ</v>
      </c>
      <c r="R31" t="str">
        <f t="shared" si="5"/>
        <v>イチゴ</v>
      </c>
      <c r="S31">
        <f t="shared" si="6"/>
        <v>368</v>
      </c>
    </row>
    <row r="32" spans="1:19">
      <c r="A32" s="7">
        <v>73456</v>
      </c>
      <c r="B32" s="8" t="s">
        <v>23</v>
      </c>
      <c r="C32" s="9">
        <v>46050</v>
      </c>
      <c r="D32" s="10" t="s">
        <v>65</v>
      </c>
      <c r="E32" s="10" t="s">
        <v>8</v>
      </c>
      <c r="F32" s="11">
        <v>368</v>
      </c>
      <c r="G32" s="12" t="s">
        <v>24</v>
      </c>
      <c r="H32" s="15">
        <v>46049</v>
      </c>
      <c r="I32" s="16" t="s">
        <v>61</v>
      </c>
      <c r="J32" s="16" t="s">
        <v>8</v>
      </c>
      <c r="K32" s="17">
        <v>700</v>
      </c>
      <c r="O32" t="str" cm="1">
        <f t="array" ref="O32">_xlfn.LET(
_xlpm.corp,$I32,_xlpm.key,$M$2:$M$200,_xlpm.name,$N$2:$N$200,_xlpm.hits,_xlfn._xlws.FILTER(_xlpm.name,ISNUMBER(SEARCH(_xlpm.key,_xlpm.corp))),
IFERROR(INDEX(_xlpm.hits,1),_xlpm.corp))</f>
        <v>Adobe</v>
      </c>
      <c r="P32" t="str">
        <f t="shared" si="4"/>
        <v>2026-01-27</v>
      </c>
      <c r="Q32" t="str">
        <f t="shared" si="2"/>
        <v>Adobe/イチゴ</v>
      </c>
      <c r="R32" t="str">
        <f t="shared" si="5"/>
        <v>イチゴ</v>
      </c>
      <c r="S32">
        <f t="shared" si="6"/>
        <v>700</v>
      </c>
    </row>
    <row r="33" spans="1:19">
      <c r="A33" s="13">
        <v>73387</v>
      </c>
      <c r="B33" s="14" t="s">
        <v>23</v>
      </c>
      <c r="C33" s="15">
        <v>46049</v>
      </c>
      <c r="D33" s="16" t="s">
        <v>61</v>
      </c>
      <c r="E33" s="16" t="s">
        <v>8</v>
      </c>
      <c r="F33" s="17">
        <v>700</v>
      </c>
      <c r="G33" s="18" t="s">
        <v>24</v>
      </c>
      <c r="H33" s="9">
        <v>46049</v>
      </c>
      <c r="I33" s="10" t="s">
        <v>72</v>
      </c>
      <c r="J33" s="10" t="s">
        <v>8</v>
      </c>
      <c r="K33" s="11">
        <v>80</v>
      </c>
      <c r="O33" t="str" cm="1">
        <f t="array" ref="O33">_xlfn.LET(
_xlpm.corp,$I33,_xlpm.key,$M$2:$M$200,_xlpm.name,$N$2:$N$200,_xlpm.hits,_xlfn._xlws.FILTER(_xlpm.name,ISNUMBER(SEARCH(_xlpm.key,_xlpm.corp))),
IFERROR(INDEX(_xlpm.hits,1),_xlpm.corp))</f>
        <v>岡部</v>
      </c>
      <c r="P33" t="str">
        <f t="shared" si="4"/>
        <v>2026-01-27</v>
      </c>
      <c r="Q33" t="str">
        <f t="shared" si="2"/>
        <v>岡部/イチゴ</v>
      </c>
      <c r="R33" t="str">
        <f t="shared" si="5"/>
        <v>イチゴ</v>
      </c>
      <c r="S33">
        <f t="shared" si="6"/>
        <v>80</v>
      </c>
    </row>
    <row r="34" spans="1:19">
      <c r="A34" s="7">
        <v>73386</v>
      </c>
      <c r="B34" s="8" t="s">
        <v>23</v>
      </c>
      <c r="C34" s="9">
        <v>46049</v>
      </c>
      <c r="D34" s="10" t="s">
        <v>72</v>
      </c>
      <c r="E34" s="10" t="s">
        <v>8</v>
      </c>
      <c r="F34" s="11">
        <v>80</v>
      </c>
      <c r="G34" s="12" t="s">
        <v>24</v>
      </c>
      <c r="H34" s="15">
        <v>46049</v>
      </c>
      <c r="I34" s="16" t="s">
        <v>72</v>
      </c>
      <c r="J34" s="16" t="s">
        <v>2</v>
      </c>
      <c r="K34" s="17">
        <v>620</v>
      </c>
      <c r="O34" t="str" cm="1">
        <f t="array" ref="O34">_xlfn.LET(
_xlpm.corp,$I34,_xlpm.key,$M$2:$M$200,_xlpm.name,$N$2:$N$200,_xlpm.hits,_xlfn._xlws.FILTER(_xlpm.name,ISNUMBER(SEARCH(_xlpm.key,_xlpm.corp))),
IFERROR(INDEX(_xlpm.hits,1),_xlpm.corp))</f>
        <v>岡部</v>
      </c>
      <c r="P34" t="str">
        <f t="shared" si="4"/>
        <v>2026-01-27</v>
      </c>
      <c r="Q34" t="str">
        <f t="shared" si="2"/>
        <v>岡部</v>
      </c>
      <c r="R34" t="str">
        <f t="shared" si="5"/>
        <v>ベビーリーフ グリーンオーク</v>
      </c>
      <c r="S34">
        <f t="shared" si="6"/>
        <v>620</v>
      </c>
    </row>
    <row r="35" spans="1:19">
      <c r="A35" s="13">
        <v>72998</v>
      </c>
      <c r="B35" s="14" t="s">
        <v>23</v>
      </c>
      <c r="C35" s="15">
        <v>46049</v>
      </c>
      <c r="D35" s="16" t="s">
        <v>72</v>
      </c>
      <c r="E35" s="16" t="s">
        <v>2</v>
      </c>
      <c r="F35" s="17">
        <v>620</v>
      </c>
      <c r="G35" s="18" t="s">
        <v>24</v>
      </c>
      <c r="H35" s="9">
        <v>46049</v>
      </c>
      <c r="I35" s="10" t="s">
        <v>60</v>
      </c>
      <c r="J35" s="10" t="s">
        <v>73</v>
      </c>
      <c r="K35" s="20">
        <v>1200</v>
      </c>
      <c r="O35" t="str" cm="1">
        <f t="array" ref="O35">_xlfn.LET(
_xlpm.corp,$I35,_xlpm.key,$M$2:$M$200,_xlpm.name,$N$2:$N$200,_xlpm.hits,_xlfn._xlws.FILTER(_xlpm.name,ISNUMBER(SEARCH(_xlpm.key,_xlpm.corp))),
IFERROR(INDEX(_xlpm.hits,1),_xlpm.corp))</f>
        <v>サンテレホン</v>
      </c>
      <c r="P35" t="str">
        <f t="shared" si="4"/>
        <v>2026-01-27</v>
      </c>
      <c r="Q35" t="str">
        <f t="shared" si="2"/>
        <v>サンテレホン/葉物野菜</v>
      </c>
      <c r="R35" t="str">
        <f t="shared" si="5"/>
        <v>ラディッシュ</v>
      </c>
      <c r="S35">
        <f t="shared" si="6"/>
        <v>1200</v>
      </c>
    </row>
    <row r="36" spans="1:19">
      <c r="A36" s="7">
        <v>72997</v>
      </c>
      <c r="B36" s="8" t="s">
        <v>23</v>
      </c>
      <c r="C36" s="9">
        <v>46049</v>
      </c>
      <c r="D36" s="10" t="s">
        <v>60</v>
      </c>
      <c r="E36" s="10" t="s">
        <v>73</v>
      </c>
      <c r="F36" s="20">
        <v>1200</v>
      </c>
      <c r="G36" s="12" t="s">
        <v>24</v>
      </c>
      <c r="H36" s="15">
        <v>46049</v>
      </c>
      <c r="I36" s="16" t="s">
        <v>25</v>
      </c>
      <c r="J36" s="16" t="s">
        <v>3</v>
      </c>
      <c r="K36" s="17">
        <v>200</v>
      </c>
      <c r="O36" t="str" cm="1">
        <f t="array" ref="O36">_xlfn.LET(
_xlpm.corp,$I36,_xlpm.key,$M$2:$M$200,_xlpm.name,$N$2:$N$200,_xlpm.hits,_xlfn._xlws.FILTER(_xlpm.name,ISNUMBER(SEARCH(_xlpm.key,_xlpm.corp))),
IFERROR(INDEX(_xlpm.hits,1),_xlpm.corp))</f>
        <v>日本ファブテック</v>
      </c>
      <c r="P36" t="str">
        <f t="shared" si="4"/>
        <v>2026-01-27</v>
      </c>
      <c r="Q36" t="str">
        <f t="shared" si="2"/>
        <v>日本ファブテック/加工BL</v>
      </c>
      <c r="R36" t="str">
        <f t="shared" si="5"/>
        <v>加工BL</v>
      </c>
      <c r="S36">
        <f t="shared" si="6"/>
        <v>200</v>
      </c>
    </row>
    <row r="37" spans="1:19">
      <c r="A37" s="13">
        <v>72996</v>
      </c>
      <c r="B37" s="14" t="s">
        <v>23</v>
      </c>
      <c r="C37" s="15">
        <v>46049</v>
      </c>
      <c r="D37" s="16" t="s">
        <v>25</v>
      </c>
      <c r="E37" s="16" t="s">
        <v>3</v>
      </c>
      <c r="F37" s="17">
        <v>200</v>
      </c>
      <c r="G37" s="18" t="s">
        <v>24</v>
      </c>
      <c r="H37" s="9">
        <v>46049</v>
      </c>
      <c r="I37" s="10" t="s">
        <v>69</v>
      </c>
      <c r="J37" s="10" t="s">
        <v>9</v>
      </c>
      <c r="K37" s="11">
        <v>640</v>
      </c>
      <c r="O37" t="str" cm="1">
        <f t="array" ref="O37">_xlfn.LET(
_xlpm.corp,$I37,_xlpm.key,$M$2:$M$200,_xlpm.name,$N$2:$N$200,_xlpm.hits,_xlfn._xlws.FILTER(_xlpm.name,ISNUMBER(SEARCH(_xlpm.key,_xlpm.corp))),
IFERROR(INDEX(_xlpm.hits,1),_xlpm.corp))</f>
        <v>バリュエンス</v>
      </c>
      <c r="P37" t="str">
        <f t="shared" si="4"/>
        <v>2026-01-27</v>
      </c>
      <c r="Q37" t="str">
        <f t="shared" si="2"/>
        <v>バリュエンス</v>
      </c>
      <c r="R37" t="str">
        <f t="shared" si="5"/>
        <v>ベビーリーフ ロロロッサ</v>
      </c>
      <c r="S37">
        <f t="shared" si="6"/>
        <v>640</v>
      </c>
    </row>
    <row r="38" spans="1:19">
      <c r="A38" s="7">
        <v>72995</v>
      </c>
      <c r="B38" s="8" t="s">
        <v>23</v>
      </c>
      <c r="C38" s="9">
        <v>46049</v>
      </c>
      <c r="D38" s="10" t="s">
        <v>69</v>
      </c>
      <c r="E38" s="10" t="s">
        <v>9</v>
      </c>
      <c r="F38" s="11">
        <v>640</v>
      </c>
      <c r="G38" s="12" t="s">
        <v>24</v>
      </c>
      <c r="H38" s="15">
        <v>46049</v>
      </c>
      <c r="I38" s="16" t="s">
        <v>69</v>
      </c>
      <c r="J38" s="16" t="s">
        <v>2</v>
      </c>
      <c r="K38" s="17">
        <v>80</v>
      </c>
      <c r="O38" t="str" cm="1">
        <f t="array" ref="O38">_xlfn.LET(
_xlpm.corp,$I38,_xlpm.key,$M$2:$M$200,_xlpm.name,$N$2:$N$200,_xlpm.hits,_xlfn._xlws.FILTER(_xlpm.name,ISNUMBER(SEARCH(_xlpm.key,_xlpm.corp))),
IFERROR(INDEX(_xlpm.hits,1),_xlpm.corp))</f>
        <v>バリュエンス</v>
      </c>
      <c r="P38" t="str">
        <f t="shared" si="4"/>
        <v>2026-01-27</v>
      </c>
      <c r="Q38" t="str">
        <f t="shared" si="2"/>
        <v>バリュエンス</v>
      </c>
      <c r="R38" t="str">
        <f t="shared" si="5"/>
        <v>ベビーリーフ グリーンオーク</v>
      </c>
      <c r="S38">
        <f t="shared" si="6"/>
        <v>80</v>
      </c>
    </row>
    <row r="39" spans="1:19">
      <c r="A39" s="13">
        <v>72994</v>
      </c>
      <c r="B39" s="14" t="s">
        <v>23</v>
      </c>
      <c r="C39" s="15">
        <v>46049</v>
      </c>
      <c r="D39" s="16" t="s">
        <v>69</v>
      </c>
      <c r="E39" s="16" t="s">
        <v>2</v>
      </c>
      <c r="F39" s="17">
        <v>80</v>
      </c>
      <c r="G39" s="18" t="s">
        <v>24</v>
      </c>
      <c r="H39" s="9">
        <v>46049</v>
      </c>
      <c r="I39" s="10" t="s">
        <v>64</v>
      </c>
      <c r="J39" s="10" t="s">
        <v>3</v>
      </c>
      <c r="K39" s="11">
        <v>560</v>
      </c>
      <c r="O39" t="str" cm="1">
        <f t="array" ref="O39">_xlfn.LET(
_xlpm.corp,$I39,_xlpm.key,$M$2:$M$200,_xlpm.name,$N$2:$N$200,_xlpm.hits,_xlfn._xlws.FILTER(_xlpm.name,ISNUMBER(SEARCH(_xlpm.key,_xlpm.corp))),
IFERROR(INDEX(_xlpm.hits,1),_xlpm.corp))</f>
        <v>NaITO</v>
      </c>
      <c r="P39" t="str">
        <f t="shared" si="4"/>
        <v>2026-01-27</v>
      </c>
      <c r="Q39" t="str">
        <f t="shared" si="2"/>
        <v>NaITO/加工BL</v>
      </c>
      <c r="R39" t="str">
        <f t="shared" si="5"/>
        <v>加工BL</v>
      </c>
      <c r="S39">
        <f t="shared" si="6"/>
        <v>560</v>
      </c>
    </row>
    <row r="40" spans="1:19">
      <c r="A40" s="7">
        <v>72993</v>
      </c>
      <c r="B40" s="8" t="s">
        <v>23</v>
      </c>
      <c r="C40" s="9">
        <v>46049</v>
      </c>
      <c r="D40" s="10" t="s">
        <v>64</v>
      </c>
      <c r="E40" s="10" t="s">
        <v>3</v>
      </c>
      <c r="F40" s="11">
        <v>560</v>
      </c>
      <c r="G40" s="12" t="s">
        <v>24</v>
      </c>
      <c r="H40" s="15">
        <v>46049</v>
      </c>
      <c r="I40" s="16" t="s">
        <v>63</v>
      </c>
      <c r="J40" s="16" t="s">
        <v>62</v>
      </c>
      <c r="K40" s="17">
        <v>880</v>
      </c>
      <c r="O40" t="str" cm="1">
        <f t="array" ref="O40">_xlfn.LET(
_xlpm.corp,$I40,_xlpm.key,$M$2:$M$200,_xlpm.name,$N$2:$N$200,_xlpm.hits,_xlfn._xlws.FILTER(_xlpm.name,ISNUMBER(SEARCH(_xlpm.key,_xlpm.corp))),
IFERROR(INDEX(_xlpm.hits,1),_xlpm.corp))</f>
        <v>富士機材</v>
      </c>
      <c r="P40" t="str">
        <f t="shared" si="4"/>
        <v>2026-01-27</v>
      </c>
      <c r="Q40" t="str">
        <f t="shared" si="2"/>
        <v>富士機材</v>
      </c>
      <c r="R40" t="str">
        <f t="shared" si="5"/>
        <v>ベビーリーフ ロログリーン</v>
      </c>
      <c r="S40">
        <f t="shared" si="6"/>
        <v>880</v>
      </c>
    </row>
    <row r="41" spans="1:19">
      <c r="A41" s="13">
        <v>72992</v>
      </c>
      <c r="B41" s="14" t="s">
        <v>23</v>
      </c>
      <c r="C41" s="15">
        <v>46049</v>
      </c>
      <c r="D41" s="16" t="s">
        <v>63</v>
      </c>
      <c r="E41" s="16" t="s">
        <v>62</v>
      </c>
      <c r="F41" s="17">
        <v>880</v>
      </c>
      <c r="G41" s="18" t="s">
        <v>24</v>
      </c>
      <c r="H41" s="9">
        <v>46049</v>
      </c>
      <c r="I41" s="10" t="s">
        <v>57</v>
      </c>
      <c r="J41" s="10" t="s">
        <v>3</v>
      </c>
      <c r="K41" s="11">
        <v>100</v>
      </c>
      <c r="O41" t="str" cm="1">
        <f t="array" ref="O41">_xlfn.LET(
_xlpm.corp,$I41,_xlpm.key,$M$2:$M$200,_xlpm.name,$N$2:$N$200,_xlpm.hits,_xlfn._xlws.FILTER(_xlpm.name,ISNUMBER(SEARCH(_xlpm.key,_xlpm.corp))),
IFERROR(INDEX(_xlpm.hits,1),_xlpm.corp))</f>
        <v>QB</v>
      </c>
      <c r="P41" t="str">
        <f t="shared" si="4"/>
        <v>2026-01-27</v>
      </c>
      <c r="Q41" t="str">
        <f t="shared" si="2"/>
        <v>QB/加工BL</v>
      </c>
      <c r="R41" t="str">
        <f t="shared" si="5"/>
        <v>加工BL</v>
      </c>
      <c r="S41">
        <f t="shared" si="6"/>
        <v>100</v>
      </c>
    </row>
    <row r="42" spans="1:19">
      <c r="A42" s="7">
        <v>72991</v>
      </c>
      <c r="B42" s="8" t="s">
        <v>23</v>
      </c>
      <c r="C42" s="9">
        <v>46049</v>
      </c>
      <c r="D42" s="10" t="s">
        <v>57</v>
      </c>
      <c r="E42" s="10" t="s">
        <v>3</v>
      </c>
      <c r="F42" s="11">
        <v>100</v>
      </c>
      <c r="G42" s="12" t="s">
        <v>24</v>
      </c>
      <c r="H42" s="15">
        <v>46049</v>
      </c>
      <c r="I42" s="16" t="s">
        <v>61</v>
      </c>
      <c r="J42" s="16" t="s">
        <v>62</v>
      </c>
      <c r="K42" s="17">
        <v>460</v>
      </c>
      <c r="O42" t="str" cm="1">
        <f t="array" ref="O42">_xlfn.LET(
_xlpm.corp,$I42,_xlpm.key,$M$2:$M$200,_xlpm.name,$N$2:$N$200,_xlpm.hits,_xlfn._xlws.FILTER(_xlpm.name,ISNUMBER(SEARCH(_xlpm.key,_xlpm.corp))),
IFERROR(INDEX(_xlpm.hits,1),_xlpm.corp))</f>
        <v>Adobe</v>
      </c>
      <c r="P42" t="str">
        <f t="shared" si="4"/>
        <v>2026-01-27</v>
      </c>
      <c r="Q42" t="str">
        <f t="shared" si="2"/>
        <v>Adobe</v>
      </c>
      <c r="R42" t="str">
        <f t="shared" si="5"/>
        <v>ベビーリーフ ロログリーン</v>
      </c>
      <c r="S42">
        <f t="shared" si="6"/>
        <v>460</v>
      </c>
    </row>
    <row r="43" spans="1:19">
      <c r="A43" s="13">
        <v>72990</v>
      </c>
      <c r="B43" s="14" t="s">
        <v>23</v>
      </c>
      <c r="C43" s="15">
        <v>46049</v>
      </c>
      <c r="D43" s="16" t="s">
        <v>61</v>
      </c>
      <c r="E43" s="16" t="s">
        <v>62</v>
      </c>
      <c r="F43" s="17">
        <v>460</v>
      </c>
      <c r="G43" s="18" t="s">
        <v>24</v>
      </c>
      <c r="H43" s="9">
        <v>46049</v>
      </c>
      <c r="I43" s="10" t="s">
        <v>59</v>
      </c>
      <c r="J43" s="10" t="s">
        <v>3</v>
      </c>
      <c r="K43" s="20">
        <v>1440</v>
      </c>
      <c r="O43" t="str" cm="1">
        <f t="array" ref="O43">_xlfn.LET(
_xlpm.corp,$I43,_xlpm.key,$M$2:$M$200,_xlpm.name,$N$2:$N$200,_xlpm.hits,_xlfn._xlws.FILTER(_xlpm.name,ISNUMBER(SEARCH(_xlpm.key,_xlpm.corp))),
IFERROR(INDEX(_xlpm.hits,1),_xlpm.corp))</f>
        <v>三和</v>
      </c>
      <c r="P43" t="str">
        <f t="shared" si="4"/>
        <v>2026-01-27</v>
      </c>
      <c r="Q43" t="str">
        <f t="shared" si="2"/>
        <v>三和/加工BL</v>
      </c>
      <c r="R43" t="str">
        <f t="shared" si="5"/>
        <v>加工BL</v>
      </c>
      <c r="S43">
        <f t="shared" si="6"/>
        <v>1440</v>
      </c>
    </row>
    <row r="44" spans="1:19">
      <c r="A44" s="7">
        <v>72989</v>
      </c>
      <c r="B44" s="8" t="s">
        <v>23</v>
      </c>
      <c r="C44" s="9">
        <v>46049</v>
      </c>
      <c r="D44" s="10" t="s">
        <v>59</v>
      </c>
      <c r="E44" s="10" t="s">
        <v>3</v>
      </c>
      <c r="F44" s="20">
        <v>1440</v>
      </c>
      <c r="G44" s="12" t="s">
        <v>24</v>
      </c>
      <c r="H44" s="15">
        <v>46049</v>
      </c>
      <c r="I44" s="16" t="s">
        <v>58</v>
      </c>
      <c r="J44" s="16" t="s">
        <v>9</v>
      </c>
      <c r="K44" s="17">
        <v>420</v>
      </c>
      <c r="O44" t="str" cm="1">
        <f t="array" ref="O44">_xlfn.LET(
_xlpm.corp,$I44,_xlpm.key,$M$2:$M$200,_xlpm.name,$N$2:$N$200,_xlpm.hits,_xlfn._xlws.FILTER(_xlpm.name,ISNUMBER(SEARCH(_xlpm.key,_xlpm.corp))),
IFERROR(INDEX(_xlpm.hits,1),_xlpm.corp))</f>
        <v>慈誠会</v>
      </c>
      <c r="P44" t="str">
        <f t="shared" si="4"/>
        <v>2026-01-27</v>
      </c>
      <c r="Q44" t="str">
        <f t="shared" si="2"/>
        <v>慈誠会</v>
      </c>
      <c r="R44" t="str">
        <f t="shared" si="5"/>
        <v>ベビーリーフ ロロロッサ</v>
      </c>
      <c r="S44">
        <f t="shared" si="6"/>
        <v>420</v>
      </c>
    </row>
    <row r="45" spans="1:19">
      <c r="A45" s="13">
        <v>72988</v>
      </c>
      <c r="B45" s="14" t="s">
        <v>23</v>
      </c>
      <c r="C45" s="15">
        <v>46049</v>
      </c>
      <c r="D45" s="16" t="s">
        <v>58</v>
      </c>
      <c r="E45" s="16" t="s">
        <v>9</v>
      </c>
      <c r="F45" s="17">
        <v>420</v>
      </c>
      <c r="G45" s="18" t="s">
        <v>24</v>
      </c>
      <c r="H45" s="9">
        <v>46049</v>
      </c>
      <c r="I45" s="10" t="s">
        <v>26</v>
      </c>
      <c r="J45" s="10" t="s">
        <v>2</v>
      </c>
      <c r="K45" s="11">
        <v>240</v>
      </c>
      <c r="O45" t="str" cm="1">
        <f t="array" ref="O45">_xlfn.LET(
_xlpm.corp,$I45,_xlpm.key,$M$2:$M$200,_xlpm.name,$N$2:$N$200,_xlpm.hits,_xlfn._xlws.FILTER(_xlpm.name,ISNUMBER(SEARCH(_xlpm.key,_xlpm.corp))),
IFERROR(INDEX(_xlpm.hits,1),_xlpm.corp))</f>
        <v>日建</v>
      </c>
      <c r="P45" t="str">
        <f t="shared" si="4"/>
        <v>2026-01-27</v>
      </c>
      <c r="Q45" t="str">
        <f t="shared" si="2"/>
        <v>日建</v>
      </c>
      <c r="R45" t="str">
        <f t="shared" si="5"/>
        <v>ベビーリーフ グリーンオーク</v>
      </c>
      <c r="S45">
        <f t="shared" si="6"/>
        <v>240</v>
      </c>
    </row>
    <row r="46" spans="1:19">
      <c r="A46" s="7">
        <v>72987</v>
      </c>
      <c r="B46" s="8" t="s">
        <v>23</v>
      </c>
      <c r="C46" s="9">
        <v>46049</v>
      </c>
      <c r="D46" s="10" t="s">
        <v>26</v>
      </c>
      <c r="E46" s="10" t="s">
        <v>2</v>
      </c>
      <c r="F46" s="11">
        <v>240</v>
      </c>
      <c r="G46" s="12" t="s">
        <v>24</v>
      </c>
      <c r="H46" s="15">
        <v>46049</v>
      </c>
      <c r="I46" s="16" t="s">
        <v>67</v>
      </c>
      <c r="J46" s="16" t="s">
        <v>2</v>
      </c>
      <c r="K46" s="17">
        <v>200</v>
      </c>
      <c r="O46" t="str" cm="1">
        <f t="array" ref="O46">_xlfn.LET(
_xlpm.corp,$I46,_xlpm.key,$M$2:$M$200,_xlpm.name,$N$2:$N$200,_xlpm.hits,_xlfn._xlws.FILTER(_xlpm.name,ISNUMBER(SEARCH(_xlpm.key,_xlpm.corp))),
IFERROR(INDEX(_xlpm.hits,1),_xlpm.corp))</f>
        <v>日本ロレアル</v>
      </c>
      <c r="P46" t="str">
        <f t="shared" si="4"/>
        <v>2026-01-27</v>
      </c>
      <c r="Q46" t="str">
        <f t="shared" si="2"/>
        <v>日本ロレアル</v>
      </c>
      <c r="R46" t="str">
        <f t="shared" si="5"/>
        <v>ベビーリーフ グリーンオーク</v>
      </c>
      <c r="S46">
        <f t="shared" si="6"/>
        <v>200</v>
      </c>
    </row>
    <row r="47" spans="1:19">
      <c r="A47" s="13">
        <v>72986</v>
      </c>
      <c r="B47" s="14" t="s">
        <v>23</v>
      </c>
      <c r="C47" s="15">
        <v>46049</v>
      </c>
      <c r="D47" s="16" t="s">
        <v>67</v>
      </c>
      <c r="E47" s="16" t="s">
        <v>2</v>
      </c>
      <c r="F47" s="17">
        <v>200</v>
      </c>
      <c r="G47" s="18" t="s">
        <v>24</v>
      </c>
      <c r="H47" s="9">
        <v>46049</v>
      </c>
      <c r="I47" s="10" t="s">
        <v>57</v>
      </c>
      <c r="J47" s="10" t="s">
        <v>3</v>
      </c>
      <c r="K47" s="11">
        <v>160</v>
      </c>
      <c r="O47" t="str" cm="1">
        <f t="array" ref="O47">_xlfn.LET(
_xlpm.corp,$I47,_xlpm.key,$M$2:$M$200,_xlpm.name,$N$2:$N$200,_xlpm.hits,_xlfn._xlws.FILTER(_xlpm.name,ISNUMBER(SEARCH(_xlpm.key,_xlpm.corp))),
IFERROR(INDEX(_xlpm.hits,1),_xlpm.corp))</f>
        <v>QB</v>
      </c>
      <c r="P47" t="str">
        <f t="shared" si="4"/>
        <v>2026-01-27</v>
      </c>
      <c r="Q47" t="str">
        <f t="shared" si="2"/>
        <v>QB/加工BL</v>
      </c>
      <c r="R47" t="str">
        <f t="shared" si="5"/>
        <v>加工BL</v>
      </c>
      <c r="S47">
        <f t="shared" si="6"/>
        <v>160</v>
      </c>
    </row>
    <row r="48" spans="1:19">
      <c r="A48" s="7">
        <v>72985</v>
      </c>
      <c r="B48" s="8" t="s">
        <v>23</v>
      </c>
      <c r="C48" s="9">
        <v>46049</v>
      </c>
      <c r="D48" s="10" t="s">
        <v>57</v>
      </c>
      <c r="E48" s="10" t="s">
        <v>3</v>
      </c>
      <c r="F48" s="11">
        <v>160</v>
      </c>
      <c r="G48" s="12" t="s">
        <v>24</v>
      </c>
      <c r="H48" s="15">
        <v>46049</v>
      </c>
      <c r="I48" s="16" t="s">
        <v>57</v>
      </c>
      <c r="J48" s="16" t="s">
        <v>2</v>
      </c>
      <c r="K48" s="17">
        <v>500</v>
      </c>
      <c r="O48" t="str" cm="1">
        <f t="array" ref="O48">_xlfn.LET(
_xlpm.corp,$I48,_xlpm.key,$M$2:$M$200,_xlpm.name,$N$2:$N$200,_xlpm.hits,_xlfn._xlws.FILTER(_xlpm.name,ISNUMBER(SEARCH(_xlpm.key,_xlpm.corp))),
IFERROR(INDEX(_xlpm.hits,1),_xlpm.corp))</f>
        <v>QB</v>
      </c>
      <c r="P48" t="str">
        <f t="shared" si="4"/>
        <v>2026-01-27</v>
      </c>
      <c r="Q48" t="str">
        <f t="shared" si="2"/>
        <v>QB</v>
      </c>
      <c r="R48" t="str">
        <f t="shared" si="5"/>
        <v>ベビーリーフ グリーンオーク</v>
      </c>
      <c r="S48">
        <f t="shared" si="6"/>
        <v>500</v>
      </c>
    </row>
    <row r="49" spans="1:19">
      <c r="A49" s="13">
        <v>72984</v>
      </c>
      <c r="B49" s="14" t="s">
        <v>23</v>
      </c>
      <c r="C49" s="15">
        <v>46049</v>
      </c>
      <c r="D49" s="16" t="s">
        <v>57</v>
      </c>
      <c r="E49" s="16" t="s">
        <v>2</v>
      </c>
      <c r="F49" s="17">
        <v>500</v>
      </c>
      <c r="G49" s="18" t="s">
        <v>24</v>
      </c>
      <c r="H49" s="9">
        <v>46049</v>
      </c>
      <c r="I49" s="10" t="s">
        <v>57</v>
      </c>
      <c r="J49" s="10" t="s">
        <v>3</v>
      </c>
      <c r="K49" s="11">
        <v>160</v>
      </c>
      <c r="O49" t="str" cm="1">
        <f t="array" ref="O49">_xlfn.LET(
_xlpm.corp,$I49,_xlpm.key,$M$2:$M$200,_xlpm.name,$N$2:$N$200,_xlpm.hits,_xlfn._xlws.FILTER(_xlpm.name,ISNUMBER(SEARCH(_xlpm.key,_xlpm.corp))),
IFERROR(INDEX(_xlpm.hits,1),_xlpm.corp))</f>
        <v>QB</v>
      </c>
      <c r="P49" t="str">
        <f t="shared" si="4"/>
        <v>2026-01-27</v>
      </c>
      <c r="Q49" t="str">
        <f t="shared" si="2"/>
        <v>QB/加工BL</v>
      </c>
      <c r="R49" t="str">
        <f t="shared" si="5"/>
        <v>加工BL</v>
      </c>
      <c r="S49">
        <f t="shared" si="6"/>
        <v>160</v>
      </c>
    </row>
    <row r="50" spans="1:19">
      <c r="A50" s="7">
        <v>72983</v>
      </c>
      <c r="B50" s="8" t="s">
        <v>23</v>
      </c>
      <c r="C50" s="9">
        <v>46049</v>
      </c>
      <c r="D50" s="10" t="s">
        <v>57</v>
      </c>
      <c r="E50" s="10" t="s">
        <v>3</v>
      </c>
      <c r="F50" s="11">
        <v>160</v>
      </c>
      <c r="G50" s="12" t="s">
        <v>24</v>
      </c>
      <c r="H50" s="15">
        <v>46049</v>
      </c>
      <c r="I50" s="16" t="s">
        <v>60</v>
      </c>
      <c r="J50" s="16" t="s">
        <v>3</v>
      </c>
      <c r="K50" s="17">
        <v>200</v>
      </c>
      <c r="O50" t="str" cm="1">
        <f t="array" ref="O50">_xlfn.LET(
_xlpm.corp,$I50,_xlpm.key,$M$2:$M$200,_xlpm.name,$N$2:$N$200,_xlpm.hits,_xlfn._xlws.FILTER(_xlpm.name,ISNUMBER(SEARCH(_xlpm.key,_xlpm.corp))),
IFERROR(INDEX(_xlpm.hits,1),_xlpm.corp))</f>
        <v>サンテレホン</v>
      </c>
      <c r="P50" t="str">
        <f t="shared" si="4"/>
        <v>2026-01-27</v>
      </c>
      <c r="Q50" t="str">
        <f t="shared" si="2"/>
        <v>サンテレホン/加工BL</v>
      </c>
      <c r="R50" t="str">
        <f t="shared" si="5"/>
        <v>加工BL</v>
      </c>
      <c r="S50">
        <f t="shared" si="6"/>
        <v>200</v>
      </c>
    </row>
    <row r="51" spans="1:19">
      <c r="A51" s="13">
        <v>72982</v>
      </c>
      <c r="B51" s="14" t="s">
        <v>23</v>
      </c>
      <c r="C51" s="15">
        <v>46049</v>
      </c>
      <c r="D51" s="16" t="s">
        <v>60</v>
      </c>
      <c r="E51" s="16" t="s">
        <v>3</v>
      </c>
      <c r="F51" s="17">
        <v>200</v>
      </c>
      <c r="G51" s="18" t="s">
        <v>24</v>
      </c>
      <c r="H51" s="9">
        <v>46049</v>
      </c>
      <c r="I51" s="10" t="s">
        <v>66</v>
      </c>
      <c r="J51" s="10" t="s">
        <v>11</v>
      </c>
      <c r="K51" s="20">
        <v>1040</v>
      </c>
      <c r="O51" t="str" cm="1">
        <f t="array" ref="O51">_xlfn.LET(
_xlpm.corp,$I51,_xlpm.key,$M$2:$M$200,_xlpm.name,$N$2:$N$200,_xlpm.hits,_xlfn._xlws.FILTER(_xlpm.name,ISNUMBER(SEARCH(_xlpm.key,_xlpm.corp))),
IFERROR(INDEX(_xlpm.hits,1),_xlpm.corp))</f>
        <v>ケイアイ</v>
      </c>
      <c r="P51" t="str">
        <f t="shared" si="4"/>
        <v>2026-01-27</v>
      </c>
      <c r="Q51" t="str">
        <f t="shared" si="2"/>
        <v>ケイアイ</v>
      </c>
      <c r="R51" t="str">
        <f t="shared" si="5"/>
        <v>ベビーリーフ レッドオーク</v>
      </c>
      <c r="S51">
        <f t="shared" si="6"/>
        <v>1040</v>
      </c>
    </row>
    <row r="52" spans="1:19">
      <c r="A52" s="7">
        <v>72981</v>
      </c>
      <c r="B52" s="8" t="s">
        <v>23</v>
      </c>
      <c r="C52" s="9">
        <v>46049</v>
      </c>
      <c r="D52" s="10" t="s">
        <v>66</v>
      </c>
      <c r="E52" s="10" t="s">
        <v>11</v>
      </c>
      <c r="F52" s="20">
        <v>1040</v>
      </c>
      <c r="G52" s="12" t="s">
        <v>24</v>
      </c>
      <c r="H52" s="15">
        <v>46049</v>
      </c>
      <c r="I52" s="16" t="s">
        <v>70</v>
      </c>
      <c r="J52" s="16" t="s">
        <v>9</v>
      </c>
      <c r="K52" s="17">
        <v>160</v>
      </c>
      <c r="O52" t="str" cm="1">
        <f t="array" ref="O52">_xlfn.LET(
_xlpm.corp,$I52,_xlpm.key,$M$2:$M$200,_xlpm.name,$N$2:$N$200,_xlpm.hits,_xlfn._xlws.FILTER(_xlpm.name,ISNUMBER(SEARCH(_xlpm.key,_xlpm.corp))),
IFERROR(INDEX(_xlpm.hits,1),_xlpm.corp))</f>
        <v>富士機械</v>
      </c>
      <c r="P52" t="str">
        <f t="shared" si="4"/>
        <v>2026-01-27</v>
      </c>
      <c r="Q52" t="str">
        <f t="shared" si="2"/>
        <v>富士機械</v>
      </c>
      <c r="R52" t="str">
        <f t="shared" si="5"/>
        <v>ベビーリーフ ロロロッサ</v>
      </c>
      <c r="S52">
        <f t="shared" si="6"/>
        <v>160</v>
      </c>
    </row>
    <row r="53" spans="1:19">
      <c r="A53" s="13">
        <v>72980</v>
      </c>
      <c r="B53" s="14" t="s">
        <v>23</v>
      </c>
      <c r="C53" s="15">
        <v>46049</v>
      </c>
      <c r="D53" s="16" t="s">
        <v>70</v>
      </c>
      <c r="E53" s="16" t="s">
        <v>9</v>
      </c>
      <c r="F53" s="17">
        <v>160</v>
      </c>
      <c r="G53" s="18" t="s">
        <v>24</v>
      </c>
      <c r="H53" s="9">
        <v>46049</v>
      </c>
      <c r="I53" s="10" t="s">
        <v>72</v>
      </c>
      <c r="J53" s="10" t="s">
        <v>3</v>
      </c>
      <c r="K53" s="11">
        <v>180</v>
      </c>
      <c r="O53" t="str" cm="1">
        <f t="array" ref="O53">_xlfn.LET(
_xlpm.corp,$I53,_xlpm.key,$M$2:$M$200,_xlpm.name,$N$2:$N$200,_xlpm.hits,_xlfn._xlws.FILTER(_xlpm.name,ISNUMBER(SEARCH(_xlpm.key,_xlpm.corp))),
IFERROR(INDEX(_xlpm.hits,1),_xlpm.corp))</f>
        <v>岡部</v>
      </c>
      <c r="P53" t="str">
        <f t="shared" si="4"/>
        <v>2026-01-27</v>
      </c>
      <c r="Q53" t="str">
        <f t="shared" si="2"/>
        <v>岡部/加工BL</v>
      </c>
      <c r="R53" t="str">
        <f t="shared" si="5"/>
        <v>加工BL</v>
      </c>
      <c r="S53">
        <f t="shared" si="6"/>
        <v>180</v>
      </c>
    </row>
    <row r="54" spans="1:19">
      <c r="A54" s="7">
        <v>72979</v>
      </c>
      <c r="B54" s="8" t="s">
        <v>23</v>
      </c>
      <c r="C54" s="9">
        <v>46049</v>
      </c>
      <c r="D54" s="10" t="s">
        <v>72</v>
      </c>
      <c r="E54" s="10" t="s">
        <v>3</v>
      </c>
      <c r="F54" s="11">
        <v>180</v>
      </c>
      <c r="G54" s="12" t="s">
        <v>24</v>
      </c>
      <c r="H54" s="15">
        <v>46049</v>
      </c>
      <c r="I54" s="16" t="s">
        <v>70</v>
      </c>
      <c r="J54" s="16" t="s">
        <v>9</v>
      </c>
      <c r="K54" s="19">
        <v>1140</v>
      </c>
      <c r="O54" t="str" cm="1">
        <f t="array" ref="O54">_xlfn.LET(
_xlpm.corp,$I54,_xlpm.key,$M$2:$M$200,_xlpm.name,$N$2:$N$200,_xlpm.hits,_xlfn._xlws.FILTER(_xlpm.name,ISNUMBER(SEARCH(_xlpm.key,_xlpm.corp))),
IFERROR(INDEX(_xlpm.hits,1),_xlpm.corp))</f>
        <v>富士機械</v>
      </c>
      <c r="P54" t="str">
        <f t="shared" si="4"/>
        <v>2026-01-27</v>
      </c>
      <c r="Q54" t="str">
        <f t="shared" si="2"/>
        <v>富士機械</v>
      </c>
      <c r="R54" t="str">
        <f t="shared" si="5"/>
        <v>ベビーリーフ ロロロッサ</v>
      </c>
      <c r="S54">
        <f t="shared" si="6"/>
        <v>1140</v>
      </c>
    </row>
    <row r="55" spans="1:19">
      <c r="A55" s="13">
        <v>72978</v>
      </c>
      <c r="B55" s="14" t="s">
        <v>23</v>
      </c>
      <c r="C55" s="15">
        <v>46049</v>
      </c>
      <c r="D55" s="16" t="s">
        <v>70</v>
      </c>
      <c r="E55" s="16" t="s">
        <v>9</v>
      </c>
      <c r="F55" s="19">
        <v>1140</v>
      </c>
      <c r="G55" s="18" t="s">
        <v>24</v>
      </c>
      <c r="H55" s="9">
        <v>46049</v>
      </c>
      <c r="I55" s="10" t="s">
        <v>72</v>
      </c>
      <c r="J55" s="10" t="s">
        <v>3</v>
      </c>
      <c r="K55" s="11">
        <v>440</v>
      </c>
      <c r="O55" t="str" cm="1">
        <f t="array" ref="O55">_xlfn.LET(
_xlpm.corp,$I55,_xlpm.key,$M$2:$M$200,_xlpm.name,$N$2:$N$200,_xlpm.hits,_xlfn._xlws.FILTER(_xlpm.name,ISNUMBER(SEARCH(_xlpm.key,_xlpm.corp))),
IFERROR(INDEX(_xlpm.hits,1),_xlpm.corp))</f>
        <v>岡部</v>
      </c>
      <c r="P55" t="str">
        <f t="shared" si="4"/>
        <v>2026-01-27</v>
      </c>
      <c r="Q55" t="str">
        <f t="shared" si="2"/>
        <v>岡部/加工BL</v>
      </c>
      <c r="R55" t="str">
        <f t="shared" si="5"/>
        <v>加工BL</v>
      </c>
      <c r="S55">
        <f t="shared" si="6"/>
        <v>440</v>
      </c>
    </row>
    <row r="56" spans="1:19">
      <c r="A56" s="7">
        <v>72976</v>
      </c>
      <c r="B56" s="8" t="s">
        <v>23</v>
      </c>
      <c r="C56" s="9">
        <v>46049</v>
      </c>
      <c r="D56" s="10" t="s">
        <v>72</v>
      </c>
      <c r="E56" s="10" t="s">
        <v>3</v>
      </c>
      <c r="F56" s="11">
        <v>440</v>
      </c>
      <c r="G56" s="12" t="s">
        <v>24</v>
      </c>
      <c r="H56" s="15">
        <v>46049</v>
      </c>
      <c r="I56" s="16" t="s">
        <v>72</v>
      </c>
      <c r="J56" s="16" t="s">
        <v>2</v>
      </c>
      <c r="K56" s="17">
        <v>260</v>
      </c>
      <c r="O56" t="str" cm="1">
        <f t="array" ref="O56">_xlfn.LET(
_xlpm.corp,$I56,_xlpm.key,$M$2:$M$200,_xlpm.name,$N$2:$N$200,_xlpm.hits,_xlfn._xlws.FILTER(_xlpm.name,ISNUMBER(SEARCH(_xlpm.key,_xlpm.corp))),
IFERROR(INDEX(_xlpm.hits,1),_xlpm.corp))</f>
        <v>岡部</v>
      </c>
      <c r="P56" t="str">
        <f t="shared" si="4"/>
        <v>2026-01-27</v>
      </c>
      <c r="Q56" t="str">
        <f t="shared" si="2"/>
        <v>岡部</v>
      </c>
      <c r="R56" t="str">
        <f t="shared" si="5"/>
        <v>ベビーリーフ グリーンオーク</v>
      </c>
      <c r="S56">
        <f t="shared" si="6"/>
        <v>260</v>
      </c>
    </row>
    <row r="57" spans="1:19">
      <c r="A57" s="13">
        <v>72975</v>
      </c>
      <c r="B57" s="14" t="s">
        <v>23</v>
      </c>
      <c r="C57" s="15">
        <v>46049</v>
      </c>
      <c r="D57" s="16" t="s">
        <v>72</v>
      </c>
      <c r="E57" s="16" t="s">
        <v>2</v>
      </c>
      <c r="F57" s="17">
        <v>260</v>
      </c>
      <c r="G57" s="18" t="s">
        <v>24</v>
      </c>
      <c r="H57" s="9">
        <v>46049</v>
      </c>
      <c r="I57" s="10" t="s">
        <v>28</v>
      </c>
      <c r="J57" s="10" t="s">
        <v>3</v>
      </c>
      <c r="K57" s="11">
        <v>280</v>
      </c>
      <c r="O57" t="str" cm="1">
        <f t="array" ref="O57">_xlfn.LET(
_xlpm.corp,$I57,_xlpm.key,$M$2:$M$200,_xlpm.name,$N$2:$N$200,_xlpm.hits,_xlfn._xlws.FILTER(_xlpm.name,ISNUMBER(SEARCH(_xlpm.key,_xlpm.corp))),
IFERROR(INDEX(_xlpm.hits,1),_xlpm.corp))</f>
        <v>牧野フライス</v>
      </c>
      <c r="P57" t="str">
        <f t="shared" si="4"/>
        <v>2026-01-27</v>
      </c>
      <c r="Q57" t="str">
        <f t="shared" si="2"/>
        <v>牧野フライス/加工BL</v>
      </c>
      <c r="R57" t="str">
        <f t="shared" si="5"/>
        <v>加工BL</v>
      </c>
      <c r="S57">
        <f t="shared" si="6"/>
        <v>280</v>
      </c>
    </row>
    <row r="58" spans="1:19">
      <c r="A58" s="7">
        <v>72974</v>
      </c>
      <c r="B58" s="8" t="s">
        <v>23</v>
      </c>
      <c r="C58" s="9">
        <v>46049</v>
      </c>
      <c r="D58" s="10" t="s">
        <v>28</v>
      </c>
      <c r="E58" s="10" t="s">
        <v>3</v>
      </c>
      <c r="F58" s="11">
        <v>280</v>
      </c>
      <c r="G58" s="12" t="s">
        <v>24</v>
      </c>
      <c r="H58" s="15">
        <v>46049</v>
      </c>
      <c r="I58" s="16" t="s">
        <v>63</v>
      </c>
      <c r="J58" s="16" t="s">
        <v>62</v>
      </c>
      <c r="K58" s="17">
        <v>520</v>
      </c>
      <c r="O58" t="str" cm="1">
        <f t="array" ref="O58">_xlfn.LET(
_xlpm.corp,$I58,_xlpm.key,$M$2:$M$200,_xlpm.name,$N$2:$N$200,_xlpm.hits,_xlfn._xlws.FILTER(_xlpm.name,ISNUMBER(SEARCH(_xlpm.key,_xlpm.corp))),
IFERROR(INDEX(_xlpm.hits,1),_xlpm.corp))</f>
        <v>富士機材</v>
      </c>
      <c r="P58" t="str">
        <f t="shared" si="4"/>
        <v>2026-01-27</v>
      </c>
      <c r="Q58" t="str">
        <f t="shared" si="2"/>
        <v>富士機材</v>
      </c>
      <c r="R58" t="str">
        <f t="shared" si="5"/>
        <v>ベビーリーフ ロログリーン</v>
      </c>
      <c r="S58">
        <f t="shared" si="6"/>
        <v>520</v>
      </c>
    </row>
    <row r="59" spans="1:19">
      <c r="A59" s="13">
        <v>72973</v>
      </c>
      <c r="B59" s="14" t="s">
        <v>23</v>
      </c>
      <c r="C59" s="15">
        <v>46049</v>
      </c>
      <c r="D59" s="16" t="s">
        <v>63</v>
      </c>
      <c r="E59" s="16" t="s">
        <v>62</v>
      </c>
      <c r="F59" s="17">
        <v>520</v>
      </c>
      <c r="G59" s="18" t="s">
        <v>24</v>
      </c>
      <c r="H59" s="9">
        <v>46049</v>
      </c>
      <c r="I59" s="10" t="s">
        <v>69</v>
      </c>
      <c r="J59" s="10" t="s">
        <v>9</v>
      </c>
      <c r="K59" s="11">
        <v>160</v>
      </c>
      <c r="O59" t="str" cm="1">
        <f t="array" ref="O59">_xlfn.LET(
_xlpm.corp,$I59,_xlpm.key,$M$2:$M$200,_xlpm.name,$N$2:$N$200,_xlpm.hits,_xlfn._xlws.FILTER(_xlpm.name,ISNUMBER(SEARCH(_xlpm.key,_xlpm.corp))),
IFERROR(INDEX(_xlpm.hits,1),_xlpm.corp))</f>
        <v>バリュエンス</v>
      </c>
      <c r="P59" t="str">
        <f t="shared" si="4"/>
        <v>2026-01-27</v>
      </c>
      <c r="Q59" t="str">
        <f t="shared" si="2"/>
        <v>バリュエンス</v>
      </c>
      <c r="R59" t="str">
        <f t="shared" si="5"/>
        <v>ベビーリーフ ロロロッサ</v>
      </c>
      <c r="S59">
        <f t="shared" si="6"/>
        <v>160</v>
      </c>
    </row>
    <row r="60" spans="1:19">
      <c r="A60" s="7">
        <v>72972</v>
      </c>
      <c r="B60" s="8" t="s">
        <v>23</v>
      </c>
      <c r="C60" s="9">
        <v>46049</v>
      </c>
      <c r="D60" s="10" t="s">
        <v>69</v>
      </c>
      <c r="E60" s="10" t="s">
        <v>9</v>
      </c>
      <c r="F60" s="11">
        <v>160</v>
      </c>
      <c r="G60" s="12" t="s">
        <v>24</v>
      </c>
      <c r="H60" s="15">
        <v>46049</v>
      </c>
      <c r="I60" s="16" t="s">
        <v>72</v>
      </c>
      <c r="J60" s="16" t="s">
        <v>11</v>
      </c>
      <c r="K60" s="17">
        <v>180</v>
      </c>
      <c r="O60" t="str" cm="1">
        <f t="array" ref="O60">_xlfn.LET(
_xlpm.corp,$I60,_xlpm.key,$M$2:$M$200,_xlpm.name,$N$2:$N$200,_xlpm.hits,_xlfn._xlws.FILTER(_xlpm.name,ISNUMBER(SEARCH(_xlpm.key,_xlpm.corp))),
IFERROR(INDEX(_xlpm.hits,1),_xlpm.corp))</f>
        <v>岡部</v>
      </c>
      <c r="P60" t="str">
        <f t="shared" si="4"/>
        <v>2026-01-27</v>
      </c>
      <c r="Q60" t="str">
        <f t="shared" si="2"/>
        <v>岡部</v>
      </c>
      <c r="R60" t="str">
        <f t="shared" si="5"/>
        <v>ベビーリーフ レッドオーク</v>
      </c>
      <c r="S60">
        <f t="shared" si="6"/>
        <v>180</v>
      </c>
    </row>
    <row r="61" spans="1:19">
      <c r="A61" s="13">
        <v>72971</v>
      </c>
      <c r="B61" s="14" t="s">
        <v>23</v>
      </c>
      <c r="C61" s="15">
        <v>46049</v>
      </c>
      <c r="D61" s="16" t="s">
        <v>72</v>
      </c>
      <c r="E61" s="16" t="s">
        <v>11</v>
      </c>
      <c r="F61" s="17">
        <v>180</v>
      </c>
      <c r="G61" s="18" t="s">
        <v>24</v>
      </c>
      <c r="H61" s="9">
        <v>46049</v>
      </c>
      <c r="I61" s="10" t="s">
        <v>57</v>
      </c>
      <c r="J61" s="10" t="s">
        <v>3</v>
      </c>
      <c r="K61" s="11">
        <v>160</v>
      </c>
      <c r="O61" t="str" cm="1">
        <f t="array" ref="O61">_xlfn.LET(
_xlpm.corp,$I61,_xlpm.key,$M$2:$M$200,_xlpm.name,$N$2:$N$200,_xlpm.hits,_xlfn._xlws.FILTER(_xlpm.name,ISNUMBER(SEARCH(_xlpm.key,_xlpm.corp))),
IFERROR(INDEX(_xlpm.hits,1),_xlpm.corp))</f>
        <v>QB</v>
      </c>
      <c r="P61" t="str">
        <f t="shared" si="4"/>
        <v>2026-01-27</v>
      </c>
      <c r="Q61" t="str">
        <f t="shared" si="2"/>
        <v>QB/加工BL</v>
      </c>
      <c r="R61" t="str">
        <f t="shared" si="5"/>
        <v>加工BL</v>
      </c>
      <c r="S61">
        <f t="shared" si="6"/>
        <v>160</v>
      </c>
    </row>
    <row r="62" spans="1:19">
      <c r="A62" s="7">
        <v>72970</v>
      </c>
      <c r="B62" s="8" t="s">
        <v>23</v>
      </c>
      <c r="C62" s="9">
        <v>46049</v>
      </c>
      <c r="D62" s="10" t="s">
        <v>57</v>
      </c>
      <c r="E62" s="10" t="s">
        <v>3</v>
      </c>
      <c r="F62" s="11">
        <v>160</v>
      </c>
      <c r="G62" s="12" t="s">
        <v>24</v>
      </c>
      <c r="H62" s="15">
        <v>46049</v>
      </c>
      <c r="I62" s="16" t="s">
        <v>27</v>
      </c>
      <c r="J62" s="16" t="s">
        <v>3</v>
      </c>
      <c r="K62" s="17">
        <v>400</v>
      </c>
      <c r="O62" t="str" cm="1">
        <f t="array" ref="O62">_xlfn.LET(
_xlpm.corp,$I62,_xlpm.key,$M$2:$M$200,_xlpm.name,$N$2:$N$200,_xlpm.hits,_xlfn._xlws.FILTER(_xlpm.name,ISNUMBER(SEARCH(_xlpm.key,_xlpm.corp))),
IFERROR(INDEX(_xlpm.hits,1),_xlpm.corp))</f>
        <v>東レ</v>
      </c>
      <c r="P62" t="str">
        <f t="shared" si="4"/>
        <v>2026-01-27</v>
      </c>
      <c r="Q62" t="str">
        <f t="shared" si="2"/>
        <v>東レ/加工BL</v>
      </c>
      <c r="R62" t="str">
        <f t="shared" si="5"/>
        <v>加工BL</v>
      </c>
      <c r="S62">
        <f t="shared" si="6"/>
        <v>400</v>
      </c>
    </row>
    <row r="63" spans="1:19">
      <c r="A63" s="13">
        <v>72969</v>
      </c>
      <c r="B63" s="14" t="s">
        <v>23</v>
      </c>
      <c r="C63" s="15">
        <v>46049</v>
      </c>
      <c r="D63" s="16" t="s">
        <v>27</v>
      </c>
      <c r="E63" s="16" t="s">
        <v>3</v>
      </c>
      <c r="F63" s="17">
        <v>400</v>
      </c>
      <c r="G63" s="18" t="s">
        <v>24</v>
      </c>
      <c r="H63" s="9">
        <v>46049</v>
      </c>
      <c r="I63" s="10" t="s">
        <v>27</v>
      </c>
      <c r="J63" s="10" t="s">
        <v>11</v>
      </c>
      <c r="K63" s="20">
        <v>1100</v>
      </c>
      <c r="O63" t="str" cm="1">
        <f t="array" ref="O63">_xlfn.LET(
_xlpm.corp,$I63,_xlpm.key,$M$2:$M$200,_xlpm.name,$N$2:$N$200,_xlpm.hits,_xlfn._xlws.FILTER(_xlpm.name,ISNUMBER(SEARCH(_xlpm.key,_xlpm.corp))),
IFERROR(INDEX(_xlpm.hits,1),_xlpm.corp))</f>
        <v>東レ</v>
      </c>
      <c r="P63" t="str">
        <f t="shared" si="4"/>
        <v>2026-01-27</v>
      </c>
      <c r="Q63" t="str">
        <f t="shared" si="2"/>
        <v>東レ</v>
      </c>
      <c r="R63" t="str">
        <f t="shared" si="5"/>
        <v>ベビーリーフ レッドオーク</v>
      </c>
      <c r="S63">
        <f t="shared" si="6"/>
        <v>1100</v>
      </c>
    </row>
    <row r="64" spans="1:19">
      <c r="A64" s="7">
        <v>72968</v>
      </c>
      <c r="B64" s="8" t="s">
        <v>23</v>
      </c>
      <c r="C64" s="9">
        <v>46049</v>
      </c>
      <c r="D64" s="10" t="s">
        <v>27</v>
      </c>
      <c r="E64" s="10" t="s">
        <v>11</v>
      </c>
      <c r="F64" s="20">
        <v>1100</v>
      </c>
      <c r="G64" s="12" t="s">
        <v>24</v>
      </c>
      <c r="H64" s="15">
        <v>46049</v>
      </c>
      <c r="I64" s="16" t="s">
        <v>27</v>
      </c>
      <c r="J64" s="16" t="s">
        <v>2</v>
      </c>
      <c r="K64" s="17">
        <v>840</v>
      </c>
      <c r="O64" t="str" cm="1">
        <f t="array" ref="O64">_xlfn.LET(
_xlpm.corp,$I64,_xlpm.key,$M$2:$M$200,_xlpm.name,$N$2:$N$200,_xlpm.hits,_xlfn._xlws.FILTER(_xlpm.name,ISNUMBER(SEARCH(_xlpm.key,_xlpm.corp))),
IFERROR(INDEX(_xlpm.hits,1),_xlpm.corp))</f>
        <v>東レ</v>
      </c>
      <c r="P64" t="str">
        <f t="shared" si="4"/>
        <v>2026-01-27</v>
      </c>
      <c r="Q64" t="str">
        <f t="shared" si="2"/>
        <v>東レ</v>
      </c>
      <c r="R64" t="str">
        <f t="shared" si="5"/>
        <v>ベビーリーフ グリーンオーク</v>
      </c>
      <c r="S64">
        <f t="shared" si="6"/>
        <v>840</v>
      </c>
    </row>
    <row r="65" spans="1:19">
      <c r="A65" s="13">
        <v>72967</v>
      </c>
      <c r="B65" s="14" t="s">
        <v>23</v>
      </c>
      <c r="C65" s="15">
        <v>46049</v>
      </c>
      <c r="D65" s="16" t="s">
        <v>27</v>
      </c>
      <c r="E65" s="16" t="s">
        <v>2</v>
      </c>
      <c r="F65" s="17">
        <v>840</v>
      </c>
      <c r="G65" s="18" t="s">
        <v>24</v>
      </c>
      <c r="H65" s="9">
        <v>46049</v>
      </c>
      <c r="I65" s="10" t="s">
        <v>56</v>
      </c>
      <c r="J65" s="10" t="s">
        <v>4</v>
      </c>
      <c r="K65" s="11">
        <v>600</v>
      </c>
      <c r="O65" t="str" cm="1">
        <f t="array" ref="O65">_xlfn.LET(
_xlpm.corp,$I65,_xlpm.key,$M$2:$M$200,_xlpm.name,$N$2:$N$200,_xlpm.hits,_xlfn._xlws.FILTER(_xlpm.name,ISNUMBER(SEARCH(_xlpm.key,_xlpm.corp))),
IFERROR(INDEX(_xlpm.hits,1),_xlpm.corp))</f>
        <v>サンセイランディック</v>
      </c>
      <c r="P65" t="str">
        <f t="shared" si="4"/>
        <v>2026-01-27</v>
      </c>
      <c r="Q65" t="str">
        <f t="shared" si="2"/>
        <v>サンセイランディック</v>
      </c>
      <c r="R65" t="str">
        <f t="shared" si="5"/>
        <v>ベビーリーフ ピノグリーン</v>
      </c>
      <c r="S65">
        <f t="shared" si="6"/>
        <v>600</v>
      </c>
    </row>
    <row r="66" spans="1:19">
      <c r="A66" s="7">
        <v>72966</v>
      </c>
      <c r="B66" s="8" t="s">
        <v>23</v>
      </c>
      <c r="C66" s="9">
        <v>46049</v>
      </c>
      <c r="D66" s="10" t="s">
        <v>56</v>
      </c>
      <c r="E66" s="10" t="s">
        <v>4</v>
      </c>
      <c r="F66" s="11">
        <v>600</v>
      </c>
      <c r="G66" s="12" t="s">
        <v>24</v>
      </c>
      <c r="H66" s="15">
        <v>46049</v>
      </c>
      <c r="I66" s="16" t="s">
        <v>26</v>
      </c>
      <c r="J66" s="16" t="s">
        <v>3</v>
      </c>
      <c r="K66" s="17">
        <v>120</v>
      </c>
      <c r="O66" t="str" cm="1">
        <f t="array" ref="O66">_xlfn.LET(
_xlpm.corp,$I66,_xlpm.key,$M$2:$M$200,_xlpm.name,$N$2:$N$200,_xlpm.hits,_xlfn._xlws.FILTER(_xlpm.name,ISNUMBER(SEARCH(_xlpm.key,_xlpm.corp))),
IFERROR(INDEX(_xlpm.hits,1),_xlpm.corp))</f>
        <v>日建</v>
      </c>
      <c r="P66" t="str">
        <f t="shared" si="4"/>
        <v>2026-01-27</v>
      </c>
      <c r="Q66" t="str">
        <f t="shared" si="2"/>
        <v>日建/加工BL</v>
      </c>
      <c r="R66" t="str">
        <f t="shared" si="5"/>
        <v>加工BL</v>
      </c>
      <c r="S66">
        <f t="shared" si="6"/>
        <v>120</v>
      </c>
    </row>
    <row r="67" spans="1:19">
      <c r="A67" s="13">
        <v>72965</v>
      </c>
      <c r="B67" s="14" t="s">
        <v>23</v>
      </c>
      <c r="C67" s="15">
        <v>46049</v>
      </c>
      <c r="D67" s="16" t="s">
        <v>26</v>
      </c>
      <c r="E67" s="16" t="s">
        <v>3</v>
      </c>
      <c r="F67" s="17">
        <v>120</v>
      </c>
      <c r="G67" s="18" t="s">
        <v>24</v>
      </c>
      <c r="H67" s="9">
        <v>46049</v>
      </c>
      <c r="I67" s="10" t="s">
        <v>26</v>
      </c>
      <c r="J67" s="10" t="s">
        <v>2</v>
      </c>
      <c r="K67" s="11">
        <v>40</v>
      </c>
      <c r="O67" t="str" cm="1">
        <f t="array" ref="O67">_xlfn.LET(
_xlpm.corp,$I67,_xlpm.key,$M$2:$M$200,_xlpm.name,$N$2:$N$200,_xlpm.hits,_xlfn._xlws.FILTER(_xlpm.name,ISNUMBER(SEARCH(_xlpm.key,_xlpm.corp))),
IFERROR(INDEX(_xlpm.hits,1),_xlpm.corp))</f>
        <v>日建</v>
      </c>
      <c r="P67" t="str">
        <f t="shared" ref="P67:P130" si="7">IFERROR(TEXT(DATEVALUE(SUBSTITUTE(SUBSTITUTE(H67,".","/"),"-","/")),"yyyy-mm-dd"),
TEXT(H67,"yyyy-mm-dd"))</f>
        <v>2026-01-27</v>
      </c>
      <c r="Q67" t="str">
        <f t="shared" ref="Q67:Q130" si="8">_xlfn.LET(
  _xlpm.corp, $O67,
  _xlpm.crop, $J67,
  _xlpm.suffix,
    IF(ISNUMBER(SEARCH("加工", _xlpm.crop)),      "/加工BL",
    IF(ISNUMBER(SEARCH("ミニトマト", _xlpm.crop)),"/ミニトマト",
    IF(ISNUMBER(SEARCH("イチゴ", _xlpm.crop)),    "/イチゴ",
    IF(ISNUMBER(SEARCH("ベビーリーフ",_xlpm.crop)),"",
       "/葉物野菜"
    )))),
  _xlpm.corp &amp; _xlpm.suffix
)</f>
        <v>日建</v>
      </c>
      <c r="R67" t="str">
        <f t="shared" ref="R67:R130" si="9">IF(
  AND(ISNUMBER(SEARCH("加工品",SUBSTITUTE(J67,"　"," "))),ISNUMBER(SEARCH("ベビーリーフ",SUBSTITUTE(J67,"　"," ")))),
  "加工BL",
  IF(LEFT(TRIM(SUBSTITUTE(J67,"　"," ")),5)="ベビーリーフ",
     "BL"&amp;TRIM(MID(TRIM(SUBSTITUTE(J67,"　"," ")),FIND(" ",TRIM(SUBSTITUTE(J67,"　"," "))&amp;" ")+1,255)),
     TRIM(SUBSTITUTE(J67,"　"," "))
  )
)</f>
        <v>ベビーリーフ グリーンオーク</v>
      </c>
      <c r="S67">
        <f t="shared" ref="S67:S130" si="10">IF(K67="", "", --SUBSTITUTE(K67, ",", ""))</f>
        <v>40</v>
      </c>
    </row>
    <row r="68" spans="1:19">
      <c r="A68" s="7">
        <v>72964</v>
      </c>
      <c r="B68" s="8" t="s">
        <v>23</v>
      </c>
      <c r="C68" s="9">
        <v>46049</v>
      </c>
      <c r="D68" s="10" t="s">
        <v>26</v>
      </c>
      <c r="E68" s="10" t="s">
        <v>2</v>
      </c>
      <c r="F68" s="11">
        <v>40</v>
      </c>
      <c r="G68" s="12" t="s">
        <v>24</v>
      </c>
      <c r="H68" s="15">
        <v>46049</v>
      </c>
      <c r="I68" s="16" t="s">
        <v>67</v>
      </c>
      <c r="J68" s="16" t="s">
        <v>2</v>
      </c>
      <c r="K68" s="17">
        <v>200</v>
      </c>
      <c r="O68" t="str" cm="1">
        <f t="array" ref="O68">_xlfn.LET(
_xlpm.corp,$I68,_xlpm.key,$M$2:$M$200,_xlpm.name,$N$2:$N$200,_xlpm.hits,_xlfn._xlws.FILTER(_xlpm.name,ISNUMBER(SEARCH(_xlpm.key,_xlpm.corp))),
IFERROR(INDEX(_xlpm.hits,1),_xlpm.corp))</f>
        <v>日本ロレアル</v>
      </c>
      <c r="P68" t="str">
        <f t="shared" si="7"/>
        <v>2026-01-27</v>
      </c>
      <c r="Q68" t="str">
        <f t="shared" si="8"/>
        <v>日本ロレアル</v>
      </c>
      <c r="R68" t="str">
        <f t="shared" si="9"/>
        <v>ベビーリーフ グリーンオーク</v>
      </c>
      <c r="S68">
        <f t="shared" si="10"/>
        <v>200</v>
      </c>
    </row>
    <row r="69" spans="1:19">
      <c r="A69" s="13">
        <v>72963</v>
      </c>
      <c r="B69" s="14" t="s">
        <v>23</v>
      </c>
      <c r="C69" s="15">
        <v>46049</v>
      </c>
      <c r="D69" s="16" t="s">
        <v>67</v>
      </c>
      <c r="E69" s="16" t="s">
        <v>2</v>
      </c>
      <c r="F69" s="17">
        <v>200</v>
      </c>
      <c r="G69" s="18" t="s">
        <v>24</v>
      </c>
      <c r="H69" s="9">
        <v>46049</v>
      </c>
      <c r="I69" s="10" t="s">
        <v>72</v>
      </c>
      <c r="J69" s="10" t="s">
        <v>3</v>
      </c>
      <c r="K69" s="11">
        <v>220</v>
      </c>
      <c r="O69" t="str" cm="1">
        <f t="array" ref="O69">_xlfn.LET(
_xlpm.corp,$I69,_xlpm.key,$M$2:$M$200,_xlpm.name,$N$2:$N$200,_xlpm.hits,_xlfn._xlws.FILTER(_xlpm.name,ISNUMBER(SEARCH(_xlpm.key,_xlpm.corp))),
IFERROR(INDEX(_xlpm.hits,1),_xlpm.corp))</f>
        <v>岡部</v>
      </c>
      <c r="P69" t="str">
        <f t="shared" si="7"/>
        <v>2026-01-27</v>
      </c>
      <c r="Q69" t="str">
        <f t="shared" si="8"/>
        <v>岡部/加工BL</v>
      </c>
      <c r="R69" t="str">
        <f t="shared" si="9"/>
        <v>加工BL</v>
      </c>
      <c r="S69">
        <f t="shared" si="10"/>
        <v>220</v>
      </c>
    </row>
    <row r="70" spans="1:19">
      <c r="A70" s="7">
        <v>72962</v>
      </c>
      <c r="B70" s="8" t="s">
        <v>23</v>
      </c>
      <c r="C70" s="9">
        <v>46049</v>
      </c>
      <c r="D70" s="10" t="s">
        <v>72</v>
      </c>
      <c r="E70" s="10" t="s">
        <v>3</v>
      </c>
      <c r="F70" s="11">
        <v>220</v>
      </c>
      <c r="G70" s="12" t="s">
        <v>24</v>
      </c>
      <c r="H70" s="15">
        <v>46048</v>
      </c>
      <c r="I70" s="16" t="s">
        <v>65</v>
      </c>
      <c r="J70" s="16" t="s">
        <v>10</v>
      </c>
      <c r="K70" s="17">
        <v>205</v>
      </c>
      <c r="O70" t="str" cm="1">
        <f t="array" ref="O70">_xlfn.LET(
_xlpm.corp,$I70,_xlpm.key,$M$2:$M$200,_xlpm.name,$N$2:$N$200,_xlpm.hits,_xlfn._xlws.FILTER(_xlpm.name,ISNUMBER(SEARCH(_xlpm.key,_xlpm.corp))),
IFERROR(INDEX(_xlpm.hits,1),_xlpm.corp))</f>
        <v>マルテー</v>
      </c>
      <c r="P70" t="str">
        <f t="shared" si="7"/>
        <v>2026-01-26</v>
      </c>
      <c r="Q70" t="str">
        <f t="shared" si="8"/>
        <v>マルテー/加工BL</v>
      </c>
      <c r="R70" t="str">
        <f t="shared" si="9"/>
        <v>加工品 イチゴ</v>
      </c>
      <c r="S70">
        <f t="shared" si="10"/>
        <v>205</v>
      </c>
    </row>
    <row r="71" spans="1:19">
      <c r="A71" s="13">
        <v>73455</v>
      </c>
      <c r="B71" s="14" t="s">
        <v>23</v>
      </c>
      <c r="C71" s="15">
        <v>46048</v>
      </c>
      <c r="D71" s="16" t="s">
        <v>65</v>
      </c>
      <c r="E71" s="16" t="s">
        <v>10</v>
      </c>
      <c r="F71" s="17">
        <v>205</v>
      </c>
      <c r="G71" s="18" t="s">
        <v>24</v>
      </c>
      <c r="H71" s="9">
        <v>46048</v>
      </c>
      <c r="I71" s="10" t="s">
        <v>65</v>
      </c>
      <c r="J71" s="10" t="s">
        <v>261</v>
      </c>
      <c r="K71" s="11">
        <v>187</v>
      </c>
      <c r="O71" t="str" cm="1">
        <f t="array" ref="O71">_xlfn.LET(
_xlpm.corp,$I71,_xlpm.key,$M$2:$M$200,_xlpm.name,$N$2:$N$200,_xlpm.hits,_xlfn._xlws.FILTER(_xlpm.name,ISNUMBER(SEARCH(_xlpm.key,_xlpm.corp))),
IFERROR(INDEX(_xlpm.hits,1),_xlpm.corp))</f>
        <v>マルテー</v>
      </c>
      <c r="P71" t="str">
        <f t="shared" si="7"/>
        <v>2026-01-26</v>
      </c>
      <c r="Q71" t="str">
        <f t="shared" si="8"/>
        <v>マルテー/イチゴ</v>
      </c>
      <c r="R71" t="str">
        <f t="shared" si="9"/>
        <v>イチゴ（かおり野）</v>
      </c>
      <c r="S71">
        <f t="shared" si="10"/>
        <v>187</v>
      </c>
    </row>
    <row r="72" spans="1:19">
      <c r="A72" s="7">
        <v>73454</v>
      </c>
      <c r="B72" s="8" t="s">
        <v>23</v>
      </c>
      <c r="C72" s="9">
        <v>46048</v>
      </c>
      <c r="D72" s="10" t="s">
        <v>65</v>
      </c>
      <c r="E72" s="10" t="s">
        <v>261</v>
      </c>
      <c r="F72" s="11">
        <v>187</v>
      </c>
      <c r="G72" s="12" t="s">
        <v>24</v>
      </c>
      <c r="H72" s="15">
        <v>46048</v>
      </c>
      <c r="I72" s="16" t="s">
        <v>65</v>
      </c>
      <c r="J72" s="16" t="s">
        <v>8</v>
      </c>
      <c r="K72" s="17">
        <v>593</v>
      </c>
      <c r="O72" t="str" cm="1">
        <f t="array" ref="O72">_xlfn.LET(
_xlpm.corp,$I72,_xlpm.key,$M$2:$M$200,_xlpm.name,$N$2:$N$200,_xlpm.hits,_xlfn._xlws.FILTER(_xlpm.name,ISNUMBER(SEARCH(_xlpm.key,_xlpm.corp))),
IFERROR(INDEX(_xlpm.hits,1),_xlpm.corp))</f>
        <v>マルテー</v>
      </c>
      <c r="P72" t="str">
        <f t="shared" si="7"/>
        <v>2026-01-26</v>
      </c>
      <c r="Q72" t="str">
        <f t="shared" si="8"/>
        <v>マルテー/イチゴ</v>
      </c>
      <c r="R72" t="str">
        <f t="shared" si="9"/>
        <v>イチゴ</v>
      </c>
      <c r="S72">
        <f t="shared" si="10"/>
        <v>593</v>
      </c>
    </row>
    <row r="73" spans="1:19">
      <c r="A73" s="13">
        <v>73453</v>
      </c>
      <c r="B73" s="14" t="s">
        <v>23</v>
      </c>
      <c r="C73" s="15">
        <v>46048</v>
      </c>
      <c r="D73" s="16" t="s">
        <v>65</v>
      </c>
      <c r="E73" s="16" t="s">
        <v>8</v>
      </c>
      <c r="F73" s="17">
        <v>593</v>
      </c>
      <c r="G73" s="18" t="s">
        <v>24</v>
      </c>
      <c r="H73" s="9">
        <v>46048</v>
      </c>
      <c r="I73" s="10" t="s">
        <v>26</v>
      </c>
      <c r="J73" s="10" t="s">
        <v>11</v>
      </c>
      <c r="K73" s="11">
        <v>300</v>
      </c>
      <c r="O73" t="str" cm="1">
        <f t="array" ref="O73">_xlfn.LET(
_xlpm.corp,$I73,_xlpm.key,$M$2:$M$200,_xlpm.name,$N$2:$N$200,_xlpm.hits,_xlfn._xlws.FILTER(_xlpm.name,ISNUMBER(SEARCH(_xlpm.key,_xlpm.corp))),
IFERROR(INDEX(_xlpm.hits,1),_xlpm.corp))</f>
        <v>日建</v>
      </c>
      <c r="P73" t="str">
        <f t="shared" si="7"/>
        <v>2026-01-26</v>
      </c>
      <c r="Q73" t="str">
        <f t="shared" si="8"/>
        <v>日建</v>
      </c>
      <c r="R73" t="str">
        <f t="shared" si="9"/>
        <v>ベビーリーフ レッドオーク</v>
      </c>
      <c r="S73">
        <f t="shared" si="10"/>
        <v>300</v>
      </c>
    </row>
    <row r="74" spans="1:19">
      <c r="A74" s="7">
        <v>72961</v>
      </c>
      <c r="B74" s="8" t="s">
        <v>23</v>
      </c>
      <c r="C74" s="9">
        <v>46048</v>
      </c>
      <c r="D74" s="10" t="s">
        <v>26</v>
      </c>
      <c r="E74" s="10" t="s">
        <v>11</v>
      </c>
      <c r="F74" s="11">
        <v>300</v>
      </c>
      <c r="G74" s="12" t="s">
        <v>24</v>
      </c>
      <c r="H74" s="15">
        <v>46048</v>
      </c>
      <c r="I74" s="16" t="s">
        <v>66</v>
      </c>
      <c r="J74" s="16" t="s">
        <v>11</v>
      </c>
      <c r="K74" s="19">
        <v>2460</v>
      </c>
      <c r="O74" t="str" cm="1">
        <f t="array" ref="O74">_xlfn.LET(
_xlpm.corp,$I74,_xlpm.key,$M$2:$M$200,_xlpm.name,$N$2:$N$200,_xlpm.hits,_xlfn._xlws.FILTER(_xlpm.name,ISNUMBER(SEARCH(_xlpm.key,_xlpm.corp))),
IFERROR(INDEX(_xlpm.hits,1),_xlpm.corp))</f>
        <v>ケイアイ</v>
      </c>
      <c r="P74" t="str">
        <f t="shared" si="7"/>
        <v>2026-01-26</v>
      </c>
      <c r="Q74" t="str">
        <f t="shared" si="8"/>
        <v>ケイアイ</v>
      </c>
      <c r="R74" t="str">
        <f t="shared" si="9"/>
        <v>ベビーリーフ レッドオーク</v>
      </c>
      <c r="S74">
        <f t="shared" si="10"/>
        <v>2460</v>
      </c>
    </row>
    <row r="75" spans="1:19">
      <c r="A75" s="13">
        <v>72960</v>
      </c>
      <c r="B75" s="14" t="s">
        <v>23</v>
      </c>
      <c r="C75" s="15">
        <v>46048</v>
      </c>
      <c r="D75" s="16" t="s">
        <v>66</v>
      </c>
      <c r="E75" s="16" t="s">
        <v>11</v>
      </c>
      <c r="F75" s="19">
        <v>2460</v>
      </c>
      <c r="G75" s="18" t="s">
        <v>24</v>
      </c>
      <c r="H75" s="9">
        <v>46048</v>
      </c>
      <c r="I75" s="10" t="s">
        <v>67</v>
      </c>
      <c r="J75" s="10" t="s">
        <v>2</v>
      </c>
      <c r="K75" s="11">
        <v>300</v>
      </c>
      <c r="O75" t="str" cm="1">
        <f t="array" ref="O75">_xlfn.LET(
_xlpm.corp,$I75,_xlpm.key,$M$2:$M$200,_xlpm.name,$N$2:$N$200,_xlpm.hits,_xlfn._xlws.FILTER(_xlpm.name,ISNUMBER(SEARCH(_xlpm.key,_xlpm.corp))),
IFERROR(INDEX(_xlpm.hits,1),_xlpm.corp))</f>
        <v>日本ロレアル</v>
      </c>
      <c r="P75" t="str">
        <f t="shared" si="7"/>
        <v>2026-01-26</v>
      </c>
      <c r="Q75" t="str">
        <f t="shared" si="8"/>
        <v>日本ロレアル</v>
      </c>
      <c r="R75" t="str">
        <f t="shared" si="9"/>
        <v>ベビーリーフ グリーンオーク</v>
      </c>
      <c r="S75">
        <f t="shared" si="10"/>
        <v>300</v>
      </c>
    </row>
    <row r="76" spans="1:19">
      <c r="A76" s="7">
        <v>72959</v>
      </c>
      <c r="B76" s="8" t="s">
        <v>23</v>
      </c>
      <c r="C76" s="9">
        <v>46048</v>
      </c>
      <c r="D76" s="10" t="s">
        <v>67</v>
      </c>
      <c r="E76" s="10" t="s">
        <v>2</v>
      </c>
      <c r="F76" s="11">
        <v>300</v>
      </c>
      <c r="G76" s="12" t="s">
        <v>24</v>
      </c>
      <c r="H76" s="15">
        <v>46048</v>
      </c>
      <c r="I76" s="16" t="s">
        <v>67</v>
      </c>
      <c r="J76" s="16" t="s">
        <v>3</v>
      </c>
      <c r="K76" s="17">
        <v>100</v>
      </c>
      <c r="O76" t="str" cm="1">
        <f t="array" ref="O76">_xlfn.LET(
_xlpm.corp,$I76,_xlpm.key,$M$2:$M$200,_xlpm.name,$N$2:$N$200,_xlpm.hits,_xlfn._xlws.FILTER(_xlpm.name,ISNUMBER(SEARCH(_xlpm.key,_xlpm.corp))),
IFERROR(INDEX(_xlpm.hits,1),_xlpm.corp))</f>
        <v>日本ロレアル</v>
      </c>
      <c r="P76" t="str">
        <f t="shared" si="7"/>
        <v>2026-01-26</v>
      </c>
      <c r="Q76" t="str">
        <f t="shared" si="8"/>
        <v>日本ロレアル/加工BL</v>
      </c>
      <c r="R76" t="str">
        <f t="shared" si="9"/>
        <v>加工BL</v>
      </c>
      <c r="S76">
        <f t="shared" si="10"/>
        <v>100</v>
      </c>
    </row>
    <row r="77" spans="1:19">
      <c r="A77" s="13">
        <v>72958</v>
      </c>
      <c r="B77" s="14" t="s">
        <v>23</v>
      </c>
      <c r="C77" s="15">
        <v>46048</v>
      </c>
      <c r="D77" s="16" t="s">
        <v>67</v>
      </c>
      <c r="E77" s="16" t="s">
        <v>3</v>
      </c>
      <c r="F77" s="17">
        <v>100</v>
      </c>
      <c r="G77" s="18" t="s">
        <v>24</v>
      </c>
      <c r="H77" s="9">
        <v>46048</v>
      </c>
      <c r="I77" s="10" t="s">
        <v>27</v>
      </c>
      <c r="J77" s="10" t="s">
        <v>4</v>
      </c>
      <c r="K77" s="11">
        <v>780</v>
      </c>
      <c r="O77" t="str" cm="1">
        <f t="array" ref="O77">_xlfn.LET(
_xlpm.corp,$I77,_xlpm.key,$M$2:$M$200,_xlpm.name,$N$2:$N$200,_xlpm.hits,_xlfn._xlws.FILTER(_xlpm.name,ISNUMBER(SEARCH(_xlpm.key,_xlpm.corp))),
IFERROR(INDEX(_xlpm.hits,1),_xlpm.corp))</f>
        <v>東レ</v>
      </c>
      <c r="P77" t="str">
        <f t="shared" si="7"/>
        <v>2026-01-26</v>
      </c>
      <c r="Q77" t="str">
        <f t="shared" si="8"/>
        <v>東レ</v>
      </c>
      <c r="R77" t="str">
        <f t="shared" si="9"/>
        <v>ベビーリーフ ピノグリーン</v>
      </c>
      <c r="S77">
        <f t="shared" si="10"/>
        <v>780</v>
      </c>
    </row>
    <row r="78" spans="1:19">
      <c r="A78" s="7">
        <v>72957</v>
      </c>
      <c r="B78" s="8" t="s">
        <v>23</v>
      </c>
      <c r="C78" s="9">
        <v>46048</v>
      </c>
      <c r="D78" s="10" t="s">
        <v>27</v>
      </c>
      <c r="E78" s="10" t="s">
        <v>4</v>
      </c>
      <c r="F78" s="11">
        <v>780</v>
      </c>
      <c r="G78" s="12" t="s">
        <v>24</v>
      </c>
      <c r="H78" s="15">
        <v>46048</v>
      </c>
      <c r="I78" s="16" t="s">
        <v>27</v>
      </c>
      <c r="J78" s="16" t="s">
        <v>3</v>
      </c>
      <c r="K78" s="17">
        <v>480</v>
      </c>
      <c r="O78" t="str" cm="1">
        <f t="array" ref="O78">_xlfn.LET(
_xlpm.corp,$I78,_xlpm.key,$M$2:$M$200,_xlpm.name,$N$2:$N$200,_xlpm.hits,_xlfn._xlws.FILTER(_xlpm.name,ISNUMBER(SEARCH(_xlpm.key,_xlpm.corp))),
IFERROR(INDEX(_xlpm.hits,1),_xlpm.corp))</f>
        <v>東レ</v>
      </c>
      <c r="P78" t="str">
        <f t="shared" si="7"/>
        <v>2026-01-26</v>
      </c>
      <c r="Q78" t="str">
        <f t="shared" si="8"/>
        <v>東レ/加工BL</v>
      </c>
      <c r="R78" t="str">
        <f t="shared" si="9"/>
        <v>加工BL</v>
      </c>
      <c r="S78">
        <f t="shared" si="10"/>
        <v>480</v>
      </c>
    </row>
    <row r="79" spans="1:19">
      <c r="A79" s="13">
        <v>72956</v>
      </c>
      <c r="B79" s="14" t="s">
        <v>23</v>
      </c>
      <c r="C79" s="15">
        <v>46048</v>
      </c>
      <c r="D79" s="16" t="s">
        <v>27</v>
      </c>
      <c r="E79" s="16" t="s">
        <v>3</v>
      </c>
      <c r="F79" s="17">
        <v>480</v>
      </c>
      <c r="G79" s="18" t="s">
        <v>24</v>
      </c>
      <c r="H79" s="9">
        <v>46048</v>
      </c>
      <c r="I79" s="10" t="s">
        <v>57</v>
      </c>
      <c r="J79" s="10" t="s">
        <v>3</v>
      </c>
      <c r="K79" s="11">
        <v>80</v>
      </c>
      <c r="O79" t="str" cm="1">
        <f t="array" ref="O79">_xlfn.LET(
_xlpm.corp,$I79,_xlpm.key,$M$2:$M$200,_xlpm.name,$N$2:$N$200,_xlpm.hits,_xlfn._xlws.FILTER(_xlpm.name,ISNUMBER(SEARCH(_xlpm.key,_xlpm.corp))),
IFERROR(INDEX(_xlpm.hits,1),_xlpm.corp))</f>
        <v>QB</v>
      </c>
      <c r="P79" t="str">
        <f t="shared" si="7"/>
        <v>2026-01-26</v>
      </c>
      <c r="Q79" t="str">
        <f t="shared" si="8"/>
        <v>QB/加工BL</v>
      </c>
      <c r="R79" t="str">
        <f t="shared" si="9"/>
        <v>加工BL</v>
      </c>
      <c r="S79">
        <f t="shared" si="10"/>
        <v>80</v>
      </c>
    </row>
    <row r="80" spans="1:19">
      <c r="A80" s="7">
        <v>72955</v>
      </c>
      <c r="B80" s="8" t="s">
        <v>23</v>
      </c>
      <c r="C80" s="9">
        <v>46048</v>
      </c>
      <c r="D80" s="10" t="s">
        <v>57</v>
      </c>
      <c r="E80" s="10" t="s">
        <v>3</v>
      </c>
      <c r="F80" s="11">
        <v>80</v>
      </c>
      <c r="G80" s="12" t="s">
        <v>24</v>
      </c>
      <c r="H80" s="15">
        <v>46048</v>
      </c>
      <c r="I80" s="16" t="s">
        <v>57</v>
      </c>
      <c r="J80" s="16" t="s">
        <v>2</v>
      </c>
      <c r="K80" s="17">
        <v>260</v>
      </c>
      <c r="O80" t="str" cm="1">
        <f t="array" ref="O80">_xlfn.LET(
_xlpm.corp,$I80,_xlpm.key,$M$2:$M$200,_xlpm.name,$N$2:$N$200,_xlpm.hits,_xlfn._xlws.FILTER(_xlpm.name,ISNUMBER(SEARCH(_xlpm.key,_xlpm.corp))),
IFERROR(INDEX(_xlpm.hits,1),_xlpm.corp))</f>
        <v>QB</v>
      </c>
      <c r="P80" t="str">
        <f t="shared" si="7"/>
        <v>2026-01-26</v>
      </c>
      <c r="Q80" t="str">
        <f t="shared" si="8"/>
        <v>QB</v>
      </c>
      <c r="R80" t="str">
        <f t="shared" si="9"/>
        <v>ベビーリーフ グリーンオーク</v>
      </c>
      <c r="S80">
        <f t="shared" si="10"/>
        <v>260</v>
      </c>
    </row>
    <row r="81" spans="1:19">
      <c r="A81" s="13">
        <v>72954</v>
      </c>
      <c r="B81" s="14" t="s">
        <v>23</v>
      </c>
      <c r="C81" s="15">
        <v>46048</v>
      </c>
      <c r="D81" s="16" t="s">
        <v>57</v>
      </c>
      <c r="E81" s="16" t="s">
        <v>2</v>
      </c>
      <c r="F81" s="17">
        <v>260</v>
      </c>
      <c r="G81" s="18" t="s">
        <v>24</v>
      </c>
      <c r="H81" s="9">
        <v>46048</v>
      </c>
      <c r="I81" s="10" t="s">
        <v>72</v>
      </c>
      <c r="J81" s="10" t="s">
        <v>11</v>
      </c>
      <c r="K81" s="11">
        <v>840</v>
      </c>
      <c r="O81" t="str" cm="1">
        <f t="array" ref="O81">_xlfn.LET(
_xlpm.corp,$I81,_xlpm.key,$M$2:$M$200,_xlpm.name,$N$2:$N$200,_xlpm.hits,_xlfn._xlws.FILTER(_xlpm.name,ISNUMBER(SEARCH(_xlpm.key,_xlpm.corp))),
IFERROR(INDEX(_xlpm.hits,1),_xlpm.corp))</f>
        <v>岡部</v>
      </c>
      <c r="P81" t="str">
        <f t="shared" si="7"/>
        <v>2026-01-26</v>
      </c>
      <c r="Q81" t="str">
        <f t="shared" si="8"/>
        <v>岡部</v>
      </c>
      <c r="R81" t="str">
        <f t="shared" si="9"/>
        <v>ベビーリーフ レッドオーク</v>
      </c>
      <c r="S81">
        <f t="shared" si="10"/>
        <v>840</v>
      </c>
    </row>
    <row r="82" spans="1:19">
      <c r="A82" s="7">
        <v>72953</v>
      </c>
      <c r="B82" s="8" t="s">
        <v>23</v>
      </c>
      <c r="C82" s="9">
        <v>46048</v>
      </c>
      <c r="D82" s="10" t="s">
        <v>72</v>
      </c>
      <c r="E82" s="10" t="s">
        <v>11</v>
      </c>
      <c r="F82" s="11">
        <v>840</v>
      </c>
      <c r="G82" s="12" t="s">
        <v>24</v>
      </c>
      <c r="H82" s="15">
        <v>46048</v>
      </c>
      <c r="I82" s="16" t="s">
        <v>57</v>
      </c>
      <c r="J82" s="16" t="s">
        <v>3</v>
      </c>
      <c r="K82" s="17">
        <v>100</v>
      </c>
      <c r="O82" t="str" cm="1">
        <f t="array" ref="O82">_xlfn.LET(
_xlpm.corp,$I82,_xlpm.key,$M$2:$M$200,_xlpm.name,$N$2:$N$200,_xlpm.hits,_xlfn._xlws.FILTER(_xlpm.name,ISNUMBER(SEARCH(_xlpm.key,_xlpm.corp))),
IFERROR(INDEX(_xlpm.hits,1),_xlpm.corp))</f>
        <v>QB</v>
      </c>
      <c r="P82" t="str">
        <f t="shared" si="7"/>
        <v>2026-01-26</v>
      </c>
      <c r="Q82" t="str">
        <f t="shared" si="8"/>
        <v>QB/加工BL</v>
      </c>
      <c r="R82" t="str">
        <f t="shared" si="9"/>
        <v>加工BL</v>
      </c>
      <c r="S82">
        <f t="shared" si="10"/>
        <v>100</v>
      </c>
    </row>
    <row r="83" spans="1:19">
      <c r="A83" s="13">
        <v>72952</v>
      </c>
      <c r="B83" s="14" t="s">
        <v>23</v>
      </c>
      <c r="C83" s="15">
        <v>46048</v>
      </c>
      <c r="D83" s="16" t="s">
        <v>57</v>
      </c>
      <c r="E83" s="16" t="s">
        <v>3</v>
      </c>
      <c r="F83" s="17">
        <v>100</v>
      </c>
      <c r="G83" s="18" t="s">
        <v>24</v>
      </c>
      <c r="H83" s="9">
        <v>46048</v>
      </c>
      <c r="I83" s="10" t="s">
        <v>57</v>
      </c>
      <c r="J83" s="10" t="s">
        <v>4</v>
      </c>
      <c r="K83" s="11">
        <v>200</v>
      </c>
      <c r="O83" t="str" cm="1">
        <f t="array" ref="O83">_xlfn.LET(
_xlpm.corp,$I83,_xlpm.key,$M$2:$M$200,_xlpm.name,$N$2:$N$200,_xlpm.hits,_xlfn._xlws.FILTER(_xlpm.name,ISNUMBER(SEARCH(_xlpm.key,_xlpm.corp))),
IFERROR(INDEX(_xlpm.hits,1),_xlpm.corp))</f>
        <v>QB</v>
      </c>
      <c r="P83" t="str">
        <f t="shared" si="7"/>
        <v>2026-01-26</v>
      </c>
      <c r="Q83" t="str">
        <f t="shared" si="8"/>
        <v>QB</v>
      </c>
      <c r="R83" t="str">
        <f t="shared" si="9"/>
        <v>ベビーリーフ ピノグリーン</v>
      </c>
      <c r="S83">
        <f t="shared" si="10"/>
        <v>200</v>
      </c>
    </row>
    <row r="84" spans="1:19">
      <c r="A84" s="7">
        <v>72951</v>
      </c>
      <c r="B84" s="8" t="s">
        <v>23</v>
      </c>
      <c r="C84" s="9">
        <v>46048</v>
      </c>
      <c r="D84" s="10" t="s">
        <v>57</v>
      </c>
      <c r="E84" s="10" t="s">
        <v>4</v>
      </c>
      <c r="F84" s="11">
        <v>200</v>
      </c>
      <c r="G84" s="12" t="s">
        <v>24</v>
      </c>
      <c r="H84" s="15">
        <v>46048</v>
      </c>
      <c r="I84" s="16" t="s">
        <v>63</v>
      </c>
      <c r="J84" s="16" t="s">
        <v>62</v>
      </c>
      <c r="K84" s="17">
        <v>500</v>
      </c>
      <c r="O84" t="str" cm="1">
        <f t="array" ref="O84">_xlfn.LET(
_xlpm.corp,$I84,_xlpm.key,$M$2:$M$200,_xlpm.name,$N$2:$N$200,_xlpm.hits,_xlfn._xlws.FILTER(_xlpm.name,ISNUMBER(SEARCH(_xlpm.key,_xlpm.corp))),
IFERROR(INDEX(_xlpm.hits,1),_xlpm.corp))</f>
        <v>富士機材</v>
      </c>
      <c r="P84" t="str">
        <f t="shared" si="7"/>
        <v>2026-01-26</v>
      </c>
      <c r="Q84" t="str">
        <f t="shared" si="8"/>
        <v>富士機材</v>
      </c>
      <c r="R84" t="str">
        <f t="shared" si="9"/>
        <v>ベビーリーフ ロログリーン</v>
      </c>
      <c r="S84">
        <f t="shared" si="10"/>
        <v>500</v>
      </c>
    </row>
    <row r="85" spans="1:19">
      <c r="A85" s="13">
        <v>72950</v>
      </c>
      <c r="B85" s="14" t="s">
        <v>23</v>
      </c>
      <c r="C85" s="15">
        <v>46048</v>
      </c>
      <c r="D85" s="16" t="s">
        <v>63</v>
      </c>
      <c r="E85" s="16" t="s">
        <v>62</v>
      </c>
      <c r="F85" s="17">
        <v>500</v>
      </c>
      <c r="G85" s="18" t="s">
        <v>24</v>
      </c>
      <c r="H85" s="9">
        <v>46048</v>
      </c>
      <c r="I85" s="10" t="s">
        <v>65</v>
      </c>
      <c r="J85" s="10" t="s">
        <v>2</v>
      </c>
      <c r="K85" s="11">
        <v>840</v>
      </c>
      <c r="O85" t="str" cm="1">
        <f t="array" ref="O85">_xlfn.LET(
_xlpm.corp,$I85,_xlpm.key,$M$2:$M$200,_xlpm.name,$N$2:$N$200,_xlpm.hits,_xlfn._xlws.FILTER(_xlpm.name,ISNUMBER(SEARCH(_xlpm.key,_xlpm.corp))),
IFERROR(INDEX(_xlpm.hits,1),_xlpm.corp))</f>
        <v>マルテー</v>
      </c>
      <c r="P85" t="str">
        <f t="shared" si="7"/>
        <v>2026-01-26</v>
      </c>
      <c r="Q85" t="str">
        <f t="shared" si="8"/>
        <v>マルテー</v>
      </c>
      <c r="R85" t="str">
        <f t="shared" si="9"/>
        <v>ベビーリーフ グリーンオーク</v>
      </c>
      <c r="S85">
        <f t="shared" si="10"/>
        <v>840</v>
      </c>
    </row>
    <row r="86" spans="1:19">
      <c r="A86" s="7">
        <v>72949</v>
      </c>
      <c r="B86" s="8" t="s">
        <v>23</v>
      </c>
      <c r="C86" s="9">
        <v>46048</v>
      </c>
      <c r="D86" s="10" t="s">
        <v>65</v>
      </c>
      <c r="E86" s="10" t="s">
        <v>2</v>
      </c>
      <c r="F86" s="11">
        <v>840</v>
      </c>
      <c r="G86" s="12" t="s">
        <v>24</v>
      </c>
      <c r="H86" s="15">
        <v>46048</v>
      </c>
      <c r="I86" s="16" t="s">
        <v>56</v>
      </c>
      <c r="J86" s="16" t="s">
        <v>3</v>
      </c>
      <c r="K86" s="17">
        <v>60</v>
      </c>
      <c r="O86" t="str" cm="1">
        <f t="array" ref="O86">_xlfn.LET(
_xlpm.corp,$I86,_xlpm.key,$M$2:$M$200,_xlpm.name,$N$2:$N$200,_xlpm.hits,_xlfn._xlws.FILTER(_xlpm.name,ISNUMBER(SEARCH(_xlpm.key,_xlpm.corp))),
IFERROR(INDEX(_xlpm.hits,1),_xlpm.corp))</f>
        <v>サンセイランディック</v>
      </c>
      <c r="P86" t="str">
        <f t="shared" si="7"/>
        <v>2026-01-26</v>
      </c>
      <c r="Q86" t="str">
        <f t="shared" si="8"/>
        <v>サンセイランディック/加工BL</v>
      </c>
      <c r="R86" t="str">
        <f t="shared" si="9"/>
        <v>加工BL</v>
      </c>
      <c r="S86">
        <f t="shared" si="10"/>
        <v>60</v>
      </c>
    </row>
    <row r="87" spans="1:19">
      <c r="A87" s="13">
        <v>72948</v>
      </c>
      <c r="B87" s="14" t="s">
        <v>23</v>
      </c>
      <c r="C87" s="15">
        <v>46048</v>
      </c>
      <c r="D87" s="16" t="s">
        <v>56</v>
      </c>
      <c r="E87" s="16" t="s">
        <v>3</v>
      </c>
      <c r="F87" s="17">
        <v>60</v>
      </c>
      <c r="G87" s="18" t="s">
        <v>24</v>
      </c>
      <c r="H87" s="9">
        <v>46048</v>
      </c>
      <c r="I87" s="10" t="s">
        <v>58</v>
      </c>
      <c r="J87" s="10" t="s">
        <v>4</v>
      </c>
      <c r="K87" s="11">
        <v>160</v>
      </c>
      <c r="O87" t="str" cm="1">
        <f t="array" ref="O87">_xlfn.LET(
_xlpm.corp,$I87,_xlpm.key,$M$2:$M$200,_xlpm.name,$N$2:$N$200,_xlpm.hits,_xlfn._xlws.FILTER(_xlpm.name,ISNUMBER(SEARCH(_xlpm.key,_xlpm.corp))),
IFERROR(INDEX(_xlpm.hits,1),_xlpm.corp))</f>
        <v>慈誠会</v>
      </c>
      <c r="P87" t="str">
        <f t="shared" si="7"/>
        <v>2026-01-26</v>
      </c>
      <c r="Q87" t="str">
        <f t="shared" si="8"/>
        <v>慈誠会</v>
      </c>
      <c r="R87" t="str">
        <f t="shared" si="9"/>
        <v>ベビーリーフ ピノグリーン</v>
      </c>
      <c r="S87">
        <f t="shared" si="10"/>
        <v>160</v>
      </c>
    </row>
    <row r="88" spans="1:19">
      <c r="A88" s="7">
        <v>72947</v>
      </c>
      <c r="B88" s="8" t="s">
        <v>23</v>
      </c>
      <c r="C88" s="9">
        <v>46048</v>
      </c>
      <c r="D88" s="10" t="s">
        <v>58</v>
      </c>
      <c r="E88" s="10" t="s">
        <v>4</v>
      </c>
      <c r="F88" s="11">
        <v>160</v>
      </c>
      <c r="G88" s="12" t="s">
        <v>24</v>
      </c>
      <c r="H88" s="15">
        <v>46048</v>
      </c>
      <c r="I88" s="16" t="s">
        <v>56</v>
      </c>
      <c r="J88" s="16" t="s">
        <v>2</v>
      </c>
      <c r="K88" s="17">
        <v>420</v>
      </c>
      <c r="O88" t="str" cm="1">
        <f t="array" ref="O88">_xlfn.LET(
_xlpm.corp,$I88,_xlpm.key,$M$2:$M$200,_xlpm.name,$N$2:$N$200,_xlpm.hits,_xlfn._xlws.FILTER(_xlpm.name,ISNUMBER(SEARCH(_xlpm.key,_xlpm.corp))),
IFERROR(INDEX(_xlpm.hits,1),_xlpm.corp))</f>
        <v>サンセイランディック</v>
      </c>
      <c r="P88" t="str">
        <f t="shared" si="7"/>
        <v>2026-01-26</v>
      </c>
      <c r="Q88" t="str">
        <f t="shared" si="8"/>
        <v>サンセイランディック</v>
      </c>
      <c r="R88" t="str">
        <f t="shared" si="9"/>
        <v>ベビーリーフ グリーンオーク</v>
      </c>
      <c r="S88">
        <f t="shared" si="10"/>
        <v>420</v>
      </c>
    </row>
    <row r="89" spans="1:19">
      <c r="A89" s="13">
        <v>72946</v>
      </c>
      <c r="B89" s="14" t="s">
        <v>23</v>
      </c>
      <c r="C89" s="15">
        <v>46048</v>
      </c>
      <c r="D89" s="16" t="s">
        <v>56</v>
      </c>
      <c r="E89" s="16" t="s">
        <v>2</v>
      </c>
      <c r="F89" s="17">
        <v>420</v>
      </c>
      <c r="G89" s="18" t="s">
        <v>24</v>
      </c>
      <c r="H89" s="9">
        <v>46048</v>
      </c>
      <c r="I89" s="10" t="s">
        <v>28</v>
      </c>
      <c r="J89" s="10" t="s">
        <v>2</v>
      </c>
      <c r="K89" s="11">
        <v>300</v>
      </c>
      <c r="O89" t="str" cm="1">
        <f t="array" ref="O89">_xlfn.LET(
_xlpm.corp,$I89,_xlpm.key,$M$2:$M$200,_xlpm.name,$N$2:$N$200,_xlpm.hits,_xlfn._xlws.FILTER(_xlpm.name,ISNUMBER(SEARCH(_xlpm.key,_xlpm.corp))),
IFERROR(INDEX(_xlpm.hits,1),_xlpm.corp))</f>
        <v>牧野フライス</v>
      </c>
      <c r="P89" t="str">
        <f t="shared" si="7"/>
        <v>2026-01-26</v>
      </c>
      <c r="Q89" t="str">
        <f t="shared" si="8"/>
        <v>牧野フライス</v>
      </c>
      <c r="R89" t="str">
        <f t="shared" si="9"/>
        <v>ベビーリーフ グリーンオーク</v>
      </c>
      <c r="S89">
        <f t="shared" si="10"/>
        <v>300</v>
      </c>
    </row>
    <row r="90" spans="1:19">
      <c r="A90" s="7">
        <v>72945</v>
      </c>
      <c r="B90" s="8" t="s">
        <v>23</v>
      </c>
      <c r="C90" s="9">
        <v>46048</v>
      </c>
      <c r="D90" s="10" t="s">
        <v>28</v>
      </c>
      <c r="E90" s="10" t="s">
        <v>2</v>
      </c>
      <c r="F90" s="11">
        <v>300</v>
      </c>
      <c r="G90" s="12" t="s">
        <v>24</v>
      </c>
      <c r="H90" s="15">
        <v>46048</v>
      </c>
      <c r="I90" s="16" t="s">
        <v>25</v>
      </c>
      <c r="J90" s="16" t="s">
        <v>2</v>
      </c>
      <c r="K90" s="17">
        <v>220</v>
      </c>
      <c r="O90" t="str" cm="1">
        <f t="array" ref="O90">_xlfn.LET(
_xlpm.corp,$I90,_xlpm.key,$M$2:$M$200,_xlpm.name,$N$2:$N$200,_xlpm.hits,_xlfn._xlws.FILTER(_xlpm.name,ISNUMBER(SEARCH(_xlpm.key,_xlpm.corp))),
IFERROR(INDEX(_xlpm.hits,1),_xlpm.corp))</f>
        <v>日本ファブテック</v>
      </c>
      <c r="P90" t="str">
        <f t="shared" si="7"/>
        <v>2026-01-26</v>
      </c>
      <c r="Q90" t="str">
        <f t="shared" si="8"/>
        <v>日本ファブテック</v>
      </c>
      <c r="R90" t="str">
        <f t="shared" si="9"/>
        <v>ベビーリーフ グリーンオーク</v>
      </c>
      <c r="S90">
        <f t="shared" si="10"/>
        <v>220</v>
      </c>
    </row>
    <row r="91" spans="1:19">
      <c r="A91" s="13">
        <v>72944</v>
      </c>
      <c r="B91" s="14" t="s">
        <v>23</v>
      </c>
      <c r="C91" s="15">
        <v>46048</v>
      </c>
      <c r="D91" s="16" t="s">
        <v>25</v>
      </c>
      <c r="E91" s="16" t="s">
        <v>2</v>
      </c>
      <c r="F91" s="17">
        <v>220</v>
      </c>
      <c r="G91" s="18" t="s">
        <v>24</v>
      </c>
      <c r="H91" s="9">
        <v>46048</v>
      </c>
      <c r="I91" s="10" t="s">
        <v>59</v>
      </c>
      <c r="J91" s="10" t="s">
        <v>2</v>
      </c>
      <c r="K91" s="11">
        <v>800</v>
      </c>
      <c r="O91" t="str" cm="1">
        <f t="array" ref="O91">_xlfn.LET(
_xlpm.corp,$I91,_xlpm.key,$M$2:$M$200,_xlpm.name,$N$2:$N$200,_xlpm.hits,_xlfn._xlws.FILTER(_xlpm.name,ISNUMBER(SEARCH(_xlpm.key,_xlpm.corp))),
IFERROR(INDEX(_xlpm.hits,1),_xlpm.corp))</f>
        <v>三和</v>
      </c>
      <c r="P91" t="str">
        <f t="shared" si="7"/>
        <v>2026-01-26</v>
      </c>
      <c r="Q91" t="str">
        <f t="shared" si="8"/>
        <v>三和</v>
      </c>
      <c r="R91" t="str">
        <f t="shared" si="9"/>
        <v>ベビーリーフ グリーンオーク</v>
      </c>
      <c r="S91">
        <f t="shared" si="10"/>
        <v>800</v>
      </c>
    </row>
    <row r="92" spans="1:19">
      <c r="A92" s="7">
        <v>72943</v>
      </c>
      <c r="B92" s="8" t="s">
        <v>23</v>
      </c>
      <c r="C92" s="9">
        <v>46048</v>
      </c>
      <c r="D92" s="10" t="s">
        <v>59</v>
      </c>
      <c r="E92" s="10" t="s">
        <v>2</v>
      </c>
      <c r="F92" s="11">
        <v>800</v>
      </c>
      <c r="G92" s="12" t="s">
        <v>24</v>
      </c>
      <c r="H92" s="15">
        <v>46048</v>
      </c>
      <c r="I92" s="16" t="s">
        <v>68</v>
      </c>
      <c r="J92" s="16" t="s">
        <v>2</v>
      </c>
      <c r="K92" s="17">
        <v>480</v>
      </c>
      <c r="O92" t="str" cm="1">
        <f t="array" ref="O92">_xlfn.LET(
_xlpm.corp,$I92,_xlpm.key,$M$2:$M$200,_xlpm.name,$N$2:$N$200,_xlpm.hits,_xlfn._xlws.FILTER(_xlpm.name,ISNUMBER(SEARCH(_xlpm.key,_xlpm.corp))),
IFERROR(INDEX(_xlpm.hits,1),_xlpm.corp))</f>
        <v>昭和女子</v>
      </c>
      <c r="P92" t="str">
        <f t="shared" si="7"/>
        <v>2026-01-26</v>
      </c>
      <c r="Q92" t="str">
        <f t="shared" si="8"/>
        <v>昭和女子</v>
      </c>
      <c r="R92" t="str">
        <f t="shared" si="9"/>
        <v>ベビーリーフ グリーンオーク</v>
      </c>
      <c r="S92">
        <f t="shared" si="10"/>
        <v>480</v>
      </c>
    </row>
    <row r="93" spans="1:19">
      <c r="A93" s="13">
        <v>72942</v>
      </c>
      <c r="B93" s="14" t="s">
        <v>23</v>
      </c>
      <c r="C93" s="15">
        <v>46048</v>
      </c>
      <c r="D93" s="16" t="s">
        <v>68</v>
      </c>
      <c r="E93" s="16" t="s">
        <v>2</v>
      </c>
      <c r="F93" s="17">
        <v>480</v>
      </c>
      <c r="G93" s="18" t="s">
        <v>24</v>
      </c>
      <c r="H93" s="9">
        <v>46048</v>
      </c>
      <c r="I93" s="10" t="s">
        <v>60</v>
      </c>
      <c r="J93" s="10" t="s">
        <v>3</v>
      </c>
      <c r="K93" s="11">
        <v>140</v>
      </c>
      <c r="O93" t="str" cm="1">
        <f t="array" ref="O93">_xlfn.LET(
_xlpm.corp,$I93,_xlpm.key,$M$2:$M$200,_xlpm.name,$N$2:$N$200,_xlpm.hits,_xlfn._xlws.FILTER(_xlpm.name,ISNUMBER(SEARCH(_xlpm.key,_xlpm.corp))),
IFERROR(INDEX(_xlpm.hits,1),_xlpm.corp))</f>
        <v>サンテレホン</v>
      </c>
      <c r="P93" t="str">
        <f t="shared" si="7"/>
        <v>2026-01-26</v>
      </c>
      <c r="Q93" t="str">
        <f t="shared" si="8"/>
        <v>サンテレホン/加工BL</v>
      </c>
      <c r="R93" t="str">
        <f t="shared" si="9"/>
        <v>加工BL</v>
      </c>
      <c r="S93">
        <f t="shared" si="10"/>
        <v>140</v>
      </c>
    </row>
    <row r="94" spans="1:19">
      <c r="A94" s="7">
        <v>72941</v>
      </c>
      <c r="B94" s="8" t="s">
        <v>23</v>
      </c>
      <c r="C94" s="9">
        <v>46048</v>
      </c>
      <c r="D94" s="10" t="s">
        <v>60</v>
      </c>
      <c r="E94" s="10" t="s">
        <v>3</v>
      </c>
      <c r="F94" s="11">
        <v>140</v>
      </c>
      <c r="G94" s="12" t="s">
        <v>24</v>
      </c>
      <c r="H94" s="15">
        <v>46048</v>
      </c>
      <c r="I94" s="16" t="s">
        <v>60</v>
      </c>
      <c r="J94" s="16" t="s">
        <v>4</v>
      </c>
      <c r="K94" s="17">
        <v>160</v>
      </c>
      <c r="O94" t="str" cm="1">
        <f t="array" ref="O94">_xlfn.LET(
_xlpm.corp,$I94,_xlpm.key,$M$2:$M$200,_xlpm.name,$N$2:$N$200,_xlpm.hits,_xlfn._xlws.FILTER(_xlpm.name,ISNUMBER(SEARCH(_xlpm.key,_xlpm.corp))),
IFERROR(INDEX(_xlpm.hits,1),_xlpm.corp))</f>
        <v>サンテレホン</v>
      </c>
      <c r="P94" t="str">
        <f t="shared" si="7"/>
        <v>2026-01-26</v>
      </c>
      <c r="Q94" t="str">
        <f t="shared" si="8"/>
        <v>サンテレホン</v>
      </c>
      <c r="R94" t="str">
        <f t="shared" si="9"/>
        <v>ベビーリーフ ピノグリーン</v>
      </c>
      <c r="S94">
        <f t="shared" si="10"/>
        <v>160</v>
      </c>
    </row>
    <row r="95" spans="1:19">
      <c r="A95" s="13">
        <v>72940</v>
      </c>
      <c r="B95" s="14" t="s">
        <v>23</v>
      </c>
      <c r="C95" s="15">
        <v>46048</v>
      </c>
      <c r="D95" s="16" t="s">
        <v>60</v>
      </c>
      <c r="E95" s="16" t="s">
        <v>4</v>
      </c>
      <c r="F95" s="17">
        <v>160</v>
      </c>
      <c r="G95" s="18" t="s">
        <v>24</v>
      </c>
      <c r="H95" s="9">
        <v>46048</v>
      </c>
      <c r="I95" s="10" t="s">
        <v>68</v>
      </c>
      <c r="J95" s="10" t="s">
        <v>2</v>
      </c>
      <c r="K95" s="11">
        <v>360</v>
      </c>
      <c r="O95" t="str" cm="1">
        <f t="array" ref="O95">_xlfn.LET(
_xlpm.corp,$I95,_xlpm.key,$M$2:$M$200,_xlpm.name,$N$2:$N$200,_xlpm.hits,_xlfn._xlws.FILTER(_xlpm.name,ISNUMBER(SEARCH(_xlpm.key,_xlpm.corp))),
IFERROR(INDEX(_xlpm.hits,1),_xlpm.corp))</f>
        <v>昭和女子</v>
      </c>
      <c r="P95" t="str">
        <f t="shared" si="7"/>
        <v>2026-01-26</v>
      </c>
      <c r="Q95" t="str">
        <f t="shared" si="8"/>
        <v>昭和女子</v>
      </c>
      <c r="R95" t="str">
        <f t="shared" si="9"/>
        <v>ベビーリーフ グリーンオーク</v>
      </c>
      <c r="S95">
        <f t="shared" si="10"/>
        <v>360</v>
      </c>
    </row>
    <row r="96" spans="1:19">
      <c r="A96" s="7">
        <v>72939</v>
      </c>
      <c r="B96" s="8" t="s">
        <v>23</v>
      </c>
      <c r="C96" s="9">
        <v>46048</v>
      </c>
      <c r="D96" s="10" t="s">
        <v>68</v>
      </c>
      <c r="E96" s="10" t="s">
        <v>2</v>
      </c>
      <c r="F96" s="11">
        <v>360</v>
      </c>
      <c r="G96" s="12" t="s">
        <v>24</v>
      </c>
      <c r="H96" s="15">
        <v>46048</v>
      </c>
      <c r="I96" s="16" t="s">
        <v>70</v>
      </c>
      <c r="J96" s="16" t="s">
        <v>9</v>
      </c>
      <c r="K96" s="17">
        <v>580</v>
      </c>
      <c r="O96" t="str" cm="1">
        <f t="array" ref="O96">_xlfn.LET(
_xlpm.corp,$I96,_xlpm.key,$M$2:$M$200,_xlpm.name,$N$2:$N$200,_xlpm.hits,_xlfn._xlws.FILTER(_xlpm.name,ISNUMBER(SEARCH(_xlpm.key,_xlpm.corp))),
IFERROR(INDEX(_xlpm.hits,1),_xlpm.corp))</f>
        <v>富士機械</v>
      </c>
      <c r="P96" t="str">
        <f t="shared" si="7"/>
        <v>2026-01-26</v>
      </c>
      <c r="Q96" t="str">
        <f t="shared" si="8"/>
        <v>富士機械</v>
      </c>
      <c r="R96" t="str">
        <f t="shared" si="9"/>
        <v>ベビーリーフ ロロロッサ</v>
      </c>
      <c r="S96">
        <f t="shared" si="10"/>
        <v>580</v>
      </c>
    </row>
    <row r="97" spans="1:19">
      <c r="A97" s="13">
        <v>72938</v>
      </c>
      <c r="B97" s="14" t="s">
        <v>23</v>
      </c>
      <c r="C97" s="15">
        <v>46048</v>
      </c>
      <c r="D97" s="16" t="s">
        <v>70</v>
      </c>
      <c r="E97" s="16" t="s">
        <v>9</v>
      </c>
      <c r="F97" s="17">
        <v>580</v>
      </c>
      <c r="G97" s="18" t="s">
        <v>24</v>
      </c>
      <c r="H97" s="9">
        <v>46048</v>
      </c>
      <c r="I97" s="10" t="s">
        <v>71</v>
      </c>
      <c r="J97" s="10" t="s">
        <v>73</v>
      </c>
      <c r="K97" s="11">
        <v>400</v>
      </c>
      <c r="O97" t="str" cm="1">
        <f t="array" ref="O97">_xlfn.LET(
_xlpm.corp,$I97,_xlpm.key,$M$2:$M$200,_xlpm.name,$N$2:$N$200,_xlpm.hits,_xlfn._xlws.FILTER(_xlpm.name,ISNUMBER(SEARCH(_xlpm.key,_xlpm.corp))),
IFERROR(INDEX(_xlpm.hits,1),_xlpm.corp))</f>
        <v>ソリトン</v>
      </c>
      <c r="P97" t="str">
        <f t="shared" si="7"/>
        <v>2026-01-26</v>
      </c>
      <c r="Q97" t="str">
        <f t="shared" si="8"/>
        <v>ソリトン/葉物野菜</v>
      </c>
      <c r="R97" t="str">
        <f t="shared" si="9"/>
        <v>ラディッシュ</v>
      </c>
      <c r="S97">
        <f t="shared" si="10"/>
        <v>400</v>
      </c>
    </row>
    <row r="98" spans="1:19">
      <c r="A98" s="7">
        <v>72937</v>
      </c>
      <c r="B98" s="8" t="s">
        <v>23</v>
      </c>
      <c r="C98" s="9">
        <v>46048</v>
      </c>
      <c r="D98" s="10" t="s">
        <v>71</v>
      </c>
      <c r="E98" s="10" t="s">
        <v>73</v>
      </c>
      <c r="F98" s="11">
        <v>400</v>
      </c>
      <c r="G98" s="12" t="s">
        <v>24</v>
      </c>
      <c r="H98" s="15">
        <v>46048</v>
      </c>
      <c r="I98" s="16" t="s">
        <v>71</v>
      </c>
      <c r="J98" s="16" t="s">
        <v>62</v>
      </c>
      <c r="K98" s="19">
        <v>1380</v>
      </c>
      <c r="O98" t="str" cm="1">
        <f t="array" ref="O98">_xlfn.LET(
_xlpm.corp,$I98,_xlpm.key,$M$2:$M$200,_xlpm.name,$N$2:$N$200,_xlpm.hits,_xlfn._xlws.FILTER(_xlpm.name,ISNUMBER(SEARCH(_xlpm.key,_xlpm.corp))),
IFERROR(INDEX(_xlpm.hits,1),_xlpm.corp))</f>
        <v>ソリトン</v>
      </c>
      <c r="P98" t="str">
        <f t="shared" si="7"/>
        <v>2026-01-26</v>
      </c>
      <c r="Q98" t="str">
        <f t="shared" si="8"/>
        <v>ソリトン</v>
      </c>
      <c r="R98" t="str">
        <f t="shared" si="9"/>
        <v>ベビーリーフ ロログリーン</v>
      </c>
      <c r="S98">
        <f t="shared" si="10"/>
        <v>1380</v>
      </c>
    </row>
    <row r="99" spans="1:19">
      <c r="A99" s="13">
        <v>72936</v>
      </c>
      <c r="B99" s="14" t="s">
        <v>23</v>
      </c>
      <c r="C99" s="15">
        <v>46048</v>
      </c>
      <c r="D99" s="16" t="s">
        <v>71</v>
      </c>
      <c r="E99" s="16" t="s">
        <v>62</v>
      </c>
      <c r="F99" s="19">
        <v>1380</v>
      </c>
      <c r="G99" s="18" t="s">
        <v>24</v>
      </c>
      <c r="H99" s="9">
        <v>46048</v>
      </c>
      <c r="I99" s="10" t="s">
        <v>26</v>
      </c>
      <c r="J99" s="10" t="s">
        <v>29</v>
      </c>
      <c r="K99" s="20">
        <v>1060</v>
      </c>
      <c r="O99" t="str" cm="1">
        <f t="array" ref="O99">_xlfn.LET(
_xlpm.corp,$I99,_xlpm.key,$M$2:$M$200,_xlpm.name,$N$2:$N$200,_xlpm.hits,_xlfn._xlws.FILTER(_xlpm.name,ISNUMBER(SEARCH(_xlpm.key,_xlpm.corp))),
IFERROR(INDEX(_xlpm.hits,1),_xlpm.corp))</f>
        <v>日建</v>
      </c>
      <c r="P99" t="str">
        <f t="shared" si="7"/>
        <v>2026-01-26</v>
      </c>
      <c r="Q99" t="str">
        <f t="shared" si="8"/>
        <v>日建/ミニトマト</v>
      </c>
      <c r="R99" t="str">
        <f t="shared" si="9"/>
        <v>ミニトマト</v>
      </c>
      <c r="S99">
        <f t="shared" si="10"/>
        <v>1060</v>
      </c>
    </row>
    <row r="100" spans="1:19">
      <c r="A100" s="7">
        <v>72935</v>
      </c>
      <c r="B100" s="8" t="s">
        <v>23</v>
      </c>
      <c r="C100" s="9">
        <v>46048</v>
      </c>
      <c r="D100" s="10" t="s">
        <v>26</v>
      </c>
      <c r="E100" s="10" t="s">
        <v>29</v>
      </c>
      <c r="F100" s="20">
        <v>1060</v>
      </c>
      <c r="G100" s="12" t="s">
        <v>24</v>
      </c>
      <c r="H100" s="15">
        <v>46048</v>
      </c>
      <c r="I100" s="16" t="s">
        <v>69</v>
      </c>
      <c r="J100" s="16" t="s">
        <v>9</v>
      </c>
      <c r="K100" s="17">
        <v>800</v>
      </c>
      <c r="O100" t="str" cm="1">
        <f t="array" ref="O100">_xlfn.LET(
_xlpm.corp,$I100,_xlpm.key,$M$2:$M$200,_xlpm.name,$N$2:$N$200,_xlpm.hits,_xlfn._xlws.FILTER(_xlpm.name,ISNUMBER(SEARCH(_xlpm.key,_xlpm.corp))),
IFERROR(INDEX(_xlpm.hits,1),_xlpm.corp))</f>
        <v>バリュエンス</v>
      </c>
      <c r="P100" t="str">
        <f t="shared" si="7"/>
        <v>2026-01-26</v>
      </c>
      <c r="Q100" t="str">
        <f t="shared" si="8"/>
        <v>バリュエンス</v>
      </c>
      <c r="R100" t="str">
        <f t="shared" si="9"/>
        <v>ベビーリーフ ロロロッサ</v>
      </c>
      <c r="S100">
        <f t="shared" si="10"/>
        <v>800</v>
      </c>
    </row>
    <row r="101" spans="1:19">
      <c r="A101" s="13">
        <v>72934</v>
      </c>
      <c r="B101" s="14" t="s">
        <v>23</v>
      </c>
      <c r="C101" s="15">
        <v>46048</v>
      </c>
      <c r="D101" s="16" t="s">
        <v>69</v>
      </c>
      <c r="E101" s="16" t="s">
        <v>9</v>
      </c>
      <c r="F101" s="17">
        <v>800</v>
      </c>
      <c r="G101" s="18" t="s">
        <v>24</v>
      </c>
      <c r="H101" s="9">
        <v>46048</v>
      </c>
      <c r="I101" s="10" t="s">
        <v>61</v>
      </c>
      <c r="J101" s="10" t="s">
        <v>62</v>
      </c>
      <c r="K101" s="20">
        <v>1260</v>
      </c>
      <c r="O101" t="str" cm="1">
        <f t="array" ref="O101">_xlfn.LET(
_xlpm.corp,$I101,_xlpm.key,$M$2:$M$200,_xlpm.name,$N$2:$N$200,_xlpm.hits,_xlfn._xlws.FILTER(_xlpm.name,ISNUMBER(SEARCH(_xlpm.key,_xlpm.corp))),
IFERROR(INDEX(_xlpm.hits,1),_xlpm.corp))</f>
        <v>Adobe</v>
      </c>
      <c r="P101" t="str">
        <f t="shared" si="7"/>
        <v>2026-01-26</v>
      </c>
      <c r="Q101" t="str">
        <f t="shared" si="8"/>
        <v>Adobe</v>
      </c>
      <c r="R101" t="str">
        <f t="shared" si="9"/>
        <v>ベビーリーフ ロログリーン</v>
      </c>
      <c r="S101">
        <f t="shared" si="10"/>
        <v>1260</v>
      </c>
    </row>
    <row r="102" spans="1:19">
      <c r="A102" s="7">
        <v>72933</v>
      </c>
      <c r="B102" s="8" t="s">
        <v>23</v>
      </c>
      <c r="C102" s="9">
        <v>46048</v>
      </c>
      <c r="D102" s="10" t="s">
        <v>61</v>
      </c>
      <c r="E102" s="10" t="s">
        <v>62</v>
      </c>
      <c r="F102" s="20">
        <v>1260</v>
      </c>
      <c r="G102" s="12" t="s">
        <v>24</v>
      </c>
      <c r="H102" s="15">
        <v>46048</v>
      </c>
      <c r="I102" s="16" t="s">
        <v>64</v>
      </c>
      <c r="J102" s="16" t="s">
        <v>11</v>
      </c>
      <c r="K102" s="17">
        <v>120</v>
      </c>
      <c r="O102" t="str" cm="1">
        <f t="array" ref="O102">_xlfn.LET(
_xlpm.corp,$I102,_xlpm.key,$M$2:$M$200,_xlpm.name,$N$2:$N$200,_xlpm.hits,_xlfn._xlws.FILTER(_xlpm.name,ISNUMBER(SEARCH(_xlpm.key,_xlpm.corp))),
IFERROR(INDEX(_xlpm.hits,1),_xlpm.corp))</f>
        <v>NaITO</v>
      </c>
      <c r="P102" t="str">
        <f t="shared" si="7"/>
        <v>2026-01-26</v>
      </c>
      <c r="Q102" t="str">
        <f t="shared" si="8"/>
        <v>NaITO</v>
      </c>
      <c r="R102" t="str">
        <f t="shared" si="9"/>
        <v>ベビーリーフ レッドオーク</v>
      </c>
      <c r="S102">
        <f t="shared" si="10"/>
        <v>120</v>
      </c>
    </row>
    <row r="103" spans="1:19">
      <c r="A103" s="13">
        <v>72932</v>
      </c>
      <c r="B103" s="14" t="s">
        <v>23</v>
      </c>
      <c r="C103" s="15">
        <v>46048</v>
      </c>
      <c r="D103" s="16" t="s">
        <v>64</v>
      </c>
      <c r="E103" s="16" t="s">
        <v>11</v>
      </c>
      <c r="F103" s="17">
        <v>120</v>
      </c>
      <c r="G103" s="18" t="s">
        <v>24</v>
      </c>
      <c r="H103" s="9">
        <v>46048</v>
      </c>
      <c r="I103" s="10" t="s">
        <v>70</v>
      </c>
      <c r="J103" s="10" t="s">
        <v>9</v>
      </c>
      <c r="K103" s="11">
        <v>240</v>
      </c>
      <c r="O103" t="str" cm="1">
        <f t="array" ref="O103">_xlfn.LET(
_xlpm.corp,$I103,_xlpm.key,$M$2:$M$200,_xlpm.name,$N$2:$N$200,_xlpm.hits,_xlfn._xlws.FILTER(_xlpm.name,ISNUMBER(SEARCH(_xlpm.key,_xlpm.corp))),
IFERROR(INDEX(_xlpm.hits,1),_xlpm.corp))</f>
        <v>富士機械</v>
      </c>
      <c r="P103" t="str">
        <f t="shared" si="7"/>
        <v>2026-01-26</v>
      </c>
      <c r="Q103" t="str">
        <f t="shared" si="8"/>
        <v>富士機械</v>
      </c>
      <c r="R103" t="str">
        <f t="shared" si="9"/>
        <v>ベビーリーフ ロロロッサ</v>
      </c>
      <c r="S103">
        <f t="shared" si="10"/>
        <v>240</v>
      </c>
    </row>
    <row r="104" spans="1:19">
      <c r="A104" s="7">
        <v>72931</v>
      </c>
      <c r="B104" s="8" t="s">
        <v>23</v>
      </c>
      <c r="C104" s="9">
        <v>46048</v>
      </c>
      <c r="D104" s="10" t="s">
        <v>70</v>
      </c>
      <c r="E104" s="10" t="s">
        <v>9</v>
      </c>
      <c r="F104" s="11">
        <v>240</v>
      </c>
      <c r="G104" s="12" t="s">
        <v>24</v>
      </c>
      <c r="H104" s="15">
        <v>46048</v>
      </c>
      <c r="I104" s="16" t="s">
        <v>70</v>
      </c>
      <c r="J104" s="16" t="s">
        <v>9</v>
      </c>
      <c r="K104" s="19">
        <v>1140</v>
      </c>
      <c r="O104" t="str" cm="1">
        <f t="array" ref="O104">_xlfn.LET(
_xlpm.corp,$I104,_xlpm.key,$M$2:$M$200,_xlpm.name,$N$2:$N$200,_xlpm.hits,_xlfn._xlws.FILTER(_xlpm.name,ISNUMBER(SEARCH(_xlpm.key,_xlpm.corp))),
IFERROR(INDEX(_xlpm.hits,1),_xlpm.corp))</f>
        <v>富士機械</v>
      </c>
      <c r="P104" t="str">
        <f t="shared" si="7"/>
        <v>2026-01-26</v>
      </c>
      <c r="Q104" t="str">
        <f t="shared" si="8"/>
        <v>富士機械</v>
      </c>
      <c r="R104" t="str">
        <f t="shared" si="9"/>
        <v>ベビーリーフ ロロロッサ</v>
      </c>
      <c r="S104">
        <f t="shared" si="10"/>
        <v>1140</v>
      </c>
    </row>
    <row r="105" spans="1:19">
      <c r="A105" s="13">
        <v>72930</v>
      </c>
      <c r="B105" s="14" t="s">
        <v>23</v>
      </c>
      <c r="C105" s="15">
        <v>46048</v>
      </c>
      <c r="D105" s="16" t="s">
        <v>70</v>
      </c>
      <c r="E105" s="16" t="s">
        <v>9</v>
      </c>
      <c r="F105" s="19">
        <v>1140</v>
      </c>
      <c r="G105" s="18" t="s">
        <v>24</v>
      </c>
      <c r="H105" s="9">
        <v>46048</v>
      </c>
      <c r="I105" s="10" t="s">
        <v>68</v>
      </c>
      <c r="J105" s="10" t="s">
        <v>3</v>
      </c>
      <c r="K105" s="11">
        <v>140</v>
      </c>
      <c r="O105" t="str" cm="1">
        <f t="array" ref="O105">_xlfn.LET(
_xlpm.corp,$I105,_xlpm.key,$M$2:$M$200,_xlpm.name,$N$2:$N$200,_xlpm.hits,_xlfn._xlws.FILTER(_xlpm.name,ISNUMBER(SEARCH(_xlpm.key,_xlpm.corp))),
IFERROR(INDEX(_xlpm.hits,1),_xlpm.corp))</f>
        <v>昭和女子</v>
      </c>
      <c r="P105" t="str">
        <f t="shared" si="7"/>
        <v>2026-01-26</v>
      </c>
      <c r="Q105" t="str">
        <f t="shared" si="8"/>
        <v>昭和女子/加工BL</v>
      </c>
      <c r="R105" t="str">
        <f t="shared" si="9"/>
        <v>加工BL</v>
      </c>
      <c r="S105">
        <f t="shared" si="10"/>
        <v>140</v>
      </c>
    </row>
    <row r="106" spans="1:19">
      <c r="A106" s="7">
        <v>72929</v>
      </c>
      <c r="B106" s="8" t="s">
        <v>23</v>
      </c>
      <c r="C106" s="9">
        <v>46048</v>
      </c>
      <c r="D106" s="10" t="s">
        <v>68</v>
      </c>
      <c r="E106" s="10" t="s">
        <v>3</v>
      </c>
      <c r="F106" s="11">
        <v>140</v>
      </c>
      <c r="G106" s="12" t="s">
        <v>24</v>
      </c>
      <c r="H106" s="15">
        <v>46048</v>
      </c>
      <c r="I106" s="16" t="s">
        <v>68</v>
      </c>
      <c r="J106" s="16" t="s">
        <v>2</v>
      </c>
      <c r="K106" s="17">
        <v>460</v>
      </c>
      <c r="O106" t="str" cm="1">
        <f t="array" ref="O106">_xlfn.LET(
_xlpm.corp,$I106,_xlpm.key,$M$2:$M$200,_xlpm.name,$N$2:$N$200,_xlpm.hits,_xlfn._xlws.FILTER(_xlpm.name,ISNUMBER(SEARCH(_xlpm.key,_xlpm.corp))),
IFERROR(INDEX(_xlpm.hits,1),_xlpm.corp))</f>
        <v>昭和女子</v>
      </c>
      <c r="P106" t="str">
        <f t="shared" si="7"/>
        <v>2026-01-26</v>
      </c>
      <c r="Q106" t="str">
        <f t="shared" si="8"/>
        <v>昭和女子</v>
      </c>
      <c r="R106" t="str">
        <f t="shared" si="9"/>
        <v>ベビーリーフ グリーンオーク</v>
      </c>
      <c r="S106">
        <f t="shared" si="10"/>
        <v>460</v>
      </c>
    </row>
    <row r="107" spans="1:19">
      <c r="A107" s="13">
        <v>72928</v>
      </c>
      <c r="B107" s="14" t="s">
        <v>23</v>
      </c>
      <c r="C107" s="15">
        <v>46048</v>
      </c>
      <c r="D107" s="16" t="s">
        <v>68</v>
      </c>
      <c r="E107" s="16" t="s">
        <v>2</v>
      </c>
      <c r="F107" s="17">
        <v>460</v>
      </c>
      <c r="G107" s="18" t="s">
        <v>24</v>
      </c>
      <c r="H107" s="9">
        <v>46048</v>
      </c>
      <c r="I107" s="10" t="s">
        <v>26</v>
      </c>
      <c r="J107" s="10" t="s">
        <v>3</v>
      </c>
      <c r="K107" s="11">
        <v>300</v>
      </c>
      <c r="O107" t="str" cm="1">
        <f t="array" ref="O107">_xlfn.LET(
_xlpm.corp,$I107,_xlpm.key,$M$2:$M$200,_xlpm.name,$N$2:$N$200,_xlpm.hits,_xlfn._xlws.FILTER(_xlpm.name,ISNUMBER(SEARCH(_xlpm.key,_xlpm.corp))),
IFERROR(INDEX(_xlpm.hits,1),_xlpm.corp))</f>
        <v>日建</v>
      </c>
      <c r="P107" t="str">
        <f t="shared" si="7"/>
        <v>2026-01-26</v>
      </c>
      <c r="Q107" t="str">
        <f t="shared" si="8"/>
        <v>日建/加工BL</v>
      </c>
      <c r="R107" t="str">
        <f t="shared" si="9"/>
        <v>加工BL</v>
      </c>
      <c r="S107">
        <f t="shared" si="10"/>
        <v>300</v>
      </c>
    </row>
    <row r="108" spans="1:19">
      <c r="A108" s="7">
        <v>72927</v>
      </c>
      <c r="B108" s="8" t="s">
        <v>23</v>
      </c>
      <c r="C108" s="9">
        <v>46048</v>
      </c>
      <c r="D108" s="10" t="s">
        <v>26</v>
      </c>
      <c r="E108" s="10" t="s">
        <v>3</v>
      </c>
      <c r="F108" s="11">
        <v>300</v>
      </c>
      <c r="G108" s="12" t="s">
        <v>24</v>
      </c>
      <c r="H108" s="15">
        <v>46048</v>
      </c>
      <c r="I108" s="16" t="s">
        <v>69</v>
      </c>
      <c r="J108" s="16" t="s">
        <v>2</v>
      </c>
      <c r="K108" s="17">
        <v>100</v>
      </c>
      <c r="O108" t="str" cm="1">
        <f t="array" ref="O108">_xlfn.LET(
_xlpm.corp,$I108,_xlpm.key,$M$2:$M$200,_xlpm.name,$N$2:$N$200,_xlpm.hits,_xlfn._xlws.FILTER(_xlpm.name,ISNUMBER(SEARCH(_xlpm.key,_xlpm.corp))),
IFERROR(INDEX(_xlpm.hits,1),_xlpm.corp))</f>
        <v>バリュエンス</v>
      </c>
      <c r="P108" t="str">
        <f t="shared" si="7"/>
        <v>2026-01-26</v>
      </c>
      <c r="Q108" t="str">
        <f t="shared" si="8"/>
        <v>バリュエンス</v>
      </c>
      <c r="R108" t="str">
        <f t="shared" si="9"/>
        <v>ベビーリーフ グリーンオーク</v>
      </c>
      <c r="S108">
        <f t="shared" si="10"/>
        <v>100</v>
      </c>
    </row>
    <row r="109" spans="1:19">
      <c r="A109" s="13">
        <v>72926</v>
      </c>
      <c r="B109" s="14" t="s">
        <v>23</v>
      </c>
      <c r="C109" s="15">
        <v>46048</v>
      </c>
      <c r="D109" s="16" t="s">
        <v>69</v>
      </c>
      <c r="E109" s="16" t="s">
        <v>2</v>
      </c>
      <c r="F109" s="17">
        <v>100</v>
      </c>
      <c r="G109" s="18" t="s">
        <v>24</v>
      </c>
      <c r="H109" s="9">
        <v>46048</v>
      </c>
      <c r="I109" s="10" t="s">
        <v>70</v>
      </c>
      <c r="J109" s="10" t="s">
        <v>73</v>
      </c>
      <c r="K109" s="11">
        <v>200</v>
      </c>
      <c r="O109" t="str" cm="1">
        <f t="array" ref="O109">_xlfn.LET(
_xlpm.corp,$I109,_xlpm.key,$M$2:$M$200,_xlpm.name,$N$2:$N$200,_xlpm.hits,_xlfn._xlws.FILTER(_xlpm.name,ISNUMBER(SEARCH(_xlpm.key,_xlpm.corp))),
IFERROR(INDEX(_xlpm.hits,1),_xlpm.corp))</f>
        <v>富士機械</v>
      </c>
      <c r="P109" t="str">
        <f t="shared" si="7"/>
        <v>2026-01-26</v>
      </c>
      <c r="Q109" t="str">
        <f t="shared" si="8"/>
        <v>富士機械/葉物野菜</v>
      </c>
      <c r="R109" t="str">
        <f t="shared" si="9"/>
        <v>ラディッシュ</v>
      </c>
      <c r="S109">
        <f t="shared" si="10"/>
        <v>200</v>
      </c>
    </row>
    <row r="110" spans="1:19">
      <c r="A110" s="7">
        <v>72925</v>
      </c>
      <c r="B110" s="8" t="s">
        <v>23</v>
      </c>
      <c r="C110" s="9">
        <v>46048</v>
      </c>
      <c r="D110" s="10" t="s">
        <v>70</v>
      </c>
      <c r="E110" s="10" t="s">
        <v>73</v>
      </c>
      <c r="F110" s="11">
        <v>200</v>
      </c>
      <c r="G110" s="12" t="s">
        <v>24</v>
      </c>
      <c r="H110" s="15">
        <v>46048</v>
      </c>
      <c r="I110" s="16" t="s">
        <v>72</v>
      </c>
      <c r="J110" s="16" t="s">
        <v>2</v>
      </c>
      <c r="K110" s="19">
        <v>1060</v>
      </c>
      <c r="O110" t="str" cm="1">
        <f t="array" ref="O110">_xlfn.LET(
_xlpm.corp,$I110,_xlpm.key,$M$2:$M$200,_xlpm.name,$N$2:$N$200,_xlpm.hits,_xlfn._xlws.FILTER(_xlpm.name,ISNUMBER(SEARCH(_xlpm.key,_xlpm.corp))),
IFERROR(INDEX(_xlpm.hits,1),_xlpm.corp))</f>
        <v>岡部</v>
      </c>
      <c r="P110" t="str">
        <f t="shared" si="7"/>
        <v>2026-01-26</v>
      </c>
      <c r="Q110" t="str">
        <f t="shared" si="8"/>
        <v>岡部</v>
      </c>
      <c r="R110" t="str">
        <f t="shared" si="9"/>
        <v>ベビーリーフ グリーンオーク</v>
      </c>
      <c r="S110">
        <f t="shared" si="10"/>
        <v>1060</v>
      </c>
    </row>
    <row r="111" spans="1:19">
      <c r="A111" s="13">
        <v>72924</v>
      </c>
      <c r="B111" s="14" t="s">
        <v>23</v>
      </c>
      <c r="C111" s="15">
        <v>46048</v>
      </c>
      <c r="D111" s="16" t="s">
        <v>72</v>
      </c>
      <c r="E111" s="16" t="s">
        <v>2</v>
      </c>
      <c r="F111" s="19">
        <v>1060</v>
      </c>
      <c r="G111" s="18" t="s">
        <v>24</v>
      </c>
      <c r="H111" s="9">
        <v>46048</v>
      </c>
      <c r="I111" s="10" t="s">
        <v>59</v>
      </c>
      <c r="J111" s="10" t="s">
        <v>3</v>
      </c>
      <c r="K111" s="11">
        <v>460</v>
      </c>
      <c r="O111" t="str" cm="1">
        <f t="array" ref="O111">_xlfn.LET(
_xlpm.corp,$I111,_xlpm.key,$M$2:$M$200,_xlpm.name,$N$2:$N$200,_xlpm.hits,_xlfn._xlws.FILTER(_xlpm.name,ISNUMBER(SEARCH(_xlpm.key,_xlpm.corp))),
IFERROR(INDEX(_xlpm.hits,1),_xlpm.corp))</f>
        <v>三和</v>
      </c>
      <c r="P111" t="str">
        <f t="shared" si="7"/>
        <v>2026-01-26</v>
      </c>
      <c r="Q111" t="str">
        <f t="shared" si="8"/>
        <v>三和/加工BL</v>
      </c>
      <c r="R111" t="str">
        <f t="shared" si="9"/>
        <v>加工BL</v>
      </c>
      <c r="S111">
        <f t="shared" si="10"/>
        <v>460</v>
      </c>
    </row>
    <row r="112" spans="1:19">
      <c r="A112" s="7">
        <v>72923</v>
      </c>
      <c r="B112" s="8" t="s">
        <v>23</v>
      </c>
      <c r="C112" s="9">
        <v>46048</v>
      </c>
      <c r="D112" s="10" t="s">
        <v>59</v>
      </c>
      <c r="E112" s="10" t="s">
        <v>3</v>
      </c>
      <c r="F112" s="11">
        <v>460</v>
      </c>
      <c r="G112" s="12" t="s">
        <v>24</v>
      </c>
      <c r="H112" s="15">
        <v>46048</v>
      </c>
      <c r="I112" s="16" t="s">
        <v>59</v>
      </c>
      <c r="J112" s="16" t="s">
        <v>2</v>
      </c>
      <c r="K112" s="17">
        <v>840</v>
      </c>
      <c r="O112" t="str" cm="1">
        <f t="array" ref="O112">_xlfn.LET(
_xlpm.corp,$I112,_xlpm.key,$M$2:$M$200,_xlpm.name,$N$2:$N$200,_xlpm.hits,_xlfn._xlws.FILTER(_xlpm.name,ISNUMBER(SEARCH(_xlpm.key,_xlpm.corp))),
IFERROR(INDEX(_xlpm.hits,1),_xlpm.corp))</f>
        <v>三和</v>
      </c>
      <c r="P112" t="str">
        <f t="shared" si="7"/>
        <v>2026-01-26</v>
      </c>
      <c r="Q112" t="str">
        <f t="shared" si="8"/>
        <v>三和</v>
      </c>
      <c r="R112" t="str">
        <f t="shared" si="9"/>
        <v>ベビーリーフ グリーンオーク</v>
      </c>
      <c r="S112">
        <f t="shared" si="10"/>
        <v>840</v>
      </c>
    </row>
    <row r="113" spans="1:19">
      <c r="A113" s="13">
        <v>72922</v>
      </c>
      <c r="B113" s="14" t="s">
        <v>23</v>
      </c>
      <c r="C113" s="15">
        <v>46048</v>
      </c>
      <c r="D113" s="16" t="s">
        <v>59</v>
      </c>
      <c r="E113" s="16" t="s">
        <v>2</v>
      </c>
      <c r="F113" s="17">
        <v>840</v>
      </c>
      <c r="G113" s="18" t="s">
        <v>24</v>
      </c>
      <c r="H113" s="9">
        <v>46048</v>
      </c>
      <c r="I113" s="10" t="s">
        <v>72</v>
      </c>
      <c r="J113" s="10" t="s">
        <v>2</v>
      </c>
      <c r="K113" s="11">
        <v>240</v>
      </c>
      <c r="O113" t="str" cm="1">
        <f t="array" ref="O113">_xlfn.LET(
_xlpm.corp,$I113,_xlpm.key,$M$2:$M$200,_xlpm.name,$N$2:$N$200,_xlpm.hits,_xlfn._xlws.FILTER(_xlpm.name,ISNUMBER(SEARCH(_xlpm.key,_xlpm.corp))),
IFERROR(INDEX(_xlpm.hits,1),_xlpm.corp))</f>
        <v>岡部</v>
      </c>
      <c r="P113" t="str">
        <f t="shared" si="7"/>
        <v>2026-01-26</v>
      </c>
      <c r="Q113" t="str">
        <f t="shared" si="8"/>
        <v>岡部</v>
      </c>
      <c r="R113" t="str">
        <f t="shared" si="9"/>
        <v>ベビーリーフ グリーンオーク</v>
      </c>
      <c r="S113">
        <f t="shared" si="10"/>
        <v>240</v>
      </c>
    </row>
    <row r="114" spans="1:19">
      <c r="A114" s="7">
        <v>72921</v>
      </c>
      <c r="B114" s="8" t="s">
        <v>23</v>
      </c>
      <c r="C114" s="9">
        <v>46048</v>
      </c>
      <c r="D114" s="10" t="s">
        <v>72</v>
      </c>
      <c r="E114" s="10" t="s">
        <v>2</v>
      </c>
      <c r="F114" s="11">
        <v>240</v>
      </c>
      <c r="G114" s="12" t="s">
        <v>24</v>
      </c>
      <c r="H114" s="15">
        <v>46048</v>
      </c>
      <c r="I114" s="16" t="s">
        <v>69</v>
      </c>
      <c r="J114" s="16" t="s">
        <v>9</v>
      </c>
      <c r="K114" s="17">
        <v>660</v>
      </c>
      <c r="O114" t="str" cm="1">
        <f t="array" ref="O114">_xlfn.LET(
_xlpm.corp,$I114,_xlpm.key,$M$2:$M$200,_xlpm.name,$N$2:$N$200,_xlpm.hits,_xlfn._xlws.FILTER(_xlpm.name,ISNUMBER(SEARCH(_xlpm.key,_xlpm.corp))),
IFERROR(INDEX(_xlpm.hits,1),_xlpm.corp))</f>
        <v>バリュエンス</v>
      </c>
      <c r="P114" t="str">
        <f t="shared" si="7"/>
        <v>2026-01-26</v>
      </c>
      <c r="Q114" t="str">
        <f t="shared" si="8"/>
        <v>バリュエンス</v>
      </c>
      <c r="R114" t="str">
        <f t="shared" si="9"/>
        <v>ベビーリーフ ロロロッサ</v>
      </c>
      <c r="S114">
        <f t="shared" si="10"/>
        <v>660</v>
      </c>
    </row>
    <row r="115" spans="1:19">
      <c r="A115" s="13">
        <v>72920</v>
      </c>
      <c r="B115" s="14" t="s">
        <v>23</v>
      </c>
      <c r="C115" s="15">
        <v>46048</v>
      </c>
      <c r="D115" s="16" t="s">
        <v>69</v>
      </c>
      <c r="E115" s="16" t="s">
        <v>9</v>
      </c>
      <c r="F115" s="17">
        <v>660</v>
      </c>
      <c r="G115" s="18" t="s">
        <v>24</v>
      </c>
      <c r="H115" s="9">
        <v>46048</v>
      </c>
      <c r="I115" s="10" t="s">
        <v>57</v>
      </c>
      <c r="J115" s="10" t="s">
        <v>3</v>
      </c>
      <c r="K115" s="11">
        <v>80</v>
      </c>
      <c r="O115" t="str" cm="1">
        <f t="array" ref="O115">_xlfn.LET(
_xlpm.corp,$I115,_xlpm.key,$M$2:$M$200,_xlpm.name,$N$2:$N$200,_xlpm.hits,_xlfn._xlws.FILTER(_xlpm.name,ISNUMBER(SEARCH(_xlpm.key,_xlpm.corp))),
IFERROR(INDEX(_xlpm.hits,1),_xlpm.corp))</f>
        <v>QB</v>
      </c>
      <c r="P115" t="str">
        <f t="shared" si="7"/>
        <v>2026-01-26</v>
      </c>
      <c r="Q115" t="str">
        <f t="shared" si="8"/>
        <v>QB/加工BL</v>
      </c>
      <c r="R115" t="str">
        <f t="shared" si="9"/>
        <v>加工BL</v>
      </c>
      <c r="S115">
        <f t="shared" si="10"/>
        <v>80</v>
      </c>
    </row>
    <row r="116" spans="1:19">
      <c r="A116" s="7">
        <v>72919</v>
      </c>
      <c r="B116" s="8" t="s">
        <v>23</v>
      </c>
      <c r="C116" s="9">
        <v>46048</v>
      </c>
      <c r="D116" s="10" t="s">
        <v>57</v>
      </c>
      <c r="E116" s="10" t="s">
        <v>3</v>
      </c>
      <c r="F116" s="11">
        <v>80</v>
      </c>
      <c r="G116" s="12" t="s">
        <v>24</v>
      </c>
      <c r="H116" s="15">
        <v>46048</v>
      </c>
      <c r="I116" s="16" t="s">
        <v>57</v>
      </c>
      <c r="J116" s="16" t="s">
        <v>2</v>
      </c>
      <c r="K116" s="17">
        <v>440</v>
      </c>
      <c r="O116" t="str" cm="1">
        <f t="array" ref="O116">_xlfn.LET(
_xlpm.corp,$I116,_xlpm.key,$M$2:$M$200,_xlpm.name,$N$2:$N$200,_xlpm.hits,_xlfn._xlws.FILTER(_xlpm.name,ISNUMBER(SEARCH(_xlpm.key,_xlpm.corp))),
IFERROR(INDEX(_xlpm.hits,1),_xlpm.corp))</f>
        <v>QB</v>
      </c>
      <c r="P116" t="str">
        <f t="shared" si="7"/>
        <v>2026-01-26</v>
      </c>
      <c r="Q116" t="str">
        <f t="shared" si="8"/>
        <v>QB</v>
      </c>
      <c r="R116" t="str">
        <f t="shared" si="9"/>
        <v>ベビーリーフ グリーンオーク</v>
      </c>
      <c r="S116">
        <f t="shared" si="10"/>
        <v>440</v>
      </c>
    </row>
    <row r="117" spans="1:19">
      <c r="A117" s="13">
        <v>72918</v>
      </c>
      <c r="B117" s="14" t="s">
        <v>23</v>
      </c>
      <c r="C117" s="15">
        <v>46048</v>
      </c>
      <c r="D117" s="16" t="s">
        <v>57</v>
      </c>
      <c r="E117" s="16" t="s">
        <v>2</v>
      </c>
      <c r="F117" s="17">
        <v>440</v>
      </c>
      <c r="G117" s="18" t="s">
        <v>24</v>
      </c>
      <c r="H117" s="9">
        <v>46048</v>
      </c>
      <c r="I117" s="10" t="s">
        <v>27</v>
      </c>
      <c r="J117" s="10" t="s">
        <v>3</v>
      </c>
      <c r="K117" s="11">
        <v>680</v>
      </c>
      <c r="O117" t="str" cm="1">
        <f t="array" ref="O117">_xlfn.LET(
_xlpm.corp,$I117,_xlpm.key,$M$2:$M$200,_xlpm.name,$N$2:$N$200,_xlpm.hits,_xlfn._xlws.FILTER(_xlpm.name,ISNUMBER(SEARCH(_xlpm.key,_xlpm.corp))),
IFERROR(INDEX(_xlpm.hits,1),_xlpm.corp))</f>
        <v>東レ</v>
      </c>
      <c r="P117" t="str">
        <f t="shared" si="7"/>
        <v>2026-01-26</v>
      </c>
      <c r="Q117" t="str">
        <f t="shared" si="8"/>
        <v>東レ/加工BL</v>
      </c>
      <c r="R117" t="str">
        <f t="shared" si="9"/>
        <v>加工BL</v>
      </c>
      <c r="S117">
        <f t="shared" si="10"/>
        <v>680</v>
      </c>
    </row>
    <row r="118" spans="1:19">
      <c r="A118" s="7">
        <v>72917</v>
      </c>
      <c r="B118" s="8" t="s">
        <v>23</v>
      </c>
      <c r="C118" s="9">
        <v>46048</v>
      </c>
      <c r="D118" s="10" t="s">
        <v>27</v>
      </c>
      <c r="E118" s="10" t="s">
        <v>3</v>
      </c>
      <c r="F118" s="11">
        <v>680</v>
      </c>
      <c r="G118" s="12" t="s">
        <v>24</v>
      </c>
      <c r="H118" s="15">
        <v>46048</v>
      </c>
      <c r="I118" s="16" t="s">
        <v>57</v>
      </c>
      <c r="J118" s="16" t="s">
        <v>3</v>
      </c>
      <c r="K118" s="17">
        <v>140</v>
      </c>
      <c r="O118" t="str" cm="1">
        <f t="array" ref="O118">_xlfn.LET(
_xlpm.corp,$I118,_xlpm.key,$M$2:$M$200,_xlpm.name,$N$2:$N$200,_xlpm.hits,_xlfn._xlws.FILTER(_xlpm.name,ISNUMBER(SEARCH(_xlpm.key,_xlpm.corp))),
IFERROR(INDEX(_xlpm.hits,1),_xlpm.corp))</f>
        <v>QB</v>
      </c>
      <c r="P118" t="str">
        <f t="shared" si="7"/>
        <v>2026-01-26</v>
      </c>
      <c r="Q118" t="str">
        <f t="shared" si="8"/>
        <v>QB/加工BL</v>
      </c>
      <c r="R118" t="str">
        <f t="shared" si="9"/>
        <v>加工BL</v>
      </c>
      <c r="S118">
        <f t="shared" si="10"/>
        <v>140</v>
      </c>
    </row>
    <row r="119" spans="1:19">
      <c r="A119" s="13">
        <v>72916</v>
      </c>
      <c r="B119" s="14" t="s">
        <v>23</v>
      </c>
      <c r="C119" s="15">
        <v>46048</v>
      </c>
      <c r="D119" s="16" t="s">
        <v>57</v>
      </c>
      <c r="E119" s="16" t="s">
        <v>3</v>
      </c>
      <c r="F119" s="17">
        <v>140</v>
      </c>
      <c r="G119" s="18" t="s">
        <v>24</v>
      </c>
      <c r="H119" s="9">
        <v>46048</v>
      </c>
      <c r="I119" s="10" t="s">
        <v>57</v>
      </c>
      <c r="J119" s="10" t="s">
        <v>2</v>
      </c>
      <c r="K119" s="11">
        <v>120</v>
      </c>
      <c r="O119" t="str" cm="1">
        <f t="array" ref="O119">_xlfn.LET(
_xlpm.corp,$I119,_xlpm.key,$M$2:$M$200,_xlpm.name,$N$2:$N$200,_xlpm.hits,_xlfn._xlws.FILTER(_xlpm.name,ISNUMBER(SEARCH(_xlpm.key,_xlpm.corp))),
IFERROR(INDEX(_xlpm.hits,1),_xlpm.corp))</f>
        <v>QB</v>
      </c>
      <c r="P119" t="str">
        <f t="shared" si="7"/>
        <v>2026-01-26</v>
      </c>
      <c r="Q119" t="str">
        <f t="shared" si="8"/>
        <v>QB</v>
      </c>
      <c r="R119" t="str">
        <f t="shared" si="9"/>
        <v>ベビーリーフ グリーンオーク</v>
      </c>
      <c r="S119">
        <f t="shared" si="10"/>
        <v>120</v>
      </c>
    </row>
    <row r="120" spans="1:19">
      <c r="A120" s="7">
        <v>72915</v>
      </c>
      <c r="B120" s="8" t="s">
        <v>23</v>
      </c>
      <c r="C120" s="9">
        <v>46048</v>
      </c>
      <c r="D120" s="10" t="s">
        <v>57</v>
      </c>
      <c r="E120" s="10" t="s">
        <v>2</v>
      </c>
      <c r="F120" s="11">
        <v>120</v>
      </c>
      <c r="G120" s="12" t="s">
        <v>24</v>
      </c>
      <c r="H120" s="15">
        <v>46048</v>
      </c>
      <c r="I120" s="16" t="s">
        <v>27</v>
      </c>
      <c r="J120" s="16" t="s">
        <v>11</v>
      </c>
      <c r="K120" s="17">
        <v>220</v>
      </c>
      <c r="O120" t="str" cm="1">
        <f t="array" ref="O120">_xlfn.LET(
_xlpm.corp,$I120,_xlpm.key,$M$2:$M$200,_xlpm.name,$N$2:$N$200,_xlpm.hits,_xlfn._xlws.FILTER(_xlpm.name,ISNUMBER(SEARCH(_xlpm.key,_xlpm.corp))),
IFERROR(INDEX(_xlpm.hits,1),_xlpm.corp))</f>
        <v>東レ</v>
      </c>
      <c r="P120" t="str">
        <f t="shared" si="7"/>
        <v>2026-01-26</v>
      </c>
      <c r="Q120" t="str">
        <f t="shared" si="8"/>
        <v>東レ</v>
      </c>
      <c r="R120" t="str">
        <f t="shared" si="9"/>
        <v>ベビーリーフ レッドオーク</v>
      </c>
      <c r="S120">
        <f t="shared" si="10"/>
        <v>220</v>
      </c>
    </row>
    <row r="121" spans="1:19">
      <c r="A121" s="13">
        <v>72914</v>
      </c>
      <c r="B121" s="14" t="s">
        <v>23</v>
      </c>
      <c r="C121" s="15">
        <v>46048</v>
      </c>
      <c r="D121" s="16" t="s">
        <v>27</v>
      </c>
      <c r="E121" s="16" t="s">
        <v>11</v>
      </c>
      <c r="F121" s="17">
        <v>220</v>
      </c>
      <c r="G121" s="18" t="s">
        <v>24</v>
      </c>
      <c r="H121" s="9">
        <v>46048</v>
      </c>
      <c r="I121" s="10" t="s">
        <v>56</v>
      </c>
      <c r="J121" s="10" t="s">
        <v>4</v>
      </c>
      <c r="K121" s="11">
        <v>360</v>
      </c>
      <c r="O121" t="str" cm="1">
        <f t="array" ref="O121">_xlfn.LET(
_xlpm.corp,$I121,_xlpm.key,$M$2:$M$200,_xlpm.name,$N$2:$N$200,_xlpm.hits,_xlfn._xlws.FILTER(_xlpm.name,ISNUMBER(SEARCH(_xlpm.key,_xlpm.corp))),
IFERROR(INDEX(_xlpm.hits,1),_xlpm.corp))</f>
        <v>サンセイランディック</v>
      </c>
      <c r="P121" t="str">
        <f t="shared" si="7"/>
        <v>2026-01-26</v>
      </c>
      <c r="Q121" t="str">
        <f t="shared" si="8"/>
        <v>サンセイランディック</v>
      </c>
      <c r="R121" t="str">
        <f t="shared" si="9"/>
        <v>ベビーリーフ ピノグリーン</v>
      </c>
      <c r="S121">
        <f t="shared" si="10"/>
        <v>360</v>
      </c>
    </row>
    <row r="122" spans="1:19">
      <c r="A122" s="7">
        <v>72913</v>
      </c>
      <c r="B122" s="8" t="s">
        <v>23</v>
      </c>
      <c r="C122" s="9">
        <v>46048</v>
      </c>
      <c r="D122" s="10" t="s">
        <v>56</v>
      </c>
      <c r="E122" s="10" t="s">
        <v>4</v>
      </c>
      <c r="F122" s="11">
        <v>360</v>
      </c>
      <c r="G122" s="12" t="s">
        <v>24</v>
      </c>
      <c r="H122" s="15">
        <v>46048</v>
      </c>
      <c r="I122" s="16" t="s">
        <v>56</v>
      </c>
      <c r="J122" s="16" t="s">
        <v>3</v>
      </c>
      <c r="K122" s="17">
        <v>20</v>
      </c>
      <c r="O122" t="str" cm="1">
        <f t="array" ref="O122">_xlfn.LET(
_xlpm.corp,$I122,_xlpm.key,$M$2:$M$200,_xlpm.name,$N$2:$N$200,_xlpm.hits,_xlfn._xlws.FILTER(_xlpm.name,ISNUMBER(SEARCH(_xlpm.key,_xlpm.corp))),
IFERROR(INDEX(_xlpm.hits,1),_xlpm.corp))</f>
        <v>サンセイランディック</v>
      </c>
      <c r="P122" t="str">
        <f t="shared" si="7"/>
        <v>2026-01-26</v>
      </c>
      <c r="Q122" t="str">
        <f t="shared" si="8"/>
        <v>サンセイランディック/加工BL</v>
      </c>
      <c r="R122" t="str">
        <f t="shared" si="9"/>
        <v>加工BL</v>
      </c>
      <c r="S122">
        <f t="shared" si="10"/>
        <v>20</v>
      </c>
    </row>
    <row r="123" spans="1:19">
      <c r="A123" s="13">
        <v>72912</v>
      </c>
      <c r="B123" s="14" t="s">
        <v>23</v>
      </c>
      <c r="C123" s="15">
        <v>46048</v>
      </c>
      <c r="D123" s="16" t="s">
        <v>56</v>
      </c>
      <c r="E123" s="16" t="s">
        <v>3</v>
      </c>
      <c r="F123" s="17">
        <v>20</v>
      </c>
      <c r="G123" s="18" t="s">
        <v>24</v>
      </c>
      <c r="H123" s="9">
        <v>46048</v>
      </c>
      <c r="I123" s="10" t="s">
        <v>65</v>
      </c>
      <c r="J123" s="10" t="s">
        <v>2</v>
      </c>
      <c r="K123" s="11">
        <v>120</v>
      </c>
      <c r="O123" t="str" cm="1">
        <f t="array" ref="O123">_xlfn.LET(
_xlpm.corp,$I123,_xlpm.key,$M$2:$M$200,_xlpm.name,$N$2:$N$200,_xlpm.hits,_xlfn._xlws.FILTER(_xlpm.name,ISNUMBER(SEARCH(_xlpm.key,_xlpm.corp))),
IFERROR(INDEX(_xlpm.hits,1),_xlpm.corp))</f>
        <v>マルテー</v>
      </c>
      <c r="P123" t="str">
        <f t="shared" si="7"/>
        <v>2026-01-26</v>
      </c>
      <c r="Q123" t="str">
        <f t="shared" si="8"/>
        <v>マルテー</v>
      </c>
      <c r="R123" t="str">
        <f t="shared" si="9"/>
        <v>ベビーリーフ グリーンオーク</v>
      </c>
      <c r="S123">
        <f t="shared" si="10"/>
        <v>120</v>
      </c>
    </row>
    <row r="124" spans="1:19">
      <c r="A124" s="7">
        <v>72911</v>
      </c>
      <c r="B124" s="8" t="s">
        <v>23</v>
      </c>
      <c r="C124" s="9">
        <v>46048</v>
      </c>
      <c r="D124" s="10" t="s">
        <v>65</v>
      </c>
      <c r="E124" s="10" t="s">
        <v>2</v>
      </c>
      <c r="F124" s="11">
        <v>120</v>
      </c>
      <c r="G124" s="12" t="s">
        <v>24</v>
      </c>
      <c r="H124" s="15">
        <v>46048</v>
      </c>
      <c r="I124" s="16" t="s">
        <v>26</v>
      </c>
      <c r="J124" s="16" t="s">
        <v>2</v>
      </c>
      <c r="K124" s="17">
        <v>220</v>
      </c>
      <c r="O124" t="str" cm="1">
        <f t="array" ref="O124">_xlfn.LET(
_xlpm.corp,$I124,_xlpm.key,$M$2:$M$200,_xlpm.name,$N$2:$N$200,_xlpm.hits,_xlfn._xlws.FILTER(_xlpm.name,ISNUMBER(SEARCH(_xlpm.key,_xlpm.corp))),
IFERROR(INDEX(_xlpm.hits,1),_xlpm.corp))</f>
        <v>日建</v>
      </c>
      <c r="P124" t="str">
        <f t="shared" si="7"/>
        <v>2026-01-26</v>
      </c>
      <c r="Q124" t="str">
        <f t="shared" si="8"/>
        <v>日建</v>
      </c>
      <c r="R124" t="str">
        <f t="shared" si="9"/>
        <v>ベビーリーフ グリーンオーク</v>
      </c>
      <c r="S124">
        <f t="shared" si="10"/>
        <v>220</v>
      </c>
    </row>
    <row r="125" spans="1:19">
      <c r="A125" s="13">
        <v>72910</v>
      </c>
      <c r="B125" s="14" t="s">
        <v>23</v>
      </c>
      <c r="C125" s="15">
        <v>46048</v>
      </c>
      <c r="D125" s="16" t="s">
        <v>26</v>
      </c>
      <c r="E125" s="16" t="s">
        <v>2</v>
      </c>
      <c r="F125" s="17">
        <v>220</v>
      </c>
      <c r="G125" s="18" t="s">
        <v>24</v>
      </c>
      <c r="H125" s="9">
        <v>46048</v>
      </c>
      <c r="I125" s="10" t="s">
        <v>59</v>
      </c>
      <c r="J125" s="10" t="s">
        <v>2</v>
      </c>
      <c r="K125" s="11">
        <v>320</v>
      </c>
      <c r="O125" t="str" cm="1">
        <f t="array" ref="O125">_xlfn.LET(
_xlpm.corp,$I125,_xlpm.key,$M$2:$M$200,_xlpm.name,$N$2:$N$200,_xlpm.hits,_xlfn._xlws.FILTER(_xlpm.name,ISNUMBER(SEARCH(_xlpm.key,_xlpm.corp))),
IFERROR(INDEX(_xlpm.hits,1),_xlpm.corp))</f>
        <v>三和</v>
      </c>
      <c r="P125" t="str">
        <f t="shared" si="7"/>
        <v>2026-01-26</v>
      </c>
      <c r="Q125" t="str">
        <f t="shared" si="8"/>
        <v>三和</v>
      </c>
      <c r="R125" t="str">
        <f t="shared" si="9"/>
        <v>ベビーリーフ グリーンオーク</v>
      </c>
      <c r="S125">
        <f t="shared" si="10"/>
        <v>320</v>
      </c>
    </row>
    <row r="126" spans="1:19">
      <c r="A126" s="7">
        <v>72909</v>
      </c>
      <c r="B126" s="8" t="s">
        <v>23</v>
      </c>
      <c r="C126" s="9">
        <v>46048</v>
      </c>
      <c r="D126" s="10" t="s">
        <v>59</v>
      </c>
      <c r="E126" s="10" t="s">
        <v>2</v>
      </c>
      <c r="F126" s="11">
        <v>320</v>
      </c>
      <c r="G126" s="12" t="s">
        <v>24</v>
      </c>
      <c r="H126" s="15">
        <v>46048</v>
      </c>
      <c r="I126" s="16" t="s">
        <v>59</v>
      </c>
      <c r="J126" s="16" t="s">
        <v>3</v>
      </c>
      <c r="K126" s="17">
        <v>180</v>
      </c>
      <c r="O126" t="str" cm="1">
        <f t="array" ref="O126">_xlfn.LET(
_xlpm.corp,$I126,_xlpm.key,$M$2:$M$200,_xlpm.name,$N$2:$N$200,_xlpm.hits,_xlfn._xlws.FILTER(_xlpm.name,ISNUMBER(SEARCH(_xlpm.key,_xlpm.corp))),
IFERROR(INDEX(_xlpm.hits,1),_xlpm.corp))</f>
        <v>三和</v>
      </c>
      <c r="P126" t="str">
        <f t="shared" si="7"/>
        <v>2026-01-26</v>
      </c>
      <c r="Q126" t="str">
        <f t="shared" si="8"/>
        <v>三和/加工BL</v>
      </c>
      <c r="R126" t="str">
        <f t="shared" si="9"/>
        <v>加工BL</v>
      </c>
      <c r="S126">
        <f t="shared" si="10"/>
        <v>180</v>
      </c>
    </row>
    <row r="127" spans="1:19">
      <c r="A127" s="13">
        <v>72908</v>
      </c>
      <c r="B127" s="14" t="s">
        <v>23</v>
      </c>
      <c r="C127" s="15">
        <v>46048</v>
      </c>
      <c r="D127" s="16" t="s">
        <v>59</v>
      </c>
      <c r="E127" s="16" t="s">
        <v>3</v>
      </c>
      <c r="F127" s="17">
        <v>180</v>
      </c>
      <c r="G127" s="18" t="s">
        <v>24</v>
      </c>
      <c r="H127" s="9">
        <v>46048</v>
      </c>
      <c r="I127" s="10" t="s">
        <v>72</v>
      </c>
      <c r="J127" s="10" t="s">
        <v>11</v>
      </c>
      <c r="K127" s="20">
        <v>1340</v>
      </c>
      <c r="O127" t="str" cm="1">
        <f t="array" ref="O127">_xlfn.LET(
_xlpm.corp,$I127,_xlpm.key,$M$2:$M$200,_xlpm.name,$N$2:$N$200,_xlpm.hits,_xlfn._xlws.FILTER(_xlpm.name,ISNUMBER(SEARCH(_xlpm.key,_xlpm.corp))),
IFERROR(INDEX(_xlpm.hits,1),_xlpm.corp))</f>
        <v>岡部</v>
      </c>
      <c r="P127" t="str">
        <f t="shared" si="7"/>
        <v>2026-01-26</v>
      </c>
      <c r="Q127" t="str">
        <f t="shared" si="8"/>
        <v>岡部</v>
      </c>
      <c r="R127" t="str">
        <f t="shared" si="9"/>
        <v>ベビーリーフ レッドオーク</v>
      </c>
      <c r="S127">
        <f t="shared" si="10"/>
        <v>1340</v>
      </c>
    </row>
    <row r="128" spans="1:19">
      <c r="A128" s="7">
        <v>72907</v>
      </c>
      <c r="B128" s="8" t="s">
        <v>23</v>
      </c>
      <c r="C128" s="9">
        <v>46048</v>
      </c>
      <c r="D128" s="10" t="s">
        <v>72</v>
      </c>
      <c r="E128" s="10" t="s">
        <v>11</v>
      </c>
      <c r="F128" s="20">
        <v>1340</v>
      </c>
      <c r="G128" s="12" t="s">
        <v>24</v>
      </c>
      <c r="H128" s="15">
        <v>46048</v>
      </c>
      <c r="I128" s="16" t="s">
        <v>67</v>
      </c>
      <c r="J128" s="16" t="s">
        <v>2</v>
      </c>
      <c r="K128" s="17">
        <v>260</v>
      </c>
      <c r="O128" t="str" cm="1">
        <f t="array" ref="O128">_xlfn.LET(
_xlpm.corp,$I128,_xlpm.key,$M$2:$M$200,_xlpm.name,$N$2:$N$200,_xlpm.hits,_xlfn._xlws.FILTER(_xlpm.name,ISNUMBER(SEARCH(_xlpm.key,_xlpm.corp))),
IFERROR(INDEX(_xlpm.hits,1),_xlpm.corp))</f>
        <v>日本ロレアル</v>
      </c>
      <c r="P128" t="str">
        <f t="shared" si="7"/>
        <v>2026-01-26</v>
      </c>
      <c r="Q128" t="str">
        <f t="shared" si="8"/>
        <v>日本ロレアル</v>
      </c>
      <c r="R128" t="str">
        <f t="shared" si="9"/>
        <v>ベビーリーフ グリーンオーク</v>
      </c>
      <c r="S128">
        <f t="shared" si="10"/>
        <v>260</v>
      </c>
    </row>
    <row r="129" spans="1:19">
      <c r="A129" s="13">
        <v>72906</v>
      </c>
      <c r="B129" s="14" t="s">
        <v>23</v>
      </c>
      <c r="C129" s="15">
        <v>46048</v>
      </c>
      <c r="D129" s="16" t="s">
        <v>67</v>
      </c>
      <c r="E129" s="16" t="s">
        <v>2</v>
      </c>
      <c r="F129" s="17">
        <v>260</v>
      </c>
      <c r="G129" s="18" t="s">
        <v>24</v>
      </c>
      <c r="H129" s="9">
        <v>46048</v>
      </c>
      <c r="I129" s="10" t="s">
        <v>67</v>
      </c>
      <c r="J129" s="10" t="s">
        <v>3</v>
      </c>
      <c r="K129" s="11">
        <v>60</v>
      </c>
      <c r="O129" t="str" cm="1">
        <f t="array" ref="O129">_xlfn.LET(
_xlpm.corp,$I129,_xlpm.key,$M$2:$M$200,_xlpm.name,$N$2:$N$200,_xlpm.hits,_xlfn._xlws.FILTER(_xlpm.name,ISNUMBER(SEARCH(_xlpm.key,_xlpm.corp))),
IFERROR(INDEX(_xlpm.hits,1),_xlpm.corp))</f>
        <v>日本ロレアル</v>
      </c>
      <c r="P129" t="str">
        <f t="shared" si="7"/>
        <v>2026-01-26</v>
      </c>
      <c r="Q129" t="str">
        <f t="shared" si="8"/>
        <v>日本ロレアル/加工BL</v>
      </c>
      <c r="R129" t="str">
        <f t="shared" si="9"/>
        <v>加工BL</v>
      </c>
      <c r="S129">
        <f t="shared" si="10"/>
        <v>60</v>
      </c>
    </row>
    <row r="130" spans="1:19">
      <c r="A130" s="7">
        <v>72905</v>
      </c>
      <c r="B130" s="8" t="s">
        <v>23</v>
      </c>
      <c r="C130" s="9">
        <v>46048</v>
      </c>
      <c r="D130" s="10" t="s">
        <v>67</v>
      </c>
      <c r="E130" s="10" t="s">
        <v>3</v>
      </c>
      <c r="F130" s="11">
        <v>60</v>
      </c>
      <c r="G130" s="12" t="s">
        <v>24</v>
      </c>
      <c r="H130" s="15">
        <v>46048</v>
      </c>
      <c r="I130" s="16" t="s">
        <v>27</v>
      </c>
      <c r="J130" s="16" t="s">
        <v>4</v>
      </c>
      <c r="K130" s="17">
        <v>420</v>
      </c>
      <c r="O130" t="str" cm="1">
        <f t="array" ref="O130">_xlfn.LET(
_xlpm.corp,$I130,_xlpm.key,$M$2:$M$200,_xlpm.name,$N$2:$N$200,_xlpm.hits,_xlfn._xlws.FILTER(_xlpm.name,ISNUMBER(SEARCH(_xlpm.key,_xlpm.corp))),
IFERROR(INDEX(_xlpm.hits,1),_xlpm.corp))</f>
        <v>東レ</v>
      </c>
      <c r="P130" t="str">
        <f t="shared" si="7"/>
        <v>2026-01-26</v>
      </c>
      <c r="Q130" t="str">
        <f t="shared" si="8"/>
        <v>東レ</v>
      </c>
      <c r="R130" t="str">
        <f t="shared" si="9"/>
        <v>ベビーリーフ ピノグリーン</v>
      </c>
      <c r="S130">
        <f t="shared" si="10"/>
        <v>420</v>
      </c>
    </row>
    <row r="131" spans="1:19">
      <c r="A131" s="13">
        <v>72904</v>
      </c>
      <c r="B131" s="14" t="s">
        <v>23</v>
      </c>
      <c r="C131" s="15">
        <v>46048</v>
      </c>
      <c r="D131" s="16" t="s">
        <v>27</v>
      </c>
      <c r="E131" s="16" t="s">
        <v>4</v>
      </c>
      <c r="F131" s="17">
        <v>420</v>
      </c>
      <c r="G131" s="18" t="s">
        <v>24</v>
      </c>
      <c r="H131" s="9">
        <v>46048</v>
      </c>
      <c r="I131" s="10" t="s">
        <v>68</v>
      </c>
      <c r="J131" s="10" t="s">
        <v>3</v>
      </c>
      <c r="K131" s="11">
        <v>540</v>
      </c>
      <c r="O131" t="str" cm="1">
        <f t="array" ref="O131">_xlfn.LET(
_xlpm.corp,$I131,_xlpm.key,$M$2:$M$200,_xlpm.name,$N$2:$N$200,_xlpm.hits,_xlfn._xlws.FILTER(_xlpm.name,ISNUMBER(SEARCH(_xlpm.key,_xlpm.corp))),
IFERROR(INDEX(_xlpm.hits,1),_xlpm.corp))</f>
        <v>昭和女子</v>
      </c>
      <c r="P131" t="str">
        <f t="shared" ref="P131:P194" si="11">IFERROR(TEXT(DATEVALUE(SUBSTITUTE(SUBSTITUTE(H131,".","/"),"-","/")),"yyyy-mm-dd"),
TEXT(H131,"yyyy-mm-dd"))</f>
        <v>2026-01-26</v>
      </c>
      <c r="Q131" t="str">
        <f t="shared" ref="Q131:Q194" si="12">_xlfn.LET(
  _xlpm.corp, $O131,
  _xlpm.crop, $J131,
  _xlpm.suffix,
    IF(ISNUMBER(SEARCH("加工", _xlpm.crop)),      "/加工BL",
    IF(ISNUMBER(SEARCH("ミニトマト", _xlpm.crop)),"/ミニトマト",
    IF(ISNUMBER(SEARCH("イチゴ", _xlpm.crop)),    "/イチゴ",
    IF(ISNUMBER(SEARCH("ベビーリーフ",_xlpm.crop)),"",
       "/葉物野菜"
    )))),
  _xlpm.corp &amp; _xlpm.suffix
)</f>
        <v>昭和女子/加工BL</v>
      </c>
      <c r="R131" t="str">
        <f t="shared" ref="R131:R194" si="13">IF(
  AND(ISNUMBER(SEARCH("加工品",SUBSTITUTE(J131,"　"," "))),ISNUMBER(SEARCH("ベビーリーフ",SUBSTITUTE(J131,"　"," ")))),
  "加工BL",
  IF(LEFT(TRIM(SUBSTITUTE(J131,"　"," ")),5)="ベビーリーフ",
     "BL"&amp;TRIM(MID(TRIM(SUBSTITUTE(J131,"　"," ")),FIND(" ",TRIM(SUBSTITUTE(J131,"　"," "))&amp;" ")+1,255)),
     TRIM(SUBSTITUTE(J131,"　"," "))
  )
)</f>
        <v>加工BL</v>
      </c>
      <c r="S131">
        <f t="shared" ref="S131:S194" si="14">IF(K131="", "", --SUBSTITUTE(K131, ",", ""))</f>
        <v>540</v>
      </c>
    </row>
    <row r="132" spans="1:19">
      <c r="A132" s="7">
        <v>72903</v>
      </c>
      <c r="B132" s="8" t="s">
        <v>23</v>
      </c>
      <c r="C132" s="9">
        <v>46048</v>
      </c>
      <c r="D132" s="10" t="s">
        <v>68</v>
      </c>
      <c r="E132" s="10" t="s">
        <v>3</v>
      </c>
      <c r="F132" s="11">
        <v>540</v>
      </c>
      <c r="G132" s="12" t="s">
        <v>24</v>
      </c>
      <c r="H132" s="15">
        <v>46045</v>
      </c>
      <c r="I132" s="16" t="s">
        <v>69</v>
      </c>
      <c r="J132" s="16" t="s">
        <v>8</v>
      </c>
      <c r="K132" s="17">
        <v>400</v>
      </c>
      <c r="O132" t="str" cm="1">
        <f t="array" ref="O132">_xlfn.LET(
_xlpm.corp,$I132,_xlpm.key,$M$2:$M$200,_xlpm.name,$N$2:$N$200,_xlpm.hits,_xlfn._xlws.FILTER(_xlpm.name,ISNUMBER(SEARCH(_xlpm.key,_xlpm.corp))),
IFERROR(INDEX(_xlpm.hits,1),_xlpm.corp))</f>
        <v>バリュエンス</v>
      </c>
      <c r="P132" t="str">
        <f t="shared" si="11"/>
        <v>2026-01-23</v>
      </c>
      <c r="Q132" t="str">
        <f t="shared" si="12"/>
        <v>バリュエンス/イチゴ</v>
      </c>
      <c r="R132" t="str">
        <f t="shared" si="13"/>
        <v>イチゴ</v>
      </c>
      <c r="S132">
        <f t="shared" si="14"/>
        <v>400</v>
      </c>
    </row>
    <row r="133" spans="1:19">
      <c r="A133" s="13">
        <v>73385</v>
      </c>
      <c r="B133" s="14" t="s">
        <v>23</v>
      </c>
      <c r="C133" s="15">
        <v>46045</v>
      </c>
      <c r="D133" s="16" t="s">
        <v>69</v>
      </c>
      <c r="E133" s="16" t="s">
        <v>8</v>
      </c>
      <c r="F133" s="17">
        <v>400</v>
      </c>
      <c r="G133" s="18" t="s">
        <v>24</v>
      </c>
      <c r="H133" s="9">
        <v>46045</v>
      </c>
      <c r="I133" s="10" t="s">
        <v>72</v>
      </c>
      <c r="J133" s="10" t="s">
        <v>8</v>
      </c>
      <c r="K133" s="11">
        <v>20</v>
      </c>
      <c r="O133" t="str" cm="1">
        <f t="array" ref="O133">_xlfn.LET(
_xlpm.corp,$I133,_xlpm.key,$M$2:$M$200,_xlpm.name,$N$2:$N$200,_xlpm.hits,_xlfn._xlws.FILTER(_xlpm.name,ISNUMBER(SEARCH(_xlpm.key,_xlpm.corp))),
IFERROR(INDEX(_xlpm.hits,1),_xlpm.corp))</f>
        <v>岡部</v>
      </c>
      <c r="P133" t="str">
        <f t="shared" si="11"/>
        <v>2026-01-23</v>
      </c>
      <c r="Q133" t="str">
        <f t="shared" si="12"/>
        <v>岡部/イチゴ</v>
      </c>
      <c r="R133" t="str">
        <f t="shared" si="13"/>
        <v>イチゴ</v>
      </c>
      <c r="S133">
        <f t="shared" si="14"/>
        <v>20</v>
      </c>
    </row>
    <row r="134" spans="1:19">
      <c r="A134" s="7">
        <v>73384</v>
      </c>
      <c r="B134" s="8" t="s">
        <v>23</v>
      </c>
      <c r="C134" s="9">
        <v>46045</v>
      </c>
      <c r="D134" s="10" t="s">
        <v>72</v>
      </c>
      <c r="E134" s="10" t="s">
        <v>8</v>
      </c>
      <c r="F134" s="11">
        <v>20</v>
      </c>
      <c r="G134" s="12" t="s">
        <v>24</v>
      </c>
      <c r="H134" s="15">
        <v>46045</v>
      </c>
      <c r="I134" s="16" t="s">
        <v>72</v>
      </c>
      <c r="J134" s="16" t="s">
        <v>11</v>
      </c>
      <c r="K134" s="17">
        <v>180</v>
      </c>
      <c r="O134" t="str" cm="1">
        <f t="array" ref="O134">_xlfn.LET(
_xlpm.corp,$I134,_xlpm.key,$M$2:$M$200,_xlpm.name,$N$2:$N$200,_xlpm.hits,_xlfn._xlws.FILTER(_xlpm.name,ISNUMBER(SEARCH(_xlpm.key,_xlpm.corp))),
IFERROR(INDEX(_xlpm.hits,1),_xlpm.corp))</f>
        <v>岡部</v>
      </c>
      <c r="P134" t="str">
        <f t="shared" si="11"/>
        <v>2026-01-23</v>
      </c>
      <c r="Q134" t="str">
        <f t="shared" si="12"/>
        <v>岡部</v>
      </c>
      <c r="R134" t="str">
        <f t="shared" si="13"/>
        <v>ベビーリーフ レッドオーク</v>
      </c>
      <c r="S134">
        <f t="shared" si="14"/>
        <v>180</v>
      </c>
    </row>
    <row r="135" spans="1:19">
      <c r="A135" s="13">
        <v>73367</v>
      </c>
      <c r="B135" s="14" t="s">
        <v>23</v>
      </c>
      <c r="C135" s="15">
        <v>46045</v>
      </c>
      <c r="D135" s="16" t="s">
        <v>72</v>
      </c>
      <c r="E135" s="16" t="s">
        <v>11</v>
      </c>
      <c r="F135" s="17">
        <v>180</v>
      </c>
      <c r="G135" s="18" t="s">
        <v>24</v>
      </c>
      <c r="H135" s="9">
        <v>46045</v>
      </c>
      <c r="I135" s="10" t="s">
        <v>63</v>
      </c>
      <c r="J135" s="10" t="s">
        <v>62</v>
      </c>
      <c r="K135" s="11">
        <v>320</v>
      </c>
      <c r="O135" t="str" cm="1">
        <f t="array" ref="O135">_xlfn.LET(
_xlpm.corp,$I135,_xlpm.key,$M$2:$M$200,_xlpm.name,$N$2:$N$200,_xlpm.hits,_xlfn._xlws.FILTER(_xlpm.name,ISNUMBER(SEARCH(_xlpm.key,_xlpm.corp))),
IFERROR(INDEX(_xlpm.hits,1),_xlpm.corp))</f>
        <v>富士機材</v>
      </c>
      <c r="P135" t="str">
        <f t="shared" si="11"/>
        <v>2026-01-23</v>
      </c>
      <c r="Q135" t="str">
        <f t="shared" si="12"/>
        <v>富士機材</v>
      </c>
      <c r="R135" t="str">
        <f t="shared" si="13"/>
        <v>ベビーリーフ ロログリーン</v>
      </c>
      <c r="S135">
        <f t="shared" si="14"/>
        <v>320</v>
      </c>
    </row>
    <row r="136" spans="1:19">
      <c r="A136" s="7">
        <v>73366</v>
      </c>
      <c r="B136" s="8" t="s">
        <v>23</v>
      </c>
      <c r="C136" s="9">
        <v>46045</v>
      </c>
      <c r="D136" s="10" t="s">
        <v>63</v>
      </c>
      <c r="E136" s="10" t="s">
        <v>62</v>
      </c>
      <c r="F136" s="11">
        <v>320</v>
      </c>
      <c r="G136" s="12" t="s">
        <v>24</v>
      </c>
      <c r="H136" s="15">
        <v>46045</v>
      </c>
      <c r="I136" s="16" t="s">
        <v>59</v>
      </c>
      <c r="J136" s="16" t="s">
        <v>2</v>
      </c>
      <c r="K136" s="17">
        <v>480</v>
      </c>
      <c r="O136" t="str" cm="1">
        <f t="array" ref="O136">_xlfn.LET(
_xlpm.corp,$I136,_xlpm.key,$M$2:$M$200,_xlpm.name,$N$2:$N$200,_xlpm.hits,_xlfn._xlws.FILTER(_xlpm.name,ISNUMBER(SEARCH(_xlpm.key,_xlpm.corp))),
IFERROR(INDEX(_xlpm.hits,1),_xlpm.corp))</f>
        <v>三和</v>
      </c>
      <c r="P136" t="str">
        <f t="shared" si="11"/>
        <v>2026-01-23</v>
      </c>
      <c r="Q136" t="str">
        <f t="shared" si="12"/>
        <v>三和</v>
      </c>
      <c r="R136" t="str">
        <f t="shared" si="13"/>
        <v>ベビーリーフ グリーンオーク</v>
      </c>
      <c r="S136">
        <f t="shared" si="14"/>
        <v>480</v>
      </c>
    </row>
    <row r="137" spans="1:19">
      <c r="A137" s="13">
        <v>73365</v>
      </c>
      <c r="B137" s="14" t="s">
        <v>23</v>
      </c>
      <c r="C137" s="15">
        <v>46045</v>
      </c>
      <c r="D137" s="16" t="s">
        <v>59</v>
      </c>
      <c r="E137" s="16" t="s">
        <v>2</v>
      </c>
      <c r="F137" s="17">
        <v>480</v>
      </c>
      <c r="G137" s="18" t="s">
        <v>24</v>
      </c>
      <c r="H137" s="9">
        <v>46045</v>
      </c>
      <c r="I137" s="10" t="s">
        <v>57</v>
      </c>
      <c r="J137" s="10" t="s">
        <v>3</v>
      </c>
      <c r="K137" s="11">
        <v>180</v>
      </c>
      <c r="O137" t="str" cm="1">
        <f t="array" ref="O137">_xlfn.LET(
_xlpm.corp,$I137,_xlpm.key,$M$2:$M$200,_xlpm.name,$N$2:$N$200,_xlpm.hits,_xlfn._xlws.FILTER(_xlpm.name,ISNUMBER(SEARCH(_xlpm.key,_xlpm.corp))),
IFERROR(INDEX(_xlpm.hits,1),_xlpm.corp))</f>
        <v>QB</v>
      </c>
      <c r="P137" t="str">
        <f t="shared" si="11"/>
        <v>2026-01-23</v>
      </c>
      <c r="Q137" t="str">
        <f t="shared" si="12"/>
        <v>QB/加工BL</v>
      </c>
      <c r="R137" t="str">
        <f t="shared" si="13"/>
        <v>加工BL</v>
      </c>
      <c r="S137">
        <f t="shared" si="14"/>
        <v>180</v>
      </c>
    </row>
    <row r="138" spans="1:19">
      <c r="A138" s="7">
        <v>73364</v>
      </c>
      <c r="B138" s="8" t="s">
        <v>23</v>
      </c>
      <c r="C138" s="9">
        <v>46045</v>
      </c>
      <c r="D138" s="10" t="s">
        <v>57</v>
      </c>
      <c r="E138" s="10" t="s">
        <v>3</v>
      </c>
      <c r="F138" s="11">
        <v>180</v>
      </c>
      <c r="G138" s="12" t="s">
        <v>24</v>
      </c>
      <c r="H138" s="15">
        <v>46045</v>
      </c>
      <c r="I138" s="16" t="s">
        <v>57</v>
      </c>
      <c r="J138" s="16" t="s">
        <v>2</v>
      </c>
      <c r="K138" s="17">
        <v>240</v>
      </c>
      <c r="O138" t="str" cm="1">
        <f t="array" ref="O138">_xlfn.LET(
_xlpm.corp,$I138,_xlpm.key,$M$2:$M$200,_xlpm.name,$N$2:$N$200,_xlpm.hits,_xlfn._xlws.FILTER(_xlpm.name,ISNUMBER(SEARCH(_xlpm.key,_xlpm.corp))),
IFERROR(INDEX(_xlpm.hits,1),_xlpm.corp))</f>
        <v>QB</v>
      </c>
      <c r="P138" t="str">
        <f t="shared" si="11"/>
        <v>2026-01-23</v>
      </c>
      <c r="Q138" t="str">
        <f t="shared" si="12"/>
        <v>QB</v>
      </c>
      <c r="R138" t="str">
        <f t="shared" si="13"/>
        <v>ベビーリーフ グリーンオーク</v>
      </c>
      <c r="S138">
        <f t="shared" si="14"/>
        <v>240</v>
      </c>
    </row>
    <row r="139" spans="1:19">
      <c r="A139" s="13">
        <v>73363</v>
      </c>
      <c r="B139" s="14" t="s">
        <v>23</v>
      </c>
      <c r="C139" s="15">
        <v>46045</v>
      </c>
      <c r="D139" s="16" t="s">
        <v>57</v>
      </c>
      <c r="E139" s="16" t="s">
        <v>2</v>
      </c>
      <c r="F139" s="17">
        <v>240</v>
      </c>
      <c r="G139" s="18" t="s">
        <v>24</v>
      </c>
      <c r="H139" s="9">
        <v>46045</v>
      </c>
      <c r="I139" s="10" t="s">
        <v>27</v>
      </c>
      <c r="J139" s="10" t="s">
        <v>62</v>
      </c>
      <c r="K139" s="11">
        <v>680</v>
      </c>
      <c r="O139" t="str" cm="1">
        <f t="array" ref="O139">_xlfn.LET(
_xlpm.corp,$I139,_xlpm.key,$M$2:$M$200,_xlpm.name,$N$2:$N$200,_xlpm.hits,_xlfn._xlws.FILTER(_xlpm.name,ISNUMBER(SEARCH(_xlpm.key,_xlpm.corp))),
IFERROR(INDEX(_xlpm.hits,1),_xlpm.corp))</f>
        <v>東レ</v>
      </c>
      <c r="P139" t="str">
        <f t="shared" si="11"/>
        <v>2026-01-23</v>
      </c>
      <c r="Q139" t="str">
        <f t="shared" si="12"/>
        <v>東レ</v>
      </c>
      <c r="R139" t="str">
        <f t="shared" si="13"/>
        <v>ベビーリーフ ロログリーン</v>
      </c>
      <c r="S139">
        <f t="shared" si="14"/>
        <v>680</v>
      </c>
    </row>
    <row r="140" spans="1:19">
      <c r="A140" s="7">
        <v>73362</v>
      </c>
      <c r="B140" s="8" t="s">
        <v>23</v>
      </c>
      <c r="C140" s="9">
        <v>46045</v>
      </c>
      <c r="D140" s="10" t="s">
        <v>27</v>
      </c>
      <c r="E140" s="10" t="s">
        <v>62</v>
      </c>
      <c r="F140" s="11">
        <v>680</v>
      </c>
      <c r="G140" s="12" t="s">
        <v>24</v>
      </c>
      <c r="H140" s="15">
        <v>46045</v>
      </c>
      <c r="I140" s="16" t="s">
        <v>27</v>
      </c>
      <c r="J140" s="16" t="s">
        <v>3</v>
      </c>
      <c r="K140" s="17">
        <v>680</v>
      </c>
      <c r="O140" t="str" cm="1">
        <f t="array" ref="O140">_xlfn.LET(
_xlpm.corp,$I140,_xlpm.key,$M$2:$M$200,_xlpm.name,$N$2:$N$200,_xlpm.hits,_xlfn._xlws.FILTER(_xlpm.name,ISNUMBER(SEARCH(_xlpm.key,_xlpm.corp))),
IFERROR(INDEX(_xlpm.hits,1),_xlpm.corp))</f>
        <v>東レ</v>
      </c>
      <c r="P140" t="str">
        <f t="shared" si="11"/>
        <v>2026-01-23</v>
      </c>
      <c r="Q140" t="str">
        <f t="shared" si="12"/>
        <v>東レ/加工BL</v>
      </c>
      <c r="R140" t="str">
        <f t="shared" si="13"/>
        <v>加工BL</v>
      </c>
      <c r="S140">
        <f t="shared" si="14"/>
        <v>680</v>
      </c>
    </row>
    <row r="141" spans="1:19">
      <c r="A141" s="13">
        <v>73361</v>
      </c>
      <c r="B141" s="14" t="s">
        <v>23</v>
      </c>
      <c r="C141" s="15">
        <v>46045</v>
      </c>
      <c r="D141" s="16" t="s">
        <v>27</v>
      </c>
      <c r="E141" s="16" t="s">
        <v>3</v>
      </c>
      <c r="F141" s="17">
        <v>680</v>
      </c>
      <c r="G141" s="18" t="s">
        <v>24</v>
      </c>
      <c r="H141" s="9">
        <v>46045</v>
      </c>
      <c r="I141" s="10" t="s">
        <v>57</v>
      </c>
      <c r="J141" s="10" t="s">
        <v>3</v>
      </c>
      <c r="K141" s="11">
        <v>160</v>
      </c>
      <c r="O141" t="str" cm="1">
        <f t="array" ref="O141">_xlfn.LET(
_xlpm.corp,$I141,_xlpm.key,$M$2:$M$200,_xlpm.name,$N$2:$N$200,_xlpm.hits,_xlfn._xlws.FILTER(_xlpm.name,ISNUMBER(SEARCH(_xlpm.key,_xlpm.corp))),
IFERROR(INDEX(_xlpm.hits,1),_xlpm.corp))</f>
        <v>QB</v>
      </c>
      <c r="P141" t="str">
        <f t="shared" si="11"/>
        <v>2026-01-23</v>
      </c>
      <c r="Q141" t="str">
        <f t="shared" si="12"/>
        <v>QB/加工BL</v>
      </c>
      <c r="R141" t="str">
        <f t="shared" si="13"/>
        <v>加工BL</v>
      </c>
      <c r="S141">
        <f t="shared" si="14"/>
        <v>160</v>
      </c>
    </row>
    <row r="142" spans="1:19">
      <c r="A142" s="7">
        <v>73360</v>
      </c>
      <c r="B142" s="8" t="s">
        <v>23</v>
      </c>
      <c r="C142" s="9">
        <v>46045</v>
      </c>
      <c r="D142" s="10" t="s">
        <v>57</v>
      </c>
      <c r="E142" s="10" t="s">
        <v>3</v>
      </c>
      <c r="F142" s="11">
        <v>160</v>
      </c>
      <c r="G142" s="12" t="s">
        <v>24</v>
      </c>
      <c r="H142" s="15">
        <v>46045</v>
      </c>
      <c r="I142" s="16" t="s">
        <v>27</v>
      </c>
      <c r="J142" s="16" t="s">
        <v>9</v>
      </c>
      <c r="K142" s="17">
        <v>800</v>
      </c>
      <c r="O142" t="str" cm="1">
        <f t="array" ref="O142">_xlfn.LET(
_xlpm.corp,$I142,_xlpm.key,$M$2:$M$200,_xlpm.name,$N$2:$N$200,_xlpm.hits,_xlfn._xlws.FILTER(_xlpm.name,ISNUMBER(SEARCH(_xlpm.key,_xlpm.corp))),
IFERROR(INDEX(_xlpm.hits,1),_xlpm.corp))</f>
        <v>東レ</v>
      </c>
      <c r="P142" t="str">
        <f t="shared" si="11"/>
        <v>2026-01-23</v>
      </c>
      <c r="Q142" t="str">
        <f t="shared" si="12"/>
        <v>東レ</v>
      </c>
      <c r="R142" t="str">
        <f t="shared" si="13"/>
        <v>ベビーリーフ ロロロッサ</v>
      </c>
      <c r="S142">
        <f t="shared" si="14"/>
        <v>800</v>
      </c>
    </row>
    <row r="143" spans="1:19">
      <c r="A143" s="13">
        <v>73359</v>
      </c>
      <c r="B143" s="14" t="s">
        <v>23</v>
      </c>
      <c r="C143" s="15">
        <v>46045</v>
      </c>
      <c r="D143" s="16" t="s">
        <v>27</v>
      </c>
      <c r="E143" s="16" t="s">
        <v>9</v>
      </c>
      <c r="F143" s="17">
        <v>800</v>
      </c>
      <c r="G143" s="18" t="s">
        <v>24</v>
      </c>
      <c r="H143" s="9">
        <v>46045</v>
      </c>
      <c r="I143" s="10" t="s">
        <v>26</v>
      </c>
      <c r="J143" s="10" t="s">
        <v>3</v>
      </c>
      <c r="K143" s="11">
        <v>160</v>
      </c>
      <c r="O143" t="str" cm="1">
        <f t="array" ref="O143">_xlfn.LET(
_xlpm.corp,$I143,_xlpm.key,$M$2:$M$200,_xlpm.name,$N$2:$N$200,_xlpm.hits,_xlfn._xlws.FILTER(_xlpm.name,ISNUMBER(SEARCH(_xlpm.key,_xlpm.corp))),
IFERROR(INDEX(_xlpm.hits,1),_xlpm.corp))</f>
        <v>日建</v>
      </c>
      <c r="P143" t="str">
        <f t="shared" si="11"/>
        <v>2026-01-23</v>
      </c>
      <c r="Q143" t="str">
        <f t="shared" si="12"/>
        <v>日建/加工BL</v>
      </c>
      <c r="R143" t="str">
        <f t="shared" si="13"/>
        <v>加工BL</v>
      </c>
      <c r="S143">
        <f t="shared" si="14"/>
        <v>160</v>
      </c>
    </row>
    <row r="144" spans="1:19">
      <c r="A144" s="7">
        <v>73358</v>
      </c>
      <c r="B144" s="8" t="s">
        <v>23</v>
      </c>
      <c r="C144" s="9">
        <v>46045</v>
      </c>
      <c r="D144" s="10" t="s">
        <v>26</v>
      </c>
      <c r="E144" s="10" t="s">
        <v>3</v>
      </c>
      <c r="F144" s="11">
        <v>160</v>
      </c>
      <c r="G144" s="12" t="s">
        <v>24</v>
      </c>
      <c r="H144" s="15">
        <v>46045</v>
      </c>
      <c r="I144" s="16" t="s">
        <v>26</v>
      </c>
      <c r="J144" s="16" t="s">
        <v>2</v>
      </c>
      <c r="K144" s="17">
        <v>140</v>
      </c>
      <c r="O144" t="str" cm="1">
        <f t="array" ref="O144">_xlfn.LET(
_xlpm.corp,$I144,_xlpm.key,$M$2:$M$200,_xlpm.name,$N$2:$N$200,_xlpm.hits,_xlfn._xlws.FILTER(_xlpm.name,ISNUMBER(SEARCH(_xlpm.key,_xlpm.corp))),
IFERROR(INDEX(_xlpm.hits,1),_xlpm.corp))</f>
        <v>日建</v>
      </c>
      <c r="P144" t="str">
        <f t="shared" si="11"/>
        <v>2026-01-23</v>
      </c>
      <c r="Q144" t="str">
        <f t="shared" si="12"/>
        <v>日建</v>
      </c>
      <c r="R144" t="str">
        <f t="shared" si="13"/>
        <v>ベビーリーフ グリーンオーク</v>
      </c>
      <c r="S144">
        <f t="shared" si="14"/>
        <v>140</v>
      </c>
    </row>
    <row r="145" spans="1:19">
      <c r="A145" s="13">
        <v>73357</v>
      </c>
      <c r="B145" s="14" t="s">
        <v>23</v>
      </c>
      <c r="C145" s="15">
        <v>46045</v>
      </c>
      <c r="D145" s="16" t="s">
        <v>26</v>
      </c>
      <c r="E145" s="16" t="s">
        <v>2</v>
      </c>
      <c r="F145" s="17">
        <v>140</v>
      </c>
      <c r="G145" s="18" t="s">
        <v>24</v>
      </c>
      <c r="H145" s="9">
        <v>46045</v>
      </c>
      <c r="I145" s="10" t="s">
        <v>67</v>
      </c>
      <c r="J145" s="10" t="s">
        <v>2</v>
      </c>
      <c r="K145" s="11">
        <v>120</v>
      </c>
      <c r="O145" t="str" cm="1">
        <f t="array" ref="O145">_xlfn.LET(
_xlpm.corp,$I145,_xlpm.key,$M$2:$M$200,_xlpm.name,$N$2:$N$200,_xlpm.hits,_xlfn._xlws.FILTER(_xlpm.name,ISNUMBER(SEARCH(_xlpm.key,_xlpm.corp))),
IFERROR(INDEX(_xlpm.hits,1),_xlpm.corp))</f>
        <v>日本ロレアル</v>
      </c>
      <c r="P145" t="str">
        <f t="shared" si="11"/>
        <v>2026-01-23</v>
      </c>
      <c r="Q145" t="str">
        <f t="shared" si="12"/>
        <v>日本ロレアル</v>
      </c>
      <c r="R145" t="str">
        <f t="shared" si="13"/>
        <v>ベビーリーフ グリーンオーク</v>
      </c>
      <c r="S145">
        <f t="shared" si="14"/>
        <v>120</v>
      </c>
    </row>
    <row r="146" spans="1:19">
      <c r="A146" s="7">
        <v>73356</v>
      </c>
      <c r="B146" s="8" t="s">
        <v>23</v>
      </c>
      <c r="C146" s="9">
        <v>46045</v>
      </c>
      <c r="D146" s="10" t="s">
        <v>67</v>
      </c>
      <c r="E146" s="10" t="s">
        <v>2</v>
      </c>
      <c r="F146" s="11">
        <v>120</v>
      </c>
      <c r="G146" s="12" t="s">
        <v>24</v>
      </c>
      <c r="H146" s="15">
        <v>46045</v>
      </c>
      <c r="I146" s="16" t="s">
        <v>65</v>
      </c>
      <c r="J146" s="16" t="s">
        <v>2</v>
      </c>
      <c r="K146" s="17">
        <v>100</v>
      </c>
      <c r="O146" t="str" cm="1">
        <f t="array" ref="O146">_xlfn.LET(
_xlpm.corp,$I146,_xlpm.key,$M$2:$M$200,_xlpm.name,$N$2:$N$200,_xlpm.hits,_xlfn._xlws.FILTER(_xlpm.name,ISNUMBER(SEARCH(_xlpm.key,_xlpm.corp))),
IFERROR(INDEX(_xlpm.hits,1),_xlpm.corp))</f>
        <v>マルテー</v>
      </c>
      <c r="P146" t="str">
        <f t="shared" si="11"/>
        <v>2026-01-23</v>
      </c>
      <c r="Q146" t="str">
        <f t="shared" si="12"/>
        <v>マルテー</v>
      </c>
      <c r="R146" t="str">
        <f t="shared" si="13"/>
        <v>ベビーリーフ グリーンオーク</v>
      </c>
      <c r="S146">
        <f t="shared" si="14"/>
        <v>100</v>
      </c>
    </row>
    <row r="147" spans="1:19">
      <c r="A147" s="13">
        <v>73355</v>
      </c>
      <c r="B147" s="14" t="s">
        <v>23</v>
      </c>
      <c r="C147" s="15">
        <v>46045</v>
      </c>
      <c r="D147" s="16" t="s">
        <v>65</v>
      </c>
      <c r="E147" s="16" t="s">
        <v>2</v>
      </c>
      <c r="F147" s="17">
        <v>100</v>
      </c>
      <c r="G147" s="18" t="s">
        <v>24</v>
      </c>
      <c r="H147" s="9">
        <v>46045</v>
      </c>
      <c r="I147" s="10" t="s">
        <v>69</v>
      </c>
      <c r="J147" s="10" t="s">
        <v>3</v>
      </c>
      <c r="K147" s="11">
        <v>440</v>
      </c>
      <c r="O147" t="str" cm="1">
        <f t="array" ref="O147">_xlfn.LET(
_xlpm.corp,$I147,_xlpm.key,$M$2:$M$200,_xlpm.name,$N$2:$N$200,_xlpm.hits,_xlfn._xlws.FILTER(_xlpm.name,ISNUMBER(SEARCH(_xlpm.key,_xlpm.corp))),
IFERROR(INDEX(_xlpm.hits,1),_xlpm.corp))</f>
        <v>バリュエンス</v>
      </c>
      <c r="P147" t="str">
        <f t="shared" si="11"/>
        <v>2026-01-23</v>
      </c>
      <c r="Q147" t="str">
        <f t="shared" si="12"/>
        <v>バリュエンス/加工BL</v>
      </c>
      <c r="R147" t="str">
        <f t="shared" si="13"/>
        <v>加工BL</v>
      </c>
      <c r="S147">
        <f t="shared" si="14"/>
        <v>440</v>
      </c>
    </row>
    <row r="148" spans="1:19">
      <c r="A148" s="7">
        <v>73354</v>
      </c>
      <c r="B148" s="8" t="s">
        <v>23</v>
      </c>
      <c r="C148" s="9">
        <v>46045</v>
      </c>
      <c r="D148" s="10" t="s">
        <v>69</v>
      </c>
      <c r="E148" s="10" t="s">
        <v>3</v>
      </c>
      <c r="F148" s="11">
        <v>440</v>
      </c>
      <c r="G148" s="12" t="s">
        <v>24</v>
      </c>
      <c r="H148" s="15">
        <v>46045</v>
      </c>
      <c r="I148" s="16" t="s">
        <v>69</v>
      </c>
      <c r="J148" s="16" t="s">
        <v>2</v>
      </c>
      <c r="K148" s="17">
        <v>80</v>
      </c>
      <c r="O148" t="str" cm="1">
        <f t="array" ref="O148">_xlfn.LET(
_xlpm.corp,$I148,_xlpm.key,$M$2:$M$200,_xlpm.name,$N$2:$N$200,_xlpm.hits,_xlfn._xlws.FILTER(_xlpm.name,ISNUMBER(SEARCH(_xlpm.key,_xlpm.corp))),
IFERROR(INDEX(_xlpm.hits,1),_xlpm.corp))</f>
        <v>バリュエンス</v>
      </c>
      <c r="P148" t="str">
        <f t="shared" si="11"/>
        <v>2026-01-23</v>
      </c>
      <c r="Q148" t="str">
        <f t="shared" si="12"/>
        <v>バリュエンス</v>
      </c>
      <c r="R148" t="str">
        <f t="shared" si="13"/>
        <v>ベビーリーフ グリーンオーク</v>
      </c>
      <c r="S148">
        <f t="shared" si="14"/>
        <v>80</v>
      </c>
    </row>
    <row r="149" spans="1:19">
      <c r="A149" s="13">
        <v>73353</v>
      </c>
      <c r="B149" s="14" t="s">
        <v>23</v>
      </c>
      <c r="C149" s="15">
        <v>46045</v>
      </c>
      <c r="D149" s="16" t="s">
        <v>69</v>
      </c>
      <c r="E149" s="16" t="s">
        <v>2</v>
      </c>
      <c r="F149" s="17">
        <v>80</v>
      </c>
      <c r="G149" s="18" t="s">
        <v>24</v>
      </c>
      <c r="H149" s="9">
        <v>46045</v>
      </c>
      <c r="I149" s="10" t="s">
        <v>61</v>
      </c>
      <c r="J149" s="10" t="s">
        <v>62</v>
      </c>
      <c r="K149" s="11">
        <v>200</v>
      </c>
      <c r="O149" t="str" cm="1">
        <f t="array" ref="O149">_xlfn.LET(
_xlpm.corp,$I149,_xlpm.key,$M$2:$M$200,_xlpm.name,$N$2:$N$200,_xlpm.hits,_xlfn._xlws.FILTER(_xlpm.name,ISNUMBER(SEARCH(_xlpm.key,_xlpm.corp))),
IFERROR(INDEX(_xlpm.hits,1),_xlpm.corp))</f>
        <v>Adobe</v>
      </c>
      <c r="P149" t="str">
        <f t="shared" si="11"/>
        <v>2026-01-23</v>
      </c>
      <c r="Q149" t="str">
        <f t="shared" si="12"/>
        <v>Adobe</v>
      </c>
      <c r="R149" t="str">
        <f t="shared" si="13"/>
        <v>ベビーリーフ ロログリーン</v>
      </c>
      <c r="S149">
        <f t="shared" si="14"/>
        <v>200</v>
      </c>
    </row>
    <row r="150" spans="1:19">
      <c r="A150" s="7">
        <v>73352</v>
      </c>
      <c r="B150" s="8" t="s">
        <v>23</v>
      </c>
      <c r="C150" s="9">
        <v>46045</v>
      </c>
      <c r="D150" s="10" t="s">
        <v>61</v>
      </c>
      <c r="E150" s="10" t="s">
        <v>62</v>
      </c>
      <c r="F150" s="11">
        <v>200</v>
      </c>
      <c r="G150" s="12" t="s">
        <v>24</v>
      </c>
      <c r="H150" s="15">
        <v>46045</v>
      </c>
      <c r="I150" s="16" t="s">
        <v>57</v>
      </c>
      <c r="J150" s="16" t="s">
        <v>4</v>
      </c>
      <c r="K150" s="17">
        <v>120</v>
      </c>
      <c r="O150" t="str" cm="1">
        <f t="array" ref="O150">_xlfn.LET(
_xlpm.corp,$I150,_xlpm.key,$M$2:$M$200,_xlpm.name,$N$2:$N$200,_xlpm.hits,_xlfn._xlws.FILTER(_xlpm.name,ISNUMBER(SEARCH(_xlpm.key,_xlpm.corp))),
IFERROR(INDEX(_xlpm.hits,1),_xlpm.corp))</f>
        <v>QB</v>
      </c>
      <c r="P150" t="str">
        <f t="shared" si="11"/>
        <v>2026-01-23</v>
      </c>
      <c r="Q150" t="str">
        <f t="shared" si="12"/>
        <v>QB</v>
      </c>
      <c r="R150" t="str">
        <f t="shared" si="13"/>
        <v>ベビーリーフ ピノグリーン</v>
      </c>
      <c r="S150">
        <f t="shared" si="14"/>
        <v>120</v>
      </c>
    </row>
    <row r="151" spans="1:19">
      <c r="A151" s="13">
        <v>73351</v>
      </c>
      <c r="B151" s="14" t="s">
        <v>23</v>
      </c>
      <c r="C151" s="15">
        <v>46045</v>
      </c>
      <c r="D151" s="16" t="s">
        <v>57</v>
      </c>
      <c r="E151" s="16" t="s">
        <v>4</v>
      </c>
      <c r="F151" s="17">
        <v>120</v>
      </c>
      <c r="G151" s="18" t="s">
        <v>24</v>
      </c>
      <c r="H151" s="9">
        <v>46045</v>
      </c>
      <c r="I151" s="10" t="s">
        <v>57</v>
      </c>
      <c r="J151" s="10" t="s">
        <v>2</v>
      </c>
      <c r="K151" s="11">
        <v>220</v>
      </c>
      <c r="O151" t="str" cm="1">
        <f t="array" ref="O151">_xlfn.LET(
_xlpm.corp,$I151,_xlpm.key,$M$2:$M$200,_xlpm.name,$N$2:$N$200,_xlpm.hits,_xlfn._xlws.FILTER(_xlpm.name,ISNUMBER(SEARCH(_xlpm.key,_xlpm.corp))),
IFERROR(INDEX(_xlpm.hits,1),_xlpm.corp))</f>
        <v>QB</v>
      </c>
      <c r="P151" t="str">
        <f t="shared" si="11"/>
        <v>2026-01-23</v>
      </c>
      <c r="Q151" t="str">
        <f t="shared" si="12"/>
        <v>QB</v>
      </c>
      <c r="R151" t="str">
        <f t="shared" si="13"/>
        <v>ベビーリーフ グリーンオーク</v>
      </c>
      <c r="S151">
        <f t="shared" si="14"/>
        <v>220</v>
      </c>
    </row>
    <row r="152" spans="1:19">
      <c r="A152" s="7">
        <v>73350</v>
      </c>
      <c r="B152" s="8" t="s">
        <v>23</v>
      </c>
      <c r="C152" s="9">
        <v>46045</v>
      </c>
      <c r="D152" s="10" t="s">
        <v>57</v>
      </c>
      <c r="E152" s="10" t="s">
        <v>2</v>
      </c>
      <c r="F152" s="11">
        <v>220</v>
      </c>
      <c r="G152" s="12" t="s">
        <v>24</v>
      </c>
      <c r="H152" s="15">
        <v>46045</v>
      </c>
      <c r="I152" s="16" t="s">
        <v>57</v>
      </c>
      <c r="J152" s="16" t="s">
        <v>3</v>
      </c>
      <c r="K152" s="17">
        <v>100</v>
      </c>
      <c r="O152" t="str" cm="1">
        <f t="array" ref="O152">_xlfn.LET(
_xlpm.corp,$I152,_xlpm.key,$M$2:$M$200,_xlpm.name,$N$2:$N$200,_xlpm.hits,_xlfn._xlws.FILTER(_xlpm.name,ISNUMBER(SEARCH(_xlpm.key,_xlpm.corp))),
IFERROR(INDEX(_xlpm.hits,1),_xlpm.corp))</f>
        <v>QB</v>
      </c>
      <c r="P152" t="str">
        <f t="shared" si="11"/>
        <v>2026-01-23</v>
      </c>
      <c r="Q152" t="str">
        <f t="shared" si="12"/>
        <v>QB/加工BL</v>
      </c>
      <c r="R152" t="str">
        <f t="shared" si="13"/>
        <v>加工BL</v>
      </c>
      <c r="S152">
        <f t="shared" si="14"/>
        <v>100</v>
      </c>
    </row>
    <row r="153" spans="1:19">
      <c r="A153" s="13">
        <v>73349</v>
      </c>
      <c r="B153" s="14" t="s">
        <v>23</v>
      </c>
      <c r="C153" s="15">
        <v>46045</v>
      </c>
      <c r="D153" s="16" t="s">
        <v>57</v>
      </c>
      <c r="E153" s="16" t="s">
        <v>3</v>
      </c>
      <c r="F153" s="17">
        <v>100</v>
      </c>
      <c r="G153" s="18" t="s">
        <v>24</v>
      </c>
      <c r="H153" s="9">
        <v>46045</v>
      </c>
      <c r="I153" s="10" t="s">
        <v>63</v>
      </c>
      <c r="J153" s="10" t="s">
        <v>62</v>
      </c>
      <c r="K153" s="11">
        <v>800</v>
      </c>
      <c r="O153" t="str" cm="1">
        <f t="array" ref="O153">_xlfn.LET(
_xlpm.corp,$I153,_xlpm.key,$M$2:$M$200,_xlpm.name,$N$2:$N$200,_xlpm.hits,_xlfn._xlws.FILTER(_xlpm.name,ISNUMBER(SEARCH(_xlpm.key,_xlpm.corp))),
IFERROR(INDEX(_xlpm.hits,1),_xlpm.corp))</f>
        <v>富士機材</v>
      </c>
      <c r="P153" t="str">
        <f t="shared" si="11"/>
        <v>2026-01-23</v>
      </c>
      <c r="Q153" t="str">
        <f t="shared" si="12"/>
        <v>富士機材</v>
      </c>
      <c r="R153" t="str">
        <f t="shared" si="13"/>
        <v>ベビーリーフ ロログリーン</v>
      </c>
      <c r="S153">
        <f t="shared" si="14"/>
        <v>800</v>
      </c>
    </row>
    <row r="154" spans="1:19">
      <c r="A154" s="7">
        <v>73348</v>
      </c>
      <c r="B154" s="8" t="s">
        <v>23</v>
      </c>
      <c r="C154" s="9">
        <v>46045</v>
      </c>
      <c r="D154" s="10" t="s">
        <v>63</v>
      </c>
      <c r="E154" s="10" t="s">
        <v>62</v>
      </c>
      <c r="F154" s="11">
        <v>800</v>
      </c>
      <c r="G154" s="12" t="s">
        <v>24</v>
      </c>
      <c r="H154" s="15">
        <v>46045</v>
      </c>
      <c r="I154" s="16" t="s">
        <v>26</v>
      </c>
      <c r="J154" s="16" t="s">
        <v>2</v>
      </c>
      <c r="K154" s="17">
        <v>280</v>
      </c>
      <c r="O154" t="str" cm="1">
        <f t="array" ref="O154">_xlfn.LET(
_xlpm.corp,$I154,_xlpm.key,$M$2:$M$200,_xlpm.name,$N$2:$N$200,_xlpm.hits,_xlfn._xlws.FILTER(_xlpm.name,ISNUMBER(SEARCH(_xlpm.key,_xlpm.corp))),
IFERROR(INDEX(_xlpm.hits,1),_xlpm.corp))</f>
        <v>日建</v>
      </c>
      <c r="P154" t="str">
        <f t="shared" si="11"/>
        <v>2026-01-23</v>
      </c>
      <c r="Q154" t="str">
        <f t="shared" si="12"/>
        <v>日建</v>
      </c>
      <c r="R154" t="str">
        <f t="shared" si="13"/>
        <v>ベビーリーフ グリーンオーク</v>
      </c>
      <c r="S154">
        <f t="shared" si="14"/>
        <v>280</v>
      </c>
    </row>
    <row r="155" spans="1:19">
      <c r="A155" s="13">
        <v>73347</v>
      </c>
      <c r="B155" s="14" t="s">
        <v>23</v>
      </c>
      <c r="C155" s="15">
        <v>46045</v>
      </c>
      <c r="D155" s="16" t="s">
        <v>26</v>
      </c>
      <c r="E155" s="16" t="s">
        <v>2</v>
      </c>
      <c r="F155" s="17">
        <v>280</v>
      </c>
      <c r="G155" s="18" t="s">
        <v>24</v>
      </c>
      <c r="H155" s="9">
        <v>46045</v>
      </c>
      <c r="I155" s="10" t="s">
        <v>69</v>
      </c>
      <c r="J155" s="10" t="s">
        <v>9</v>
      </c>
      <c r="K155" s="11">
        <v>520</v>
      </c>
      <c r="O155" t="str" cm="1">
        <f t="array" ref="O155">_xlfn.LET(
_xlpm.corp,$I155,_xlpm.key,$M$2:$M$200,_xlpm.name,$N$2:$N$200,_xlpm.hits,_xlfn._xlws.FILTER(_xlpm.name,ISNUMBER(SEARCH(_xlpm.key,_xlpm.corp))),
IFERROR(INDEX(_xlpm.hits,1),_xlpm.corp))</f>
        <v>バリュエンス</v>
      </c>
      <c r="P155" t="str">
        <f t="shared" si="11"/>
        <v>2026-01-23</v>
      </c>
      <c r="Q155" t="str">
        <f t="shared" si="12"/>
        <v>バリュエンス</v>
      </c>
      <c r="R155" t="str">
        <f t="shared" si="13"/>
        <v>ベビーリーフ ロロロッサ</v>
      </c>
      <c r="S155">
        <f t="shared" si="14"/>
        <v>520</v>
      </c>
    </row>
    <row r="156" spans="1:19">
      <c r="A156" s="7">
        <v>73346</v>
      </c>
      <c r="B156" s="8" t="s">
        <v>23</v>
      </c>
      <c r="C156" s="9">
        <v>46045</v>
      </c>
      <c r="D156" s="10" t="s">
        <v>69</v>
      </c>
      <c r="E156" s="10" t="s">
        <v>9</v>
      </c>
      <c r="F156" s="11">
        <v>520</v>
      </c>
      <c r="G156" s="12" t="s">
        <v>24</v>
      </c>
      <c r="H156" s="15">
        <v>46045</v>
      </c>
      <c r="I156" s="16" t="s">
        <v>61</v>
      </c>
      <c r="J156" s="16" t="s">
        <v>62</v>
      </c>
      <c r="K156" s="17">
        <v>320</v>
      </c>
      <c r="O156" t="str" cm="1">
        <f t="array" ref="O156">_xlfn.LET(
_xlpm.corp,$I156,_xlpm.key,$M$2:$M$200,_xlpm.name,$N$2:$N$200,_xlpm.hits,_xlfn._xlws.FILTER(_xlpm.name,ISNUMBER(SEARCH(_xlpm.key,_xlpm.corp))),
IFERROR(INDEX(_xlpm.hits,1),_xlpm.corp))</f>
        <v>Adobe</v>
      </c>
      <c r="P156" t="str">
        <f t="shared" si="11"/>
        <v>2026-01-23</v>
      </c>
      <c r="Q156" t="str">
        <f t="shared" si="12"/>
        <v>Adobe</v>
      </c>
      <c r="R156" t="str">
        <f t="shared" si="13"/>
        <v>ベビーリーフ ロログリーン</v>
      </c>
      <c r="S156">
        <f t="shared" si="14"/>
        <v>320</v>
      </c>
    </row>
    <row r="157" spans="1:19">
      <c r="A157" s="13">
        <v>73345</v>
      </c>
      <c r="B157" s="14" t="s">
        <v>23</v>
      </c>
      <c r="C157" s="15">
        <v>46045</v>
      </c>
      <c r="D157" s="16" t="s">
        <v>61</v>
      </c>
      <c r="E157" s="16" t="s">
        <v>62</v>
      </c>
      <c r="F157" s="17">
        <v>320</v>
      </c>
      <c r="G157" s="18" t="s">
        <v>24</v>
      </c>
      <c r="H157" s="9">
        <v>46045</v>
      </c>
      <c r="I157" s="10" t="s">
        <v>72</v>
      </c>
      <c r="J157" s="10" t="s">
        <v>3</v>
      </c>
      <c r="K157" s="11">
        <v>60</v>
      </c>
      <c r="O157" t="str" cm="1">
        <f t="array" ref="O157">_xlfn.LET(
_xlpm.corp,$I157,_xlpm.key,$M$2:$M$200,_xlpm.name,$N$2:$N$200,_xlpm.hits,_xlfn._xlws.FILTER(_xlpm.name,ISNUMBER(SEARCH(_xlpm.key,_xlpm.corp))),
IFERROR(INDEX(_xlpm.hits,1),_xlpm.corp))</f>
        <v>岡部</v>
      </c>
      <c r="P157" t="str">
        <f t="shared" si="11"/>
        <v>2026-01-23</v>
      </c>
      <c r="Q157" t="str">
        <f t="shared" si="12"/>
        <v>岡部/加工BL</v>
      </c>
      <c r="R157" t="str">
        <f t="shared" si="13"/>
        <v>加工BL</v>
      </c>
      <c r="S157">
        <f t="shared" si="14"/>
        <v>60</v>
      </c>
    </row>
    <row r="158" spans="1:19">
      <c r="A158" s="7">
        <v>73344</v>
      </c>
      <c r="B158" s="8" t="s">
        <v>23</v>
      </c>
      <c r="C158" s="9">
        <v>46045</v>
      </c>
      <c r="D158" s="10" t="s">
        <v>72</v>
      </c>
      <c r="E158" s="10" t="s">
        <v>3</v>
      </c>
      <c r="F158" s="11">
        <v>60</v>
      </c>
      <c r="G158" s="12" t="s">
        <v>24</v>
      </c>
      <c r="H158" s="15">
        <v>46045</v>
      </c>
      <c r="I158" s="16" t="s">
        <v>68</v>
      </c>
      <c r="J158" s="16" t="s">
        <v>2</v>
      </c>
      <c r="K158" s="17">
        <v>280</v>
      </c>
      <c r="O158" t="str" cm="1">
        <f t="array" ref="O158">_xlfn.LET(
_xlpm.corp,$I158,_xlpm.key,$M$2:$M$200,_xlpm.name,$N$2:$N$200,_xlpm.hits,_xlfn._xlws.FILTER(_xlpm.name,ISNUMBER(SEARCH(_xlpm.key,_xlpm.corp))),
IFERROR(INDEX(_xlpm.hits,1),_xlpm.corp))</f>
        <v>昭和女子</v>
      </c>
      <c r="P158" t="str">
        <f t="shared" si="11"/>
        <v>2026-01-23</v>
      </c>
      <c r="Q158" t="str">
        <f t="shared" si="12"/>
        <v>昭和女子</v>
      </c>
      <c r="R158" t="str">
        <f t="shared" si="13"/>
        <v>ベビーリーフ グリーンオーク</v>
      </c>
      <c r="S158">
        <f t="shared" si="14"/>
        <v>280</v>
      </c>
    </row>
    <row r="159" spans="1:19">
      <c r="A159" s="13">
        <v>73343</v>
      </c>
      <c r="B159" s="14" t="s">
        <v>23</v>
      </c>
      <c r="C159" s="15">
        <v>46045</v>
      </c>
      <c r="D159" s="16" t="s">
        <v>68</v>
      </c>
      <c r="E159" s="16" t="s">
        <v>2</v>
      </c>
      <c r="F159" s="17">
        <v>280</v>
      </c>
      <c r="G159" s="18" t="s">
        <v>24</v>
      </c>
      <c r="H159" s="9">
        <v>46045</v>
      </c>
      <c r="I159" s="10" t="s">
        <v>64</v>
      </c>
      <c r="J159" s="10" t="s">
        <v>11</v>
      </c>
      <c r="K159" s="11">
        <v>40</v>
      </c>
      <c r="O159" t="str" cm="1">
        <f t="array" ref="O159">_xlfn.LET(
_xlpm.corp,$I159,_xlpm.key,$M$2:$M$200,_xlpm.name,$N$2:$N$200,_xlpm.hits,_xlfn._xlws.FILTER(_xlpm.name,ISNUMBER(SEARCH(_xlpm.key,_xlpm.corp))),
IFERROR(INDEX(_xlpm.hits,1),_xlpm.corp))</f>
        <v>NaITO</v>
      </c>
      <c r="P159" t="str">
        <f t="shared" si="11"/>
        <v>2026-01-23</v>
      </c>
      <c r="Q159" t="str">
        <f t="shared" si="12"/>
        <v>NaITO</v>
      </c>
      <c r="R159" t="str">
        <f t="shared" si="13"/>
        <v>ベビーリーフ レッドオーク</v>
      </c>
      <c r="S159">
        <f t="shared" si="14"/>
        <v>40</v>
      </c>
    </row>
    <row r="160" spans="1:19">
      <c r="A160" s="7">
        <v>73342</v>
      </c>
      <c r="B160" s="8" t="s">
        <v>23</v>
      </c>
      <c r="C160" s="9">
        <v>46045</v>
      </c>
      <c r="D160" s="10" t="s">
        <v>64</v>
      </c>
      <c r="E160" s="10" t="s">
        <v>11</v>
      </c>
      <c r="F160" s="11">
        <v>40</v>
      </c>
      <c r="G160" s="12" t="s">
        <v>24</v>
      </c>
      <c r="H160" s="15">
        <v>46045</v>
      </c>
      <c r="I160" s="16" t="s">
        <v>57</v>
      </c>
      <c r="J160" s="16" t="s">
        <v>3</v>
      </c>
      <c r="K160" s="17">
        <v>200</v>
      </c>
      <c r="O160" t="str" cm="1">
        <f t="array" ref="O160">_xlfn.LET(
_xlpm.corp,$I160,_xlpm.key,$M$2:$M$200,_xlpm.name,$N$2:$N$200,_xlpm.hits,_xlfn._xlws.FILTER(_xlpm.name,ISNUMBER(SEARCH(_xlpm.key,_xlpm.corp))),
IFERROR(INDEX(_xlpm.hits,1),_xlpm.corp))</f>
        <v>QB</v>
      </c>
      <c r="P160" t="str">
        <f t="shared" si="11"/>
        <v>2026-01-23</v>
      </c>
      <c r="Q160" t="str">
        <f t="shared" si="12"/>
        <v>QB/加工BL</v>
      </c>
      <c r="R160" t="str">
        <f t="shared" si="13"/>
        <v>加工BL</v>
      </c>
      <c r="S160">
        <f t="shared" si="14"/>
        <v>200</v>
      </c>
    </row>
    <row r="161" spans="1:19">
      <c r="A161" s="13">
        <v>73341</v>
      </c>
      <c r="B161" s="14" t="s">
        <v>23</v>
      </c>
      <c r="C161" s="15">
        <v>46045</v>
      </c>
      <c r="D161" s="16" t="s">
        <v>57</v>
      </c>
      <c r="E161" s="16" t="s">
        <v>3</v>
      </c>
      <c r="F161" s="17">
        <v>200</v>
      </c>
      <c r="G161" s="18" t="s">
        <v>24</v>
      </c>
      <c r="H161" s="9">
        <v>46045</v>
      </c>
      <c r="I161" s="10" t="s">
        <v>57</v>
      </c>
      <c r="J161" s="10" t="s">
        <v>2</v>
      </c>
      <c r="K161" s="11">
        <v>200</v>
      </c>
      <c r="O161" t="str" cm="1">
        <f t="array" ref="O161">_xlfn.LET(
_xlpm.corp,$I161,_xlpm.key,$M$2:$M$200,_xlpm.name,$N$2:$N$200,_xlpm.hits,_xlfn._xlws.FILTER(_xlpm.name,ISNUMBER(SEARCH(_xlpm.key,_xlpm.corp))),
IFERROR(INDEX(_xlpm.hits,1),_xlpm.corp))</f>
        <v>QB</v>
      </c>
      <c r="P161" t="str">
        <f t="shared" si="11"/>
        <v>2026-01-23</v>
      </c>
      <c r="Q161" t="str">
        <f t="shared" si="12"/>
        <v>QB</v>
      </c>
      <c r="R161" t="str">
        <f t="shared" si="13"/>
        <v>ベビーリーフ グリーンオーク</v>
      </c>
      <c r="S161">
        <f t="shared" si="14"/>
        <v>200</v>
      </c>
    </row>
    <row r="162" spans="1:19">
      <c r="A162" s="7">
        <v>73340</v>
      </c>
      <c r="B162" s="8" t="s">
        <v>23</v>
      </c>
      <c r="C162" s="9">
        <v>46045</v>
      </c>
      <c r="D162" s="10" t="s">
        <v>57</v>
      </c>
      <c r="E162" s="10" t="s">
        <v>2</v>
      </c>
      <c r="F162" s="11">
        <v>200</v>
      </c>
      <c r="G162" s="12" t="s">
        <v>24</v>
      </c>
      <c r="H162" s="15">
        <v>46045</v>
      </c>
      <c r="I162" s="16" t="s">
        <v>26</v>
      </c>
      <c r="J162" s="16" t="s">
        <v>2</v>
      </c>
      <c r="K162" s="17">
        <v>280</v>
      </c>
      <c r="O162" t="str" cm="1">
        <f t="array" ref="O162">_xlfn.LET(
_xlpm.corp,$I162,_xlpm.key,$M$2:$M$200,_xlpm.name,$N$2:$N$200,_xlpm.hits,_xlfn._xlws.FILTER(_xlpm.name,ISNUMBER(SEARCH(_xlpm.key,_xlpm.corp))),
IFERROR(INDEX(_xlpm.hits,1),_xlpm.corp))</f>
        <v>日建</v>
      </c>
      <c r="P162" t="str">
        <f t="shared" si="11"/>
        <v>2026-01-23</v>
      </c>
      <c r="Q162" t="str">
        <f t="shared" si="12"/>
        <v>日建</v>
      </c>
      <c r="R162" t="str">
        <f t="shared" si="13"/>
        <v>ベビーリーフ グリーンオーク</v>
      </c>
      <c r="S162">
        <f t="shared" si="14"/>
        <v>280</v>
      </c>
    </row>
    <row r="163" spans="1:19">
      <c r="A163" s="13">
        <v>73339</v>
      </c>
      <c r="B163" s="14" t="s">
        <v>23</v>
      </c>
      <c r="C163" s="15">
        <v>46045</v>
      </c>
      <c r="D163" s="16" t="s">
        <v>26</v>
      </c>
      <c r="E163" s="16" t="s">
        <v>2</v>
      </c>
      <c r="F163" s="17">
        <v>280</v>
      </c>
      <c r="G163" s="18" t="s">
        <v>24</v>
      </c>
      <c r="H163" s="9">
        <v>46045</v>
      </c>
      <c r="I163" s="10" t="s">
        <v>67</v>
      </c>
      <c r="J163" s="10" t="s">
        <v>2</v>
      </c>
      <c r="K163" s="11">
        <v>120</v>
      </c>
      <c r="O163" t="str" cm="1">
        <f t="array" ref="O163">_xlfn.LET(
_xlpm.corp,$I163,_xlpm.key,$M$2:$M$200,_xlpm.name,$N$2:$N$200,_xlpm.hits,_xlfn._xlws.FILTER(_xlpm.name,ISNUMBER(SEARCH(_xlpm.key,_xlpm.corp))),
IFERROR(INDEX(_xlpm.hits,1),_xlpm.corp))</f>
        <v>日本ロレアル</v>
      </c>
      <c r="P163" t="str">
        <f t="shared" si="11"/>
        <v>2026-01-23</v>
      </c>
      <c r="Q163" t="str">
        <f t="shared" si="12"/>
        <v>日本ロレアル</v>
      </c>
      <c r="R163" t="str">
        <f t="shared" si="13"/>
        <v>ベビーリーフ グリーンオーク</v>
      </c>
      <c r="S163">
        <f t="shared" si="14"/>
        <v>120</v>
      </c>
    </row>
    <row r="164" spans="1:19">
      <c r="A164" s="7">
        <v>73338</v>
      </c>
      <c r="B164" s="8" t="s">
        <v>23</v>
      </c>
      <c r="C164" s="9">
        <v>46045</v>
      </c>
      <c r="D164" s="10" t="s">
        <v>67</v>
      </c>
      <c r="E164" s="10" t="s">
        <v>2</v>
      </c>
      <c r="F164" s="11">
        <v>120</v>
      </c>
      <c r="G164" s="12" t="s">
        <v>24</v>
      </c>
      <c r="H164" s="15">
        <v>46045</v>
      </c>
      <c r="I164" s="16" t="s">
        <v>56</v>
      </c>
      <c r="J164" s="16" t="s">
        <v>3</v>
      </c>
      <c r="K164" s="17">
        <v>700</v>
      </c>
      <c r="O164" t="str" cm="1">
        <f t="array" ref="O164">_xlfn.LET(
_xlpm.corp,$I164,_xlpm.key,$M$2:$M$200,_xlpm.name,$N$2:$N$200,_xlpm.hits,_xlfn._xlws.FILTER(_xlpm.name,ISNUMBER(SEARCH(_xlpm.key,_xlpm.corp))),
IFERROR(INDEX(_xlpm.hits,1),_xlpm.corp))</f>
        <v>サンセイランディック</v>
      </c>
      <c r="P164" t="str">
        <f t="shared" si="11"/>
        <v>2026-01-23</v>
      </c>
      <c r="Q164" t="str">
        <f t="shared" si="12"/>
        <v>サンセイランディック/加工BL</v>
      </c>
      <c r="R164" t="str">
        <f t="shared" si="13"/>
        <v>加工BL</v>
      </c>
      <c r="S164">
        <f t="shared" si="14"/>
        <v>700</v>
      </c>
    </row>
    <row r="165" spans="1:19">
      <c r="A165" s="13">
        <v>73337</v>
      </c>
      <c r="B165" s="14" t="s">
        <v>23</v>
      </c>
      <c r="C165" s="15">
        <v>46045</v>
      </c>
      <c r="D165" s="16" t="s">
        <v>56</v>
      </c>
      <c r="E165" s="16" t="s">
        <v>3</v>
      </c>
      <c r="F165" s="17">
        <v>700</v>
      </c>
      <c r="G165" s="18" t="s">
        <v>24</v>
      </c>
      <c r="H165" s="9">
        <v>46045</v>
      </c>
      <c r="I165" s="10" t="s">
        <v>57</v>
      </c>
      <c r="J165" s="10" t="s">
        <v>4</v>
      </c>
      <c r="K165" s="11">
        <v>100</v>
      </c>
      <c r="O165" t="str" cm="1">
        <f t="array" ref="O165">_xlfn.LET(
_xlpm.corp,$I165,_xlpm.key,$M$2:$M$200,_xlpm.name,$N$2:$N$200,_xlpm.hits,_xlfn._xlws.FILTER(_xlpm.name,ISNUMBER(SEARCH(_xlpm.key,_xlpm.corp))),
IFERROR(INDEX(_xlpm.hits,1),_xlpm.corp))</f>
        <v>QB</v>
      </c>
      <c r="P165" t="str">
        <f t="shared" si="11"/>
        <v>2026-01-23</v>
      </c>
      <c r="Q165" t="str">
        <f t="shared" si="12"/>
        <v>QB</v>
      </c>
      <c r="R165" t="str">
        <f t="shared" si="13"/>
        <v>ベビーリーフ ピノグリーン</v>
      </c>
      <c r="S165">
        <f t="shared" si="14"/>
        <v>100</v>
      </c>
    </row>
    <row r="166" spans="1:19">
      <c r="A166" s="7">
        <v>73336</v>
      </c>
      <c r="B166" s="8" t="s">
        <v>23</v>
      </c>
      <c r="C166" s="9">
        <v>46045</v>
      </c>
      <c r="D166" s="10" t="s">
        <v>57</v>
      </c>
      <c r="E166" s="10" t="s">
        <v>4</v>
      </c>
      <c r="F166" s="11">
        <v>100</v>
      </c>
      <c r="G166" s="12" t="s">
        <v>24</v>
      </c>
      <c r="H166" s="15">
        <v>46045</v>
      </c>
      <c r="I166" s="16" t="s">
        <v>57</v>
      </c>
      <c r="J166" s="16" t="s">
        <v>3</v>
      </c>
      <c r="K166" s="17">
        <v>40</v>
      </c>
      <c r="O166" t="str" cm="1">
        <f t="array" ref="O166">_xlfn.LET(
_xlpm.corp,$I166,_xlpm.key,$M$2:$M$200,_xlpm.name,$N$2:$N$200,_xlpm.hits,_xlfn._xlws.FILTER(_xlpm.name,ISNUMBER(SEARCH(_xlpm.key,_xlpm.corp))),
IFERROR(INDEX(_xlpm.hits,1),_xlpm.corp))</f>
        <v>QB</v>
      </c>
      <c r="P166" t="str">
        <f t="shared" si="11"/>
        <v>2026-01-23</v>
      </c>
      <c r="Q166" t="str">
        <f t="shared" si="12"/>
        <v>QB/加工BL</v>
      </c>
      <c r="R166" t="str">
        <f t="shared" si="13"/>
        <v>加工BL</v>
      </c>
      <c r="S166">
        <f t="shared" si="14"/>
        <v>40</v>
      </c>
    </row>
    <row r="167" spans="1:19">
      <c r="A167" s="13">
        <v>73335</v>
      </c>
      <c r="B167" s="14" t="s">
        <v>23</v>
      </c>
      <c r="C167" s="15">
        <v>46045</v>
      </c>
      <c r="D167" s="16" t="s">
        <v>57</v>
      </c>
      <c r="E167" s="16" t="s">
        <v>3</v>
      </c>
      <c r="F167" s="17">
        <v>40</v>
      </c>
      <c r="G167" s="18" t="s">
        <v>24</v>
      </c>
      <c r="H167" s="9">
        <v>46045</v>
      </c>
      <c r="I167" s="10" t="s">
        <v>69</v>
      </c>
      <c r="J167" s="10" t="s">
        <v>3</v>
      </c>
      <c r="K167" s="11">
        <v>280</v>
      </c>
      <c r="O167" t="str" cm="1">
        <f t="array" ref="O167">_xlfn.LET(
_xlpm.corp,$I167,_xlpm.key,$M$2:$M$200,_xlpm.name,$N$2:$N$200,_xlpm.hits,_xlfn._xlws.FILTER(_xlpm.name,ISNUMBER(SEARCH(_xlpm.key,_xlpm.corp))),
IFERROR(INDEX(_xlpm.hits,1),_xlpm.corp))</f>
        <v>バリュエンス</v>
      </c>
      <c r="P167" t="str">
        <f t="shared" si="11"/>
        <v>2026-01-23</v>
      </c>
      <c r="Q167" t="str">
        <f t="shared" si="12"/>
        <v>バリュエンス/加工BL</v>
      </c>
      <c r="R167" t="str">
        <f t="shared" si="13"/>
        <v>加工BL</v>
      </c>
      <c r="S167">
        <f t="shared" si="14"/>
        <v>280</v>
      </c>
    </row>
    <row r="168" spans="1:19">
      <c r="A168" s="7">
        <v>73334</v>
      </c>
      <c r="B168" s="8" t="s">
        <v>23</v>
      </c>
      <c r="C168" s="9">
        <v>46045</v>
      </c>
      <c r="D168" s="10" t="s">
        <v>69</v>
      </c>
      <c r="E168" s="10" t="s">
        <v>3</v>
      </c>
      <c r="F168" s="11">
        <v>280</v>
      </c>
      <c r="G168" s="12" t="s">
        <v>24</v>
      </c>
      <c r="H168" s="15">
        <v>46045</v>
      </c>
      <c r="I168" s="16" t="s">
        <v>59</v>
      </c>
      <c r="J168" s="16" t="s">
        <v>11</v>
      </c>
      <c r="K168" s="17">
        <v>140</v>
      </c>
      <c r="O168" t="str" cm="1">
        <f t="array" ref="O168">_xlfn.LET(
_xlpm.corp,$I168,_xlpm.key,$M$2:$M$200,_xlpm.name,$N$2:$N$200,_xlpm.hits,_xlfn._xlws.FILTER(_xlpm.name,ISNUMBER(SEARCH(_xlpm.key,_xlpm.corp))),
IFERROR(INDEX(_xlpm.hits,1),_xlpm.corp))</f>
        <v>三和</v>
      </c>
      <c r="P168" t="str">
        <f t="shared" si="11"/>
        <v>2026-01-23</v>
      </c>
      <c r="Q168" t="str">
        <f t="shared" si="12"/>
        <v>三和</v>
      </c>
      <c r="R168" t="str">
        <f t="shared" si="13"/>
        <v>ベビーリーフ レッドオーク</v>
      </c>
      <c r="S168">
        <f t="shared" si="14"/>
        <v>140</v>
      </c>
    </row>
    <row r="169" spans="1:19">
      <c r="A169" s="13">
        <v>73333</v>
      </c>
      <c r="B169" s="14" t="s">
        <v>23</v>
      </c>
      <c r="C169" s="15">
        <v>46045</v>
      </c>
      <c r="D169" s="16" t="s">
        <v>59</v>
      </c>
      <c r="E169" s="16" t="s">
        <v>11</v>
      </c>
      <c r="F169" s="17">
        <v>140</v>
      </c>
      <c r="G169" s="18" t="s">
        <v>24</v>
      </c>
      <c r="H169" s="9">
        <v>46045</v>
      </c>
      <c r="I169" s="10" t="s">
        <v>59</v>
      </c>
      <c r="J169" s="10" t="s">
        <v>2</v>
      </c>
      <c r="K169" s="11">
        <v>600</v>
      </c>
      <c r="O169" t="str" cm="1">
        <f t="array" ref="O169">_xlfn.LET(
_xlpm.corp,$I169,_xlpm.key,$M$2:$M$200,_xlpm.name,$N$2:$N$200,_xlpm.hits,_xlfn._xlws.FILTER(_xlpm.name,ISNUMBER(SEARCH(_xlpm.key,_xlpm.corp))),
IFERROR(INDEX(_xlpm.hits,1),_xlpm.corp))</f>
        <v>三和</v>
      </c>
      <c r="P169" t="str">
        <f t="shared" si="11"/>
        <v>2026-01-23</v>
      </c>
      <c r="Q169" t="str">
        <f t="shared" si="12"/>
        <v>三和</v>
      </c>
      <c r="R169" t="str">
        <f t="shared" si="13"/>
        <v>ベビーリーフ グリーンオーク</v>
      </c>
      <c r="S169">
        <f t="shared" si="14"/>
        <v>600</v>
      </c>
    </row>
    <row r="170" spans="1:19">
      <c r="A170" s="7">
        <v>73332</v>
      </c>
      <c r="B170" s="8" t="s">
        <v>23</v>
      </c>
      <c r="C170" s="9">
        <v>46045</v>
      </c>
      <c r="D170" s="10" t="s">
        <v>59</v>
      </c>
      <c r="E170" s="10" t="s">
        <v>2</v>
      </c>
      <c r="F170" s="11">
        <v>600</v>
      </c>
      <c r="G170" s="12" t="s">
        <v>24</v>
      </c>
      <c r="H170" s="15">
        <v>46045</v>
      </c>
      <c r="I170" s="16" t="s">
        <v>70</v>
      </c>
      <c r="J170" s="16" t="s">
        <v>9</v>
      </c>
      <c r="K170" s="17">
        <v>320</v>
      </c>
      <c r="O170" t="str" cm="1">
        <f t="array" ref="O170">_xlfn.LET(
_xlpm.corp,$I170,_xlpm.key,$M$2:$M$200,_xlpm.name,$N$2:$N$200,_xlpm.hits,_xlfn._xlws.FILTER(_xlpm.name,ISNUMBER(SEARCH(_xlpm.key,_xlpm.corp))),
IFERROR(INDEX(_xlpm.hits,1),_xlpm.corp))</f>
        <v>富士機械</v>
      </c>
      <c r="P170" t="str">
        <f t="shared" si="11"/>
        <v>2026-01-23</v>
      </c>
      <c r="Q170" t="str">
        <f t="shared" si="12"/>
        <v>富士機械</v>
      </c>
      <c r="R170" t="str">
        <f t="shared" si="13"/>
        <v>ベビーリーフ ロロロッサ</v>
      </c>
      <c r="S170">
        <f t="shared" si="14"/>
        <v>320</v>
      </c>
    </row>
    <row r="171" spans="1:19">
      <c r="A171" s="13">
        <v>73331</v>
      </c>
      <c r="B171" s="14" t="s">
        <v>23</v>
      </c>
      <c r="C171" s="15">
        <v>46045</v>
      </c>
      <c r="D171" s="16" t="s">
        <v>70</v>
      </c>
      <c r="E171" s="16" t="s">
        <v>9</v>
      </c>
      <c r="F171" s="17">
        <v>320</v>
      </c>
      <c r="G171" s="18" t="s">
        <v>24</v>
      </c>
      <c r="H171" s="9">
        <v>46045</v>
      </c>
      <c r="I171" s="10" t="s">
        <v>70</v>
      </c>
      <c r="J171" s="10" t="s">
        <v>9</v>
      </c>
      <c r="K171" s="11">
        <v>840</v>
      </c>
      <c r="O171" t="str" cm="1">
        <f t="array" ref="O171">_xlfn.LET(
_xlpm.corp,$I171,_xlpm.key,$M$2:$M$200,_xlpm.name,$N$2:$N$200,_xlpm.hits,_xlfn._xlws.FILTER(_xlpm.name,ISNUMBER(SEARCH(_xlpm.key,_xlpm.corp))),
IFERROR(INDEX(_xlpm.hits,1),_xlpm.corp))</f>
        <v>富士機械</v>
      </c>
      <c r="P171" t="str">
        <f t="shared" si="11"/>
        <v>2026-01-23</v>
      </c>
      <c r="Q171" t="str">
        <f t="shared" si="12"/>
        <v>富士機械</v>
      </c>
      <c r="R171" t="str">
        <f t="shared" si="13"/>
        <v>ベビーリーフ ロロロッサ</v>
      </c>
      <c r="S171">
        <f t="shared" si="14"/>
        <v>840</v>
      </c>
    </row>
    <row r="172" spans="1:19">
      <c r="A172" s="7">
        <v>73330</v>
      </c>
      <c r="B172" s="8" t="s">
        <v>23</v>
      </c>
      <c r="C172" s="9">
        <v>46045</v>
      </c>
      <c r="D172" s="10" t="s">
        <v>70</v>
      </c>
      <c r="E172" s="10" t="s">
        <v>9</v>
      </c>
      <c r="F172" s="11">
        <v>840</v>
      </c>
      <c r="G172" s="12" t="s">
        <v>24</v>
      </c>
      <c r="H172" s="15">
        <v>46044</v>
      </c>
      <c r="I172" s="16" t="s">
        <v>65</v>
      </c>
      <c r="J172" s="16" t="s">
        <v>10</v>
      </c>
      <c r="K172" s="17">
        <v>45</v>
      </c>
      <c r="O172" t="str" cm="1">
        <f t="array" ref="O172">_xlfn.LET(
_xlpm.corp,$I172,_xlpm.key,$M$2:$M$200,_xlpm.name,$N$2:$N$200,_xlpm.hits,_xlfn._xlws.FILTER(_xlpm.name,ISNUMBER(SEARCH(_xlpm.key,_xlpm.corp))),
IFERROR(INDEX(_xlpm.hits,1),_xlpm.corp))</f>
        <v>マルテー</v>
      </c>
      <c r="P172" t="str">
        <f t="shared" si="11"/>
        <v>2026-01-22</v>
      </c>
      <c r="Q172" t="str">
        <f t="shared" si="12"/>
        <v>マルテー/加工BL</v>
      </c>
      <c r="R172" t="str">
        <f t="shared" si="13"/>
        <v>加工品 イチゴ</v>
      </c>
      <c r="S172">
        <f t="shared" si="14"/>
        <v>45</v>
      </c>
    </row>
    <row r="173" spans="1:19">
      <c r="A173" s="13">
        <v>73452</v>
      </c>
      <c r="B173" s="14" t="s">
        <v>23</v>
      </c>
      <c r="C173" s="15">
        <v>46044</v>
      </c>
      <c r="D173" s="16" t="s">
        <v>65</v>
      </c>
      <c r="E173" s="16" t="s">
        <v>10</v>
      </c>
      <c r="F173" s="17">
        <v>45</v>
      </c>
      <c r="G173" s="18" t="s">
        <v>24</v>
      </c>
      <c r="H173" s="9">
        <v>46044</v>
      </c>
      <c r="I173" s="10" t="s">
        <v>65</v>
      </c>
      <c r="J173" s="10" t="s">
        <v>261</v>
      </c>
      <c r="K173" s="11">
        <v>143</v>
      </c>
      <c r="O173" t="str" cm="1">
        <f t="array" ref="O173">_xlfn.LET(
_xlpm.corp,$I173,_xlpm.key,$M$2:$M$200,_xlpm.name,$N$2:$N$200,_xlpm.hits,_xlfn._xlws.FILTER(_xlpm.name,ISNUMBER(SEARCH(_xlpm.key,_xlpm.corp))),
IFERROR(INDEX(_xlpm.hits,1),_xlpm.corp))</f>
        <v>マルテー</v>
      </c>
      <c r="P173" t="str">
        <f t="shared" si="11"/>
        <v>2026-01-22</v>
      </c>
      <c r="Q173" t="str">
        <f t="shared" si="12"/>
        <v>マルテー/イチゴ</v>
      </c>
      <c r="R173" t="str">
        <f t="shared" si="13"/>
        <v>イチゴ（かおり野）</v>
      </c>
      <c r="S173">
        <f t="shared" si="14"/>
        <v>143</v>
      </c>
    </row>
    <row r="174" spans="1:19">
      <c r="A174" s="7">
        <v>73451</v>
      </c>
      <c r="B174" s="8" t="s">
        <v>23</v>
      </c>
      <c r="C174" s="9">
        <v>46044</v>
      </c>
      <c r="D174" s="10" t="s">
        <v>65</v>
      </c>
      <c r="E174" s="10" t="s">
        <v>261</v>
      </c>
      <c r="F174" s="11">
        <v>143</v>
      </c>
      <c r="G174" s="12" t="s">
        <v>24</v>
      </c>
      <c r="H174" s="15">
        <v>46044</v>
      </c>
      <c r="I174" s="16" t="s">
        <v>65</v>
      </c>
      <c r="J174" s="16" t="s">
        <v>8</v>
      </c>
      <c r="K174" s="17">
        <v>223</v>
      </c>
      <c r="O174" t="str" cm="1">
        <f t="array" ref="O174">_xlfn.LET(
_xlpm.corp,$I174,_xlpm.key,$M$2:$M$200,_xlpm.name,$N$2:$N$200,_xlpm.hits,_xlfn._xlws.FILTER(_xlpm.name,ISNUMBER(SEARCH(_xlpm.key,_xlpm.corp))),
IFERROR(INDEX(_xlpm.hits,1),_xlpm.corp))</f>
        <v>マルテー</v>
      </c>
      <c r="P174" t="str">
        <f t="shared" si="11"/>
        <v>2026-01-22</v>
      </c>
      <c r="Q174" t="str">
        <f t="shared" si="12"/>
        <v>マルテー/イチゴ</v>
      </c>
      <c r="R174" t="str">
        <f t="shared" si="13"/>
        <v>イチゴ</v>
      </c>
      <c r="S174">
        <f t="shared" si="14"/>
        <v>223</v>
      </c>
    </row>
    <row r="175" spans="1:19">
      <c r="A175" s="13">
        <v>73450</v>
      </c>
      <c r="B175" s="14" t="s">
        <v>23</v>
      </c>
      <c r="C175" s="15">
        <v>46044</v>
      </c>
      <c r="D175" s="16" t="s">
        <v>65</v>
      </c>
      <c r="E175" s="16" t="s">
        <v>8</v>
      </c>
      <c r="F175" s="17">
        <v>223</v>
      </c>
      <c r="G175" s="18" t="s">
        <v>24</v>
      </c>
      <c r="H175" s="9">
        <v>46044</v>
      </c>
      <c r="I175" s="10" t="s">
        <v>60</v>
      </c>
      <c r="J175" s="10" t="s">
        <v>3</v>
      </c>
      <c r="K175" s="11">
        <v>260</v>
      </c>
      <c r="O175" t="str" cm="1">
        <f t="array" ref="O175">_xlfn.LET(
_xlpm.corp,$I175,_xlpm.key,$M$2:$M$200,_xlpm.name,$N$2:$N$200,_xlpm.hits,_xlfn._xlws.FILTER(_xlpm.name,ISNUMBER(SEARCH(_xlpm.key,_xlpm.corp))),
IFERROR(INDEX(_xlpm.hits,1),_xlpm.corp))</f>
        <v>サンテレホン</v>
      </c>
      <c r="P175" t="str">
        <f t="shared" si="11"/>
        <v>2026-01-22</v>
      </c>
      <c r="Q175" t="str">
        <f t="shared" si="12"/>
        <v>サンテレホン/加工BL</v>
      </c>
      <c r="R175" t="str">
        <f t="shared" si="13"/>
        <v>加工BL</v>
      </c>
      <c r="S175">
        <f t="shared" si="14"/>
        <v>260</v>
      </c>
    </row>
    <row r="176" spans="1:19">
      <c r="A176" s="7">
        <v>72902</v>
      </c>
      <c r="B176" s="8" t="s">
        <v>23</v>
      </c>
      <c r="C176" s="9">
        <v>46044</v>
      </c>
      <c r="D176" s="10" t="s">
        <v>60</v>
      </c>
      <c r="E176" s="10" t="s">
        <v>3</v>
      </c>
      <c r="F176" s="11">
        <v>260</v>
      </c>
      <c r="G176" s="12" t="s">
        <v>24</v>
      </c>
      <c r="H176" s="15">
        <v>46044</v>
      </c>
      <c r="I176" s="16" t="s">
        <v>64</v>
      </c>
      <c r="J176" s="16" t="s">
        <v>3</v>
      </c>
      <c r="K176" s="17">
        <v>840</v>
      </c>
      <c r="O176" t="str" cm="1">
        <f t="array" ref="O176">_xlfn.LET(
_xlpm.corp,$I176,_xlpm.key,$M$2:$M$200,_xlpm.name,$N$2:$N$200,_xlpm.hits,_xlfn._xlws.FILTER(_xlpm.name,ISNUMBER(SEARCH(_xlpm.key,_xlpm.corp))),
IFERROR(INDEX(_xlpm.hits,1),_xlpm.corp))</f>
        <v>NaITO</v>
      </c>
      <c r="P176" t="str">
        <f t="shared" si="11"/>
        <v>2026-01-22</v>
      </c>
      <c r="Q176" t="str">
        <f t="shared" si="12"/>
        <v>NaITO/加工BL</v>
      </c>
      <c r="R176" t="str">
        <f t="shared" si="13"/>
        <v>加工BL</v>
      </c>
      <c r="S176">
        <f t="shared" si="14"/>
        <v>840</v>
      </c>
    </row>
    <row r="177" spans="1:19">
      <c r="A177" s="13">
        <v>72901</v>
      </c>
      <c r="B177" s="14" t="s">
        <v>23</v>
      </c>
      <c r="C177" s="15">
        <v>46044</v>
      </c>
      <c r="D177" s="16" t="s">
        <v>64</v>
      </c>
      <c r="E177" s="16" t="s">
        <v>3</v>
      </c>
      <c r="F177" s="17">
        <v>840</v>
      </c>
      <c r="G177" s="18" t="s">
        <v>24</v>
      </c>
      <c r="H177" s="9">
        <v>46044</v>
      </c>
      <c r="I177" s="10" t="s">
        <v>26</v>
      </c>
      <c r="J177" s="10" t="s">
        <v>2</v>
      </c>
      <c r="K177" s="11">
        <v>240</v>
      </c>
      <c r="O177" t="str" cm="1">
        <f t="array" ref="O177">_xlfn.LET(
_xlpm.corp,$I177,_xlpm.key,$M$2:$M$200,_xlpm.name,$N$2:$N$200,_xlpm.hits,_xlfn._xlws.FILTER(_xlpm.name,ISNUMBER(SEARCH(_xlpm.key,_xlpm.corp))),
IFERROR(INDEX(_xlpm.hits,1),_xlpm.corp))</f>
        <v>日建</v>
      </c>
      <c r="P177" t="str">
        <f t="shared" si="11"/>
        <v>2026-01-22</v>
      </c>
      <c r="Q177" t="str">
        <f t="shared" si="12"/>
        <v>日建</v>
      </c>
      <c r="R177" t="str">
        <f t="shared" si="13"/>
        <v>ベビーリーフ グリーンオーク</v>
      </c>
      <c r="S177">
        <f t="shared" si="14"/>
        <v>240</v>
      </c>
    </row>
    <row r="178" spans="1:19">
      <c r="A178" s="7">
        <v>72900</v>
      </c>
      <c r="B178" s="8" t="s">
        <v>23</v>
      </c>
      <c r="C178" s="9">
        <v>46044</v>
      </c>
      <c r="D178" s="10" t="s">
        <v>26</v>
      </c>
      <c r="E178" s="10" t="s">
        <v>2</v>
      </c>
      <c r="F178" s="11">
        <v>240</v>
      </c>
      <c r="G178" s="12" t="s">
        <v>24</v>
      </c>
      <c r="H178" s="15">
        <v>46044</v>
      </c>
      <c r="I178" s="16" t="s">
        <v>67</v>
      </c>
      <c r="J178" s="16" t="s">
        <v>2</v>
      </c>
      <c r="K178" s="17">
        <v>220</v>
      </c>
      <c r="O178" t="str" cm="1">
        <f t="array" ref="O178">_xlfn.LET(
_xlpm.corp,$I178,_xlpm.key,$M$2:$M$200,_xlpm.name,$N$2:$N$200,_xlpm.hits,_xlfn._xlws.FILTER(_xlpm.name,ISNUMBER(SEARCH(_xlpm.key,_xlpm.corp))),
IFERROR(INDEX(_xlpm.hits,1),_xlpm.corp))</f>
        <v>日本ロレアル</v>
      </c>
      <c r="P178" t="str">
        <f t="shared" si="11"/>
        <v>2026-01-22</v>
      </c>
      <c r="Q178" t="str">
        <f t="shared" si="12"/>
        <v>日本ロレアル</v>
      </c>
      <c r="R178" t="str">
        <f t="shared" si="13"/>
        <v>ベビーリーフ グリーンオーク</v>
      </c>
      <c r="S178">
        <f t="shared" si="14"/>
        <v>220</v>
      </c>
    </row>
    <row r="179" spans="1:19">
      <c r="A179" s="13">
        <v>72899</v>
      </c>
      <c r="B179" s="14" t="s">
        <v>23</v>
      </c>
      <c r="C179" s="15">
        <v>46044</v>
      </c>
      <c r="D179" s="16" t="s">
        <v>67</v>
      </c>
      <c r="E179" s="16" t="s">
        <v>2</v>
      </c>
      <c r="F179" s="17">
        <v>220</v>
      </c>
      <c r="G179" s="18" t="s">
        <v>24</v>
      </c>
      <c r="H179" s="9">
        <v>46044</v>
      </c>
      <c r="I179" s="10" t="s">
        <v>56</v>
      </c>
      <c r="J179" s="10" t="s">
        <v>3</v>
      </c>
      <c r="K179" s="11">
        <v>320</v>
      </c>
      <c r="O179" t="str" cm="1">
        <f t="array" ref="O179">_xlfn.LET(
_xlpm.corp,$I179,_xlpm.key,$M$2:$M$200,_xlpm.name,$N$2:$N$200,_xlpm.hits,_xlfn._xlws.FILTER(_xlpm.name,ISNUMBER(SEARCH(_xlpm.key,_xlpm.corp))),
IFERROR(INDEX(_xlpm.hits,1),_xlpm.corp))</f>
        <v>サンセイランディック</v>
      </c>
      <c r="P179" t="str">
        <f t="shared" si="11"/>
        <v>2026-01-22</v>
      </c>
      <c r="Q179" t="str">
        <f t="shared" si="12"/>
        <v>サンセイランディック/加工BL</v>
      </c>
      <c r="R179" t="str">
        <f t="shared" si="13"/>
        <v>加工BL</v>
      </c>
      <c r="S179">
        <f t="shared" si="14"/>
        <v>320</v>
      </c>
    </row>
    <row r="180" spans="1:19">
      <c r="A180" s="7">
        <v>72898</v>
      </c>
      <c r="B180" s="8" t="s">
        <v>23</v>
      </c>
      <c r="C180" s="9">
        <v>46044</v>
      </c>
      <c r="D180" s="10" t="s">
        <v>56</v>
      </c>
      <c r="E180" s="10" t="s">
        <v>3</v>
      </c>
      <c r="F180" s="11">
        <v>320</v>
      </c>
      <c r="G180" s="12" t="s">
        <v>24</v>
      </c>
      <c r="H180" s="15">
        <v>46044</v>
      </c>
      <c r="I180" s="16" t="s">
        <v>27</v>
      </c>
      <c r="J180" s="16" t="s">
        <v>62</v>
      </c>
      <c r="K180" s="17">
        <v>80</v>
      </c>
      <c r="O180" t="str" cm="1">
        <f t="array" ref="O180">_xlfn.LET(
_xlpm.corp,$I180,_xlpm.key,$M$2:$M$200,_xlpm.name,$N$2:$N$200,_xlpm.hits,_xlfn._xlws.FILTER(_xlpm.name,ISNUMBER(SEARCH(_xlpm.key,_xlpm.corp))),
IFERROR(INDEX(_xlpm.hits,1),_xlpm.corp))</f>
        <v>東レ</v>
      </c>
      <c r="P180" t="str">
        <f t="shared" si="11"/>
        <v>2026-01-22</v>
      </c>
      <c r="Q180" t="str">
        <f t="shared" si="12"/>
        <v>東レ</v>
      </c>
      <c r="R180" t="str">
        <f t="shared" si="13"/>
        <v>ベビーリーフ ロログリーン</v>
      </c>
      <c r="S180">
        <f t="shared" si="14"/>
        <v>80</v>
      </c>
    </row>
    <row r="181" spans="1:19">
      <c r="A181" s="13">
        <v>72897</v>
      </c>
      <c r="B181" s="14" t="s">
        <v>23</v>
      </c>
      <c r="C181" s="15">
        <v>46044</v>
      </c>
      <c r="D181" s="16" t="s">
        <v>27</v>
      </c>
      <c r="E181" s="16" t="s">
        <v>62</v>
      </c>
      <c r="F181" s="17">
        <v>80</v>
      </c>
      <c r="G181" s="18" t="s">
        <v>24</v>
      </c>
      <c r="H181" s="9">
        <v>46044</v>
      </c>
      <c r="I181" s="10" t="s">
        <v>27</v>
      </c>
      <c r="J181" s="10" t="s">
        <v>3</v>
      </c>
      <c r="K181" s="11">
        <v>440</v>
      </c>
      <c r="O181" t="str" cm="1">
        <f t="array" ref="O181">_xlfn.LET(
_xlpm.corp,$I181,_xlpm.key,$M$2:$M$200,_xlpm.name,$N$2:$N$200,_xlpm.hits,_xlfn._xlws.FILTER(_xlpm.name,ISNUMBER(SEARCH(_xlpm.key,_xlpm.corp))),
IFERROR(INDEX(_xlpm.hits,1),_xlpm.corp))</f>
        <v>東レ</v>
      </c>
      <c r="P181" t="str">
        <f t="shared" si="11"/>
        <v>2026-01-22</v>
      </c>
      <c r="Q181" t="str">
        <f t="shared" si="12"/>
        <v>東レ/加工BL</v>
      </c>
      <c r="R181" t="str">
        <f t="shared" si="13"/>
        <v>加工BL</v>
      </c>
      <c r="S181">
        <f t="shared" si="14"/>
        <v>440</v>
      </c>
    </row>
    <row r="182" spans="1:19">
      <c r="A182" s="7">
        <v>72896</v>
      </c>
      <c r="B182" s="8" t="s">
        <v>23</v>
      </c>
      <c r="C182" s="9">
        <v>46044</v>
      </c>
      <c r="D182" s="10" t="s">
        <v>27</v>
      </c>
      <c r="E182" s="10" t="s">
        <v>3</v>
      </c>
      <c r="F182" s="11">
        <v>440</v>
      </c>
      <c r="G182" s="12" t="s">
        <v>24</v>
      </c>
      <c r="H182" s="15">
        <v>46044</v>
      </c>
      <c r="I182" s="16" t="s">
        <v>66</v>
      </c>
      <c r="J182" s="16" t="s">
        <v>12</v>
      </c>
      <c r="K182" s="19">
        <v>2580</v>
      </c>
      <c r="O182" t="str" cm="1">
        <f t="array" ref="O182">_xlfn.LET(
_xlpm.corp,$I182,_xlpm.key,$M$2:$M$200,_xlpm.name,$N$2:$N$200,_xlpm.hits,_xlfn._xlws.FILTER(_xlpm.name,ISNUMBER(SEARCH(_xlpm.key,_xlpm.corp))),
IFERROR(INDEX(_xlpm.hits,1),_xlpm.corp))</f>
        <v>ケイアイ</v>
      </c>
      <c r="P182" t="str">
        <f t="shared" si="11"/>
        <v>2026-01-22</v>
      </c>
      <c r="Q182" t="str">
        <f t="shared" si="12"/>
        <v>ケイアイ/葉物野菜</v>
      </c>
      <c r="R182" t="str">
        <f t="shared" si="13"/>
        <v>ブロッコリースプラウト</v>
      </c>
      <c r="S182">
        <f t="shared" si="14"/>
        <v>2580</v>
      </c>
    </row>
    <row r="183" spans="1:19">
      <c r="A183" s="13">
        <v>72895</v>
      </c>
      <c r="B183" s="14" t="s">
        <v>23</v>
      </c>
      <c r="C183" s="15">
        <v>46044</v>
      </c>
      <c r="D183" s="16" t="s">
        <v>66</v>
      </c>
      <c r="E183" s="16" t="s">
        <v>12</v>
      </c>
      <c r="F183" s="19">
        <v>2580</v>
      </c>
      <c r="G183" s="18" t="s">
        <v>24</v>
      </c>
      <c r="H183" s="9">
        <v>46044</v>
      </c>
      <c r="I183" s="10" t="s">
        <v>57</v>
      </c>
      <c r="J183" s="10" t="s">
        <v>4</v>
      </c>
      <c r="K183" s="11">
        <v>100</v>
      </c>
      <c r="O183" t="str" cm="1">
        <f t="array" ref="O183">_xlfn.LET(
_xlpm.corp,$I183,_xlpm.key,$M$2:$M$200,_xlpm.name,$N$2:$N$200,_xlpm.hits,_xlfn._xlws.FILTER(_xlpm.name,ISNUMBER(SEARCH(_xlpm.key,_xlpm.corp))),
IFERROR(INDEX(_xlpm.hits,1),_xlpm.corp))</f>
        <v>QB</v>
      </c>
      <c r="P183" t="str">
        <f t="shared" si="11"/>
        <v>2026-01-22</v>
      </c>
      <c r="Q183" t="str">
        <f t="shared" si="12"/>
        <v>QB</v>
      </c>
      <c r="R183" t="str">
        <f t="shared" si="13"/>
        <v>ベビーリーフ ピノグリーン</v>
      </c>
      <c r="S183">
        <f t="shared" si="14"/>
        <v>100</v>
      </c>
    </row>
    <row r="184" spans="1:19">
      <c r="A184" s="7">
        <v>72894</v>
      </c>
      <c r="B184" s="8" t="s">
        <v>23</v>
      </c>
      <c r="C184" s="9">
        <v>46044</v>
      </c>
      <c r="D184" s="10" t="s">
        <v>57</v>
      </c>
      <c r="E184" s="10" t="s">
        <v>4</v>
      </c>
      <c r="F184" s="11">
        <v>100</v>
      </c>
      <c r="G184" s="12" t="s">
        <v>24</v>
      </c>
      <c r="H184" s="15">
        <v>46044</v>
      </c>
      <c r="I184" s="16" t="s">
        <v>57</v>
      </c>
      <c r="J184" s="16" t="s">
        <v>3</v>
      </c>
      <c r="K184" s="17">
        <v>80</v>
      </c>
      <c r="O184" t="str" cm="1">
        <f t="array" ref="O184">_xlfn.LET(
_xlpm.corp,$I184,_xlpm.key,$M$2:$M$200,_xlpm.name,$N$2:$N$200,_xlpm.hits,_xlfn._xlws.FILTER(_xlpm.name,ISNUMBER(SEARCH(_xlpm.key,_xlpm.corp))),
IFERROR(INDEX(_xlpm.hits,1),_xlpm.corp))</f>
        <v>QB</v>
      </c>
      <c r="P184" t="str">
        <f t="shared" si="11"/>
        <v>2026-01-22</v>
      </c>
      <c r="Q184" t="str">
        <f t="shared" si="12"/>
        <v>QB/加工BL</v>
      </c>
      <c r="R184" t="str">
        <f t="shared" si="13"/>
        <v>加工BL</v>
      </c>
      <c r="S184">
        <f t="shared" si="14"/>
        <v>80</v>
      </c>
    </row>
    <row r="185" spans="1:19">
      <c r="A185" s="13">
        <v>72893</v>
      </c>
      <c r="B185" s="14" t="s">
        <v>23</v>
      </c>
      <c r="C185" s="15">
        <v>46044</v>
      </c>
      <c r="D185" s="16" t="s">
        <v>57</v>
      </c>
      <c r="E185" s="16" t="s">
        <v>3</v>
      </c>
      <c r="F185" s="17">
        <v>80</v>
      </c>
      <c r="G185" s="18" t="s">
        <v>24</v>
      </c>
      <c r="H185" s="9">
        <v>46044</v>
      </c>
      <c r="I185" s="10" t="s">
        <v>28</v>
      </c>
      <c r="J185" s="10" t="s">
        <v>2</v>
      </c>
      <c r="K185" s="11">
        <v>120</v>
      </c>
      <c r="O185" t="str" cm="1">
        <f t="array" ref="O185">_xlfn.LET(
_xlpm.corp,$I185,_xlpm.key,$M$2:$M$200,_xlpm.name,$N$2:$N$200,_xlpm.hits,_xlfn._xlws.FILTER(_xlpm.name,ISNUMBER(SEARCH(_xlpm.key,_xlpm.corp))),
IFERROR(INDEX(_xlpm.hits,1),_xlpm.corp))</f>
        <v>牧野フライス</v>
      </c>
      <c r="P185" t="str">
        <f t="shared" si="11"/>
        <v>2026-01-22</v>
      </c>
      <c r="Q185" t="str">
        <f t="shared" si="12"/>
        <v>牧野フライス</v>
      </c>
      <c r="R185" t="str">
        <f t="shared" si="13"/>
        <v>ベビーリーフ グリーンオーク</v>
      </c>
      <c r="S185">
        <f t="shared" si="14"/>
        <v>120</v>
      </c>
    </row>
    <row r="186" spans="1:19">
      <c r="A186" s="7">
        <v>72892</v>
      </c>
      <c r="B186" s="8" t="s">
        <v>23</v>
      </c>
      <c r="C186" s="9">
        <v>46044</v>
      </c>
      <c r="D186" s="10" t="s">
        <v>28</v>
      </c>
      <c r="E186" s="10" t="s">
        <v>2</v>
      </c>
      <c r="F186" s="11">
        <v>120</v>
      </c>
      <c r="G186" s="12" t="s">
        <v>24</v>
      </c>
      <c r="H186" s="15">
        <v>46044</v>
      </c>
      <c r="I186" s="16" t="s">
        <v>57</v>
      </c>
      <c r="J186" s="16" t="s">
        <v>3</v>
      </c>
      <c r="K186" s="17">
        <v>100</v>
      </c>
      <c r="O186" t="str" cm="1">
        <f t="array" ref="O186">_xlfn.LET(
_xlpm.corp,$I186,_xlpm.key,$M$2:$M$200,_xlpm.name,$N$2:$N$200,_xlpm.hits,_xlfn._xlws.FILTER(_xlpm.name,ISNUMBER(SEARCH(_xlpm.key,_xlpm.corp))),
IFERROR(INDEX(_xlpm.hits,1),_xlpm.corp))</f>
        <v>QB</v>
      </c>
      <c r="P186" t="str">
        <f t="shared" si="11"/>
        <v>2026-01-22</v>
      </c>
      <c r="Q186" t="str">
        <f t="shared" si="12"/>
        <v>QB/加工BL</v>
      </c>
      <c r="R186" t="str">
        <f t="shared" si="13"/>
        <v>加工BL</v>
      </c>
      <c r="S186">
        <f t="shared" si="14"/>
        <v>100</v>
      </c>
    </row>
    <row r="187" spans="1:19">
      <c r="A187" s="13">
        <v>72891</v>
      </c>
      <c r="B187" s="14" t="s">
        <v>23</v>
      </c>
      <c r="C187" s="15">
        <v>46044</v>
      </c>
      <c r="D187" s="16" t="s">
        <v>57</v>
      </c>
      <c r="E187" s="16" t="s">
        <v>3</v>
      </c>
      <c r="F187" s="17">
        <v>100</v>
      </c>
      <c r="G187" s="18" t="s">
        <v>24</v>
      </c>
      <c r="H187" s="9">
        <v>46044</v>
      </c>
      <c r="I187" s="10" t="s">
        <v>57</v>
      </c>
      <c r="J187" s="10" t="s">
        <v>2</v>
      </c>
      <c r="K187" s="11">
        <v>240</v>
      </c>
      <c r="O187" t="str" cm="1">
        <f t="array" ref="O187">_xlfn.LET(
_xlpm.corp,$I187,_xlpm.key,$M$2:$M$200,_xlpm.name,$N$2:$N$200,_xlpm.hits,_xlfn._xlws.FILTER(_xlpm.name,ISNUMBER(SEARCH(_xlpm.key,_xlpm.corp))),
IFERROR(INDEX(_xlpm.hits,1),_xlpm.corp))</f>
        <v>QB</v>
      </c>
      <c r="P187" t="str">
        <f t="shared" si="11"/>
        <v>2026-01-22</v>
      </c>
      <c r="Q187" t="str">
        <f t="shared" si="12"/>
        <v>QB</v>
      </c>
      <c r="R187" t="str">
        <f t="shared" si="13"/>
        <v>ベビーリーフ グリーンオーク</v>
      </c>
      <c r="S187">
        <f t="shared" si="14"/>
        <v>240</v>
      </c>
    </row>
    <row r="188" spans="1:19">
      <c r="A188" s="7">
        <v>72890</v>
      </c>
      <c r="B188" s="8" t="s">
        <v>23</v>
      </c>
      <c r="C188" s="9">
        <v>46044</v>
      </c>
      <c r="D188" s="10" t="s">
        <v>57</v>
      </c>
      <c r="E188" s="10" t="s">
        <v>2</v>
      </c>
      <c r="F188" s="11">
        <v>240</v>
      </c>
      <c r="G188" s="12" t="s">
        <v>24</v>
      </c>
      <c r="H188" s="15">
        <v>46044</v>
      </c>
      <c r="I188" s="16" t="s">
        <v>65</v>
      </c>
      <c r="J188" s="16" t="s">
        <v>2</v>
      </c>
      <c r="K188" s="17">
        <v>420</v>
      </c>
      <c r="O188" t="str" cm="1">
        <f t="array" ref="O188">_xlfn.LET(
_xlpm.corp,$I188,_xlpm.key,$M$2:$M$200,_xlpm.name,$N$2:$N$200,_xlpm.hits,_xlfn._xlws.FILTER(_xlpm.name,ISNUMBER(SEARCH(_xlpm.key,_xlpm.corp))),
IFERROR(INDEX(_xlpm.hits,1),_xlpm.corp))</f>
        <v>マルテー</v>
      </c>
      <c r="P188" t="str">
        <f t="shared" si="11"/>
        <v>2026-01-22</v>
      </c>
      <c r="Q188" t="str">
        <f t="shared" si="12"/>
        <v>マルテー</v>
      </c>
      <c r="R188" t="str">
        <f t="shared" si="13"/>
        <v>ベビーリーフ グリーンオーク</v>
      </c>
      <c r="S188">
        <f t="shared" si="14"/>
        <v>420</v>
      </c>
    </row>
    <row r="189" spans="1:19">
      <c r="A189" s="13">
        <v>72889</v>
      </c>
      <c r="B189" s="14" t="s">
        <v>23</v>
      </c>
      <c r="C189" s="15">
        <v>46044</v>
      </c>
      <c r="D189" s="16" t="s">
        <v>65</v>
      </c>
      <c r="E189" s="16" t="s">
        <v>2</v>
      </c>
      <c r="F189" s="17">
        <v>420</v>
      </c>
      <c r="G189" s="18" t="s">
        <v>24</v>
      </c>
      <c r="H189" s="9">
        <v>46044</v>
      </c>
      <c r="I189" s="10" t="s">
        <v>69</v>
      </c>
      <c r="J189" s="10" t="s">
        <v>62</v>
      </c>
      <c r="K189" s="11">
        <v>640</v>
      </c>
      <c r="O189" t="str" cm="1">
        <f t="array" ref="O189">_xlfn.LET(
_xlpm.corp,$I189,_xlpm.key,$M$2:$M$200,_xlpm.name,$N$2:$N$200,_xlpm.hits,_xlfn._xlws.FILTER(_xlpm.name,ISNUMBER(SEARCH(_xlpm.key,_xlpm.corp))),
IFERROR(INDEX(_xlpm.hits,1),_xlpm.corp))</f>
        <v>バリュエンス</v>
      </c>
      <c r="P189" t="str">
        <f t="shared" si="11"/>
        <v>2026-01-22</v>
      </c>
      <c r="Q189" t="str">
        <f t="shared" si="12"/>
        <v>バリュエンス</v>
      </c>
      <c r="R189" t="str">
        <f t="shared" si="13"/>
        <v>ベビーリーフ ロログリーン</v>
      </c>
      <c r="S189">
        <f t="shared" si="14"/>
        <v>640</v>
      </c>
    </row>
    <row r="190" spans="1:19">
      <c r="A190" s="7">
        <v>72888</v>
      </c>
      <c r="B190" s="8" t="s">
        <v>23</v>
      </c>
      <c r="C190" s="9">
        <v>46044</v>
      </c>
      <c r="D190" s="10" t="s">
        <v>69</v>
      </c>
      <c r="E190" s="10" t="s">
        <v>62</v>
      </c>
      <c r="F190" s="11">
        <v>640</v>
      </c>
      <c r="G190" s="12" t="s">
        <v>24</v>
      </c>
      <c r="H190" s="15">
        <v>46044</v>
      </c>
      <c r="I190" s="16" t="s">
        <v>25</v>
      </c>
      <c r="J190" s="16" t="s">
        <v>2</v>
      </c>
      <c r="K190" s="17">
        <v>120</v>
      </c>
      <c r="O190" t="str" cm="1">
        <f t="array" ref="O190">_xlfn.LET(
_xlpm.corp,$I190,_xlpm.key,$M$2:$M$200,_xlpm.name,$N$2:$N$200,_xlpm.hits,_xlfn._xlws.FILTER(_xlpm.name,ISNUMBER(SEARCH(_xlpm.key,_xlpm.corp))),
IFERROR(INDEX(_xlpm.hits,1),_xlpm.corp))</f>
        <v>日本ファブテック</v>
      </c>
      <c r="P190" t="str">
        <f t="shared" si="11"/>
        <v>2026-01-22</v>
      </c>
      <c r="Q190" t="str">
        <f t="shared" si="12"/>
        <v>日本ファブテック</v>
      </c>
      <c r="R190" t="str">
        <f t="shared" si="13"/>
        <v>ベビーリーフ グリーンオーク</v>
      </c>
      <c r="S190">
        <f t="shared" si="14"/>
        <v>120</v>
      </c>
    </row>
    <row r="191" spans="1:19">
      <c r="A191" s="13">
        <v>72887</v>
      </c>
      <c r="B191" s="14" t="s">
        <v>23</v>
      </c>
      <c r="C191" s="15">
        <v>46044</v>
      </c>
      <c r="D191" s="16" t="s">
        <v>25</v>
      </c>
      <c r="E191" s="16" t="s">
        <v>2</v>
      </c>
      <c r="F191" s="17">
        <v>120</v>
      </c>
      <c r="G191" s="18" t="s">
        <v>24</v>
      </c>
      <c r="H191" s="9">
        <v>46044</v>
      </c>
      <c r="I191" s="10" t="s">
        <v>58</v>
      </c>
      <c r="J191" s="10" t="s">
        <v>4</v>
      </c>
      <c r="K191" s="11">
        <v>140</v>
      </c>
      <c r="O191" t="str" cm="1">
        <f t="array" ref="O191">_xlfn.LET(
_xlpm.corp,$I191,_xlpm.key,$M$2:$M$200,_xlpm.name,$N$2:$N$200,_xlpm.hits,_xlfn._xlws.FILTER(_xlpm.name,ISNUMBER(SEARCH(_xlpm.key,_xlpm.corp))),
IFERROR(INDEX(_xlpm.hits,1),_xlpm.corp))</f>
        <v>慈誠会</v>
      </c>
      <c r="P191" t="str">
        <f t="shared" si="11"/>
        <v>2026-01-22</v>
      </c>
      <c r="Q191" t="str">
        <f t="shared" si="12"/>
        <v>慈誠会</v>
      </c>
      <c r="R191" t="str">
        <f t="shared" si="13"/>
        <v>ベビーリーフ ピノグリーン</v>
      </c>
      <c r="S191">
        <f t="shared" si="14"/>
        <v>140</v>
      </c>
    </row>
    <row r="192" spans="1:19">
      <c r="A192" s="7">
        <v>72886</v>
      </c>
      <c r="B192" s="8" t="s">
        <v>23</v>
      </c>
      <c r="C192" s="9">
        <v>46044</v>
      </c>
      <c r="D192" s="10" t="s">
        <v>58</v>
      </c>
      <c r="E192" s="10" t="s">
        <v>4</v>
      </c>
      <c r="F192" s="11">
        <v>140</v>
      </c>
      <c r="G192" s="12" t="s">
        <v>24</v>
      </c>
      <c r="H192" s="15">
        <v>46044</v>
      </c>
      <c r="I192" s="16" t="s">
        <v>71</v>
      </c>
      <c r="J192" s="16" t="s">
        <v>12</v>
      </c>
      <c r="K192" s="19">
        <v>1180</v>
      </c>
      <c r="O192" t="str" cm="1">
        <f t="array" ref="O192">_xlfn.LET(
_xlpm.corp,$I192,_xlpm.key,$M$2:$M$200,_xlpm.name,$N$2:$N$200,_xlpm.hits,_xlfn._xlws.FILTER(_xlpm.name,ISNUMBER(SEARCH(_xlpm.key,_xlpm.corp))),
IFERROR(INDEX(_xlpm.hits,1),_xlpm.corp))</f>
        <v>ソリトン</v>
      </c>
      <c r="P192" t="str">
        <f t="shared" si="11"/>
        <v>2026-01-22</v>
      </c>
      <c r="Q192" t="str">
        <f t="shared" si="12"/>
        <v>ソリトン/葉物野菜</v>
      </c>
      <c r="R192" t="str">
        <f t="shared" si="13"/>
        <v>ブロッコリースプラウト</v>
      </c>
      <c r="S192">
        <f t="shared" si="14"/>
        <v>1180</v>
      </c>
    </row>
    <row r="193" spans="1:19">
      <c r="A193" s="13">
        <v>72885</v>
      </c>
      <c r="B193" s="14" t="s">
        <v>23</v>
      </c>
      <c r="C193" s="15">
        <v>46044</v>
      </c>
      <c r="D193" s="16" t="s">
        <v>71</v>
      </c>
      <c r="E193" s="16" t="s">
        <v>12</v>
      </c>
      <c r="F193" s="19">
        <v>1180</v>
      </c>
      <c r="G193" s="18" t="s">
        <v>24</v>
      </c>
      <c r="H193" s="9">
        <v>46044</v>
      </c>
      <c r="I193" s="10" t="s">
        <v>56</v>
      </c>
      <c r="J193" s="10" t="s">
        <v>73</v>
      </c>
      <c r="K193" s="11">
        <v>30</v>
      </c>
      <c r="O193" t="str" cm="1">
        <f t="array" ref="O193">_xlfn.LET(
_xlpm.corp,$I193,_xlpm.key,$M$2:$M$200,_xlpm.name,$N$2:$N$200,_xlpm.hits,_xlfn._xlws.FILTER(_xlpm.name,ISNUMBER(SEARCH(_xlpm.key,_xlpm.corp))),
IFERROR(INDEX(_xlpm.hits,1),_xlpm.corp))</f>
        <v>サンセイランディック</v>
      </c>
      <c r="P193" t="str">
        <f t="shared" si="11"/>
        <v>2026-01-22</v>
      </c>
      <c r="Q193" t="str">
        <f t="shared" si="12"/>
        <v>サンセイランディック/葉物野菜</v>
      </c>
      <c r="R193" t="str">
        <f t="shared" si="13"/>
        <v>ラディッシュ</v>
      </c>
      <c r="S193">
        <f t="shared" si="14"/>
        <v>30</v>
      </c>
    </row>
    <row r="194" spans="1:19">
      <c r="A194" s="7">
        <v>72884</v>
      </c>
      <c r="B194" s="8" t="s">
        <v>23</v>
      </c>
      <c r="C194" s="9">
        <v>46044</v>
      </c>
      <c r="D194" s="10" t="s">
        <v>56</v>
      </c>
      <c r="E194" s="10" t="s">
        <v>73</v>
      </c>
      <c r="F194" s="11">
        <v>30</v>
      </c>
      <c r="G194" s="12" t="s">
        <v>24</v>
      </c>
      <c r="H194" s="15">
        <v>46044</v>
      </c>
      <c r="I194" s="16" t="s">
        <v>70</v>
      </c>
      <c r="J194" s="16" t="s">
        <v>4</v>
      </c>
      <c r="K194" s="17">
        <v>380</v>
      </c>
      <c r="O194" t="str" cm="1">
        <f t="array" ref="O194">_xlfn.LET(
_xlpm.corp,$I194,_xlpm.key,$M$2:$M$200,_xlpm.name,$N$2:$N$200,_xlpm.hits,_xlfn._xlws.FILTER(_xlpm.name,ISNUMBER(SEARCH(_xlpm.key,_xlpm.corp))),
IFERROR(INDEX(_xlpm.hits,1),_xlpm.corp))</f>
        <v>富士機械</v>
      </c>
      <c r="P194" t="str">
        <f t="shared" si="11"/>
        <v>2026-01-22</v>
      </c>
      <c r="Q194" t="str">
        <f t="shared" si="12"/>
        <v>富士機械</v>
      </c>
      <c r="R194" t="str">
        <f t="shared" si="13"/>
        <v>ベビーリーフ ピノグリーン</v>
      </c>
      <c r="S194">
        <f t="shared" si="14"/>
        <v>380</v>
      </c>
    </row>
    <row r="195" spans="1:19">
      <c r="A195" s="13">
        <v>72883</v>
      </c>
      <c r="B195" s="14" t="s">
        <v>23</v>
      </c>
      <c r="C195" s="15">
        <v>46044</v>
      </c>
      <c r="D195" s="16" t="s">
        <v>70</v>
      </c>
      <c r="E195" s="16" t="s">
        <v>4</v>
      </c>
      <c r="F195" s="17">
        <v>380</v>
      </c>
      <c r="G195" s="18" t="s">
        <v>24</v>
      </c>
      <c r="H195" s="9">
        <v>46044</v>
      </c>
      <c r="I195" s="10" t="s">
        <v>72</v>
      </c>
      <c r="J195" s="10" t="s">
        <v>2</v>
      </c>
      <c r="K195" s="11">
        <v>700</v>
      </c>
      <c r="O195" t="str" cm="1">
        <f t="array" ref="O195">_xlfn.LET(
_xlpm.corp,$I195,_xlpm.key,$M$2:$M$200,_xlpm.name,$N$2:$N$200,_xlpm.hits,_xlfn._xlws.FILTER(_xlpm.name,ISNUMBER(SEARCH(_xlpm.key,_xlpm.corp))),
IFERROR(INDEX(_xlpm.hits,1),_xlpm.corp))</f>
        <v>岡部</v>
      </c>
      <c r="P195" t="str">
        <f t="shared" ref="P195:P207" si="15">IFERROR(TEXT(DATEVALUE(SUBSTITUTE(SUBSTITUTE(H195,".","/"),"-","/")),"yyyy-mm-dd"),
TEXT(H195,"yyyy-mm-dd"))</f>
        <v>2026-01-22</v>
      </c>
      <c r="Q195" t="str">
        <f t="shared" ref="Q195:Q449" si="16">_xlfn.LET(
  _xlpm.corp, $O195,
  _xlpm.crop, $J195,
  _xlpm.suffix,
    IF(ISNUMBER(SEARCH("加工", _xlpm.crop)),      "/加工BL",
    IF(ISNUMBER(SEARCH("ミニトマト", _xlpm.crop)),"/ミニトマト",
    IF(ISNUMBER(SEARCH("イチゴ", _xlpm.crop)),    "/イチゴ",
    IF(ISNUMBER(SEARCH("ベビーリーフ",_xlpm.crop)),"",
       "/葉物野菜"
    )))),
  _xlpm.corp &amp; _xlpm.suffix
)</f>
        <v>岡部</v>
      </c>
      <c r="R195" t="str">
        <f t="shared" ref="R195:R207" si="17">IF(
  AND(ISNUMBER(SEARCH("加工品",SUBSTITUTE(J195,"　"," "))),ISNUMBER(SEARCH("ベビーリーフ",SUBSTITUTE(J195,"　"," ")))),
  "加工BL",
  IF(LEFT(TRIM(SUBSTITUTE(J195,"　"," ")),5)="ベビーリーフ",
     "BL"&amp;TRIM(MID(TRIM(SUBSTITUTE(J195,"　"," ")),FIND(" ",TRIM(SUBSTITUTE(J195,"　"," "))&amp;" ")+1,255)),
     TRIM(SUBSTITUTE(J195,"　"," "))
  )
)</f>
        <v>ベビーリーフ グリーンオーク</v>
      </c>
      <c r="S195">
        <f t="shared" ref="S195:S207" si="18">IF(K195="", "", --SUBSTITUTE(K195, ",", ""))</f>
        <v>700</v>
      </c>
    </row>
    <row r="196" spans="1:19">
      <c r="A196" s="7">
        <v>72882</v>
      </c>
      <c r="B196" s="8" t="s">
        <v>23</v>
      </c>
      <c r="C196" s="9">
        <v>46044</v>
      </c>
      <c r="D196" s="10" t="s">
        <v>72</v>
      </c>
      <c r="E196" s="10" t="s">
        <v>2</v>
      </c>
      <c r="F196" s="11">
        <v>700</v>
      </c>
      <c r="G196" s="12" t="s">
        <v>24</v>
      </c>
      <c r="H196" s="15">
        <v>46044</v>
      </c>
      <c r="I196" s="16" t="s">
        <v>61</v>
      </c>
      <c r="J196" s="16" t="s">
        <v>62</v>
      </c>
      <c r="K196" s="17">
        <v>560</v>
      </c>
      <c r="O196" t="str" cm="1">
        <f t="array" ref="O196">_xlfn.LET(
_xlpm.corp,$I196,_xlpm.key,$M$2:$M$200,_xlpm.name,$N$2:$N$200,_xlpm.hits,_xlfn._xlws.FILTER(_xlpm.name,ISNUMBER(SEARCH(_xlpm.key,_xlpm.corp))),
IFERROR(INDEX(_xlpm.hits,1),_xlpm.corp))</f>
        <v>Adobe</v>
      </c>
      <c r="P196" t="str">
        <f t="shared" si="15"/>
        <v>2026-01-22</v>
      </c>
      <c r="Q196" t="str">
        <f t="shared" si="16"/>
        <v>Adobe</v>
      </c>
      <c r="R196" t="str">
        <f t="shared" si="17"/>
        <v>ベビーリーフ ロログリーン</v>
      </c>
      <c r="S196">
        <f t="shared" si="18"/>
        <v>560</v>
      </c>
    </row>
    <row r="197" spans="1:19">
      <c r="A197" s="13">
        <v>72881</v>
      </c>
      <c r="B197" s="14" t="s">
        <v>23</v>
      </c>
      <c r="C197" s="15">
        <v>46044</v>
      </c>
      <c r="D197" s="16" t="s">
        <v>61</v>
      </c>
      <c r="E197" s="16" t="s">
        <v>62</v>
      </c>
      <c r="F197" s="17">
        <v>560</v>
      </c>
      <c r="G197" s="18" t="s">
        <v>24</v>
      </c>
      <c r="H197" s="9">
        <v>46044</v>
      </c>
      <c r="I197" s="10" t="s">
        <v>57</v>
      </c>
      <c r="J197" s="10" t="s">
        <v>4</v>
      </c>
      <c r="K197" s="11">
        <v>100</v>
      </c>
      <c r="O197" t="str" cm="1">
        <f t="array" ref="O197">_xlfn.LET(
_xlpm.corp,$I197,_xlpm.key,$M$2:$M$200,_xlpm.name,$N$2:$N$200,_xlpm.hits,_xlfn._xlws.FILTER(_xlpm.name,ISNUMBER(SEARCH(_xlpm.key,_xlpm.corp))),
IFERROR(INDEX(_xlpm.hits,1),_xlpm.corp))</f>
        <v>QB</v>
      </c>
      <c r="P197" t="str">
        <f t="shared" si="15"/>
        <v>2026-01-22</v>
      </c>
      <c r="Q197" t="str">
        <f t="shared" si="16"/>
        <v>QB</v>
      </c>
      <c r="R197" t="str">
        <f t="shared" si="17"/>
        <v>ベビーリーフ ピノグリーン</v>
      </c>
      <c r="S197">
        <f t="shared" si="18"/>
        <v>100</v>
      </c>
    </row>
    <row r="198" spans="1:19">
      <c r="A198" s="7">
        <v>72880</v>
      </c>
      <c r="B198" s="8" t="s">
        <v>23</v>
      </c>
      <c r="C198" s="9">
        <v>46044</v>
      </c>
      <c r="D198" s="10" t="s">
        <v>57</v>
      </c>
      <c r="E198" s="10" t="s">
        <v>4</v>
      </c>
      <c r="F198" s="11">
        <v>100</v>
      </c>
      <c r="G198" s="12" t="s">
        <v>24</v>
      </c>
      <c r="H198" s="15">
        <v>46044</v>
      </c>
      <c r="I198" s="16" t="s">
        <v>27</v>
      </c>
      <c r="J198" s="16" t="s">
        <v>4</v>
      </c>
      <c r="K198" s="17">
        <v>280</v>
      </c>
      <c r="O198" t="str" cm="1">
        <f t="array" ref="O198">_xlfn.LET(
_xlpm.corp,$I198,_xlpm.key,$M$2:$M$200,_xlpm.name,$N$2:$N$200,_xlpm.hits,_xlfn._xlws.FILTER(_xlpm.name,ISNUMBER(SEARCH(_xlpm.key,_xlpm.corp))),
IFERROR(INDEX(_xlpm.hits,1),_xlpm.corp))</f>
        <v>東レ</v>
      </c>
      <c r="P198" t="str">
        <f t="shared" si="15"/>
        <v>2026-01-22</v>
      </c>
      <c r="Q198" t="str">
        <f t="shared" si="16"/>
        <v>東レ</v>
      </c>
      <c r="R198" t="str">
        <f t="shared" si="17"/>
        <v>ベビーリーフ ピノグリーン</v>
      </c>
      <c r="S198">
        <f t="shared" si="18"/>
        <v>280</v>
      </c>
    </row>
    <row r="199" spans="1:19">
      <c r="A199" s="13">
        <v>72879</v>
      </c>
      <c r="B199" s="14" t="s">
        <v>23</v>
      </c>
      <c r="C199" s="15">
        <v>46044</v>
      </c>
      <c r="D199" s="16" t="s">
        <v>27</v>
      </c>
      <c r="E199" s="16" t="s">
        <v>4</v>
      </c>
      <c r="F199" s="17">
        <v>280</v>
      </c>
      <c r="G199" s="18" t="s">
        <v>24</v>
      </c>
      <c r="H199" s="9">
        <v>46044</v>
      </c>
      <c r="I199" s="10" t="s">
        <v>27</v>
      </c>
      <c r="J199" s="10" t="s">
        <v>3</v>
      </c>
      <c r="K199" s="11">
        <v>120</v>
      </c>
      <c r="O199" t="str" cm="1">
        <f t="array" ref="O199">_xlfn.LET(
_xlpm.corp,$I199,_xlpm.key,$M$2:$M$200,_xlpm.name,$N$2:$N$200,_xlpm.hits,_xlfn._xlws.FILTER(_xlpm.name,ISNUMBER(SEARCH(_xlpm.key,_xlpm.corp))),
IFERROR(INDEX(_xlpm.hits,1),_xlpm.corp))</f>
        <v>東レ</v>
      </c>
      <c r="P199" t="str">
        <f t="shared" si="15"/>
        <v>2026-01-22</v>
      </c>
      <c r="Q199" t="str">
        <f t="shared" si="16"/>
        <v>東レ/加工BL</v>
      </c>
      <c r="R199" t="str">
        <f t="shared" si="17"/>
        <v>加工BL</v>
      </c>
      <c r="S199">
        <f t="shared" si="18"/>
        <v>120</v>
      </c>
    </row>
    <row r="200" spans="1:19">
      <c r="A200" s="7">
        <v>72878</v>
      </c>
      <c r="B200" s="8" t="s">
        <v>23</v>
      </c>
      <c r="C200" s="9">
        <v>46044</v>
      </c>
      <c r="D200" s="10" t="s">
        <v>27</v>
      </c>
      <c r="E200" s="10" t="s">
        <v>3</v>
      </c>
      <c r="F200" s="11">
        <v>120</v>
      </c>
      <c r="G200" s="12" t="s">
        <v>24</v>
      </c>
      <c r="H200" s="15">
        <v>46044</v>
      </c>
      <c r="I200" s="16" t="s">
        <v>59</v>
      </c>
      <c r="J200" s="16" t="s">
        <v>2</v>
      </c>
      <c r="K200" s="17">
        <v>500</v>
      </c>
      <c r="O200" t="str" cm="1">
        <f t="array" ref="O200">_xlfn.LET(
_xlpm.corp,$I200,_xlpm.key,$M$2:$M$200,_xlpm.name,$N$2:$N$200,_xlpm.hits,_xlfn._xlws.FILTER(_xlpm.name,ISNUMBER(SEARCH(_xlpm.key,_xlpm.corp))),
IFERROR(INDEX(_xlpm.hits,1),_xlpm.corp))</f>
        <v>三和</v>
      </c>
      <c r="P200" t="str">
        <f t="shared" si="15"/>
        <v>2026-01-22</v>
      </c>
      <c r="Q200" t="str">
        <f t="shared" si="16"/>
        <v>三和</v>
      </c>
      <c r="R200" t="str">
        <f t="shared" si="17"/>
        <v>ベビーリーフ グリーンオーク</v>
      </c>
      <c r="S200">
        <f t="shared" si="18"/>
        <v>500</v>
      </c>
    </row>
    <row r="201" spans="1:19">
      <c r="A201" s="13">
        <v>72877</v>
      </c>
      <c r="B201" s="14" t="s">
        <v>23</v>
      </c>
      <c r="C201" s="15">
        <v>46044</v>
      </c>
      <c r="D201" s="16" t="s">
        <v>59</v>
      </c>
      <c r="E201" s="16" t="s">
        <v>2</v>
      </c>
      <c r="F201" s="17">
        <v>500</v>
      </c>
      <c r="G201" s="18" t="s">
        <v>24</v>
      </c>
      <c r="H201" s="9">
        <v>46044</v>
      </c>
      <c r="I201" s="10" t="s">
        <v>57</v>
      </c>
      <c r="J201" s="10" t="s">
        <v>3</v>
      </c>
      <c r="K201" s="11">
        <v>120</v>
      </c>
      <c r="O201" t="str" cm="1">
        <f t="array" ref="O201">_xlfn.LET(
_xlpm.corp,$I201,_xlpm.key,$M$2:$M$200,_xlpm.name,$N$2:$N$200,_xlpm.hits,_xlfn._xlws.FILTER(_xlpm.name,ISNUMBER(SEARCH(_xlpm.key,_xlpm.corp))),
IFERROR(INDEX(_xlpm.hits,1),_xlpm.corp))</f>
        <v>QB</v>
      </c>
      <c r="P201" t="str">
        <f t="shared" si="15"/>
        <v>2026-01-22</v>
      </c>
      <c r="Q201" t="str">
        <f t="shared" si="16"/>
        <v>QB/加工BL</v>
      </c>
      <c r="R201" t="str">
        <f t="shared" si="17"/>
        <v>加工BL</v>
      </c>
      <c r="S201">
        <f t="shared" si="18"/>
        <v>120</v>
      </c>
    </row>
    <row r="202" spans="1:19">
      <c r="A202" s="7">
        <v>72876</v>
      </c>
      <c r="B202" s="8" t="s">
        <v>23</v>
      </c>
      <c r="C202" s="9">
        <v>46044</v>
      </c>
      <c r="D202" s="10" t="s">
        <v>57</v>
      </c>
      <c r="E202" s="10" t="s">
        <v>3</v>
      </c>
      <c r="F202" s="11">
        <v>120</v>
      </c>
      <c r="G202" s="12" t="s">
        <v>24</v>
      </c>
      <c r="H202" s="15">
        <v>46044</v>
      </c>
      <c r="I202" s="16" t="s">
        <v>57</v>
      </c>
      <c r="J202" s="16" t="s">
        <v>2</v>
      </c>
      <c r="K202" s="17">
        <v>220</v>
      </c>
      <c r="O202" t="str" cm="1">
        <f t="array" ref="O202">_xlfn.LET(
_xlpm.corp,$I202,_xlpm.key,$M$2:$M$200,_xlpm.name,$N$2:$N$200,_xlpm.hits,_xlfn._xlws.FILTER(_xlpm.name,ISNUMBER(SEARCH(_xlpm.key,_xlpm.corp))),
IFERROR(INDEX(_xlpm.hits,1),_xlpm.corp))</f>
        <v>QB</v>
      </c>
      <c r="P202" t="str">
        <f t="shared" si="15"/>
        <v>2026-01-22</v>
      </c>
      <c r="Q202" t="str">
        <f t="shared" si="16"/>
        <v>QB</v>
      </c>
      <c r="R202" t="str">
        <f t="shared" si="17"/>
        <v>ベビーリーフ グリーンオーク</v>
      </c>
      <c r="S202">
        <f t="shared" si="18"/>
        <v>220</v>
      </c>
    </row>
    <row r="203" spans="1:19">
      <c r="A203" s="13">
        <v>72875</v>
      </c>
      <c r="B203" s="14" t="s">
        <v>23</v>
      </c>
      <c r="C203" s="15">
        <v>46044</v>
      </c>
      <c r="D203" s="16" t="s">
        <v>57</v>
      </c>
      <c r="E203" s="16" t="s">
        <v>2</v>
      </c>
      <c r="F203" s="17">
        <v>220</v>
      </c>
      <c r="G203" s="18" t="s">
        <v>24</v>
      </c>
      <c r="H203" s="9">
        <v>46044</v>
      </c>
      <c r="I203" s="10" t="s">
        <v>26</v>
      </c>
      <c r="J203" s="10" t="s">
        <v>2</v>
      </c>
      <c r="K203" s="11">
        <v>460</v>
      </c>
      <c r="O203" t="str" cm="1">
        <f t="array" ref="O203">_xlfn.LET(
_xlpm.corp,$I203,_xlpm.key,$M$2:$M$200,_xlpm.name,$N$2:$N$200,_xlpm.hits,_xlfn._xlws.FILTER(_xlpm.name,ISNUMBER(SEARCH(_xlpm.key,_xlpm.corp))),
IFERROR(INDEX(_xlpm.hits,1),_xlpm.corp))</f>
        <v>日建</v>
      </c>
      <c r="P203" t="str">
        <f t="shared" si="15"/>
        <v>2026-01-22</v>
      </c>
      <c r="Q203" t="str">
        <f t="shared" si="16"/>
        <v>日建</v>
      </c>
      <c r="R203" t="str">
        <f t="shared" si="17"/>
        <v>ベビーリーフ グリーンオーク</v>
      </c>
      <c r="S203">
        <f t="shared" si="18"/>
        <v>460</v>
      </c>
    </row>
    <row r="204" spans="1:19">
      <c r="A204" s="7">
        <v>72874</v>
      </c>
      <c r="B204" s="8" t="s">
        <v>23</v>
      </c>
      <c r="C204" s="9">
        <v>46044</v>
      </c>
      <c r="D204" s="10" t="s">
        <v>26</v>
      </c>
      <c r="E204" s="10" t="s">
        <v>2</v>
      </c>
      <c r="F204" s="11">
        <v>460</v>
      </c>
      <c r="G204" s="12" t="s">
        <v>24</v>
      </c>
      <c r="H204" s="15">
        <v>46044</v>
      </c>
      <c r="I204" s="16" t="s">
        <v>27</v>
      </c>
      <c r="J204" s="16" t="s">
        <v>62</v>
      </c>
      <c r="K204" s="17">
        <v>40</v>
      </c>
      <c r="O204" t="str" cm="1">
        <f t="array" ref="O204">_xlfn.LET(
_xlpm.corp,$I204,_xlpm.key,$M$2:$M$200,_xlpm.name,$N$2:$N$200,_xlpm.hits,_xlfn._xlws.FILTER(_xlpm.name,ISNUMBER(SEARCH(_xlpm.key,_xlpm.corp))),
IFERROR(INDEX(_xlpm.hits,1),_xlpm.corp))</f>
        <v>東レ</v>
      </c>
      <c r="P204" t="str">
        <f t="shared" si="15"/>
        <v>2026-01-22</v>
      </c>
      <c r="Q204" t="str">
        <f t="shared" si="16"/>
        <v>東レ</v>
      </c>
      <c r="R204" t="str">
        <f t="shared" si="17"/>
        <v>ベビーリーフ ロログリーン</v>
      </c>
      <c r="S204">
        <f t="shared" si="18"/>
        <v>40</v>
      </c>
    </row>
    <row r="205" spans="1:19">
      <c r="A205" s="13">
        <v>72873</v>
      </c>
      <c r="B205" s="14" t="s">
        <v>23</v>
      </c>
      <c r="C205" s="15">
        <v>46044</v>
      </c>
      <c r="D205" s="16" t="s">
        <v>27</v>
      </c>
      <c r="E205" s="16" t="s">
        <v>62</v>
      </c>
      <c r="F205" s="17">
        <v>40</v>
      </c>
      <c r="G205" s="18" t="s">
        <v>24</v>
      </c>
      <c r="H205" s="9">
        <v>46044</v>
      </c>
      <c r="I205" s="10" t="s">
        <v>67</v>
      </c>
      <c r="J205" s="10" t="s">
        <v>2</v>
      </c>
      <c r="K205" s="11">
        <v>140</v>
      </c>
      <c r="O205" t="str" cm="1">
        <f t="array" ref="O205">_xlfn.LET(
_xlpm.corp,$I205,_xlpm.key,$M$2:$M$200,_xlpm.name,$N$2:$N$200,_xlpm.hits,_xlfn._xlws.FILTER(_xlpm.name,ISNUMBER(SEARCH(_xlpm.key,_xlpm.corp))),
IFERROR(INDEX(_xlpm.hits,1),_xlpm.corp))</f>
        <v>日本ロレアル</v>
      </c>
      <c r="P205" t="str">
        <f t="shared" si="15"/>
        <v>2026-01-22</v>
      </c>
      <c r="Q205" t="str">
        <f t="shared" si="16"/>
        <v>日本ロレアル</v>
      </c>
      <c r="R205" t="str">
        <f t="shared" si="17"/>
        <v>ベビーリーフ グリーンオーク</v>
      </c>
      <c r="S205">
        <f t="shared" si="18"/>
        <v>140</v>
      </c>
    </row>
    <row r="206" spans="1:19">
      <c r="A206" s="7">
        <v>72872</v>
      </c>
      <c r="B206" s="8" t="s">
        <v>23</v>
      </c>
      <c r="C206" s="9">
        <v>46044</v>
      </c>
      <c r="D206" s="10" t="s">
        <v>67</v>
      </c>
      <c r="E206" s="10" t="s">
        <v>2</v>
      </c>
      <c r="F206" s="11">
        <v>140</v>
      </c>
      <c r="G206" s="12" t="s">
        <v>24</v>
      </c>
      <c r="H206" s="15">
        <v>46044</v>
      </c>
      <c r="I206" s="16" t="s">
        <v>72</v>
      </c>
      <c r="J206" s="16" t="s">
        <v>3</v>
      </c>
      <c r="K206" s="17">
        <v>80</v>
      </c>
      <c r="O206" t="str" cm="1">
        <f t="array" ref="O206">_xlfn.LET(
_xlpm.corp,$I206,_xlpm.key,$M$2:$M$200,_xlpm.name,$N$2:$N$200,_xlpm.hits,_xlfn._xlws.FILTER(_xlpm.name,ISNUMBER(SEARCH(_xlpm.key,_xlpm.corp))),
IFERROR(INDEX(_xlpm.hits,1),_xlpm.corp))</f>
        <v>岡部</v>
      </c>
      <c r="P206" t="str">
        <f t="shared" si="15"/>
        <v>2026-01-22</v>
      </c>
      <c r="Q206" t="str">
        <f t="shared" si="16"/>
        <v>岡部/加工BL</v>
      </c>
      <c r="R206" t="str">
        <f t="shared" si="17"/>
        <v>加工BL</v>
      </c>
      <c r="S206">
        <f t="shared" si="18"/>
        <v>80</v>
      </c>
    </row>
    <row r="207" spans="1:19">
      <c r="A207" s="13">
        <v>72871</v>
      </c>
      <c r="B207" s="14" t="s">
        <v>23</v>
      </c>
      <c r="C207" s="15">
        <v>46044</v>
      </c>
      <c r="D207" s="16" t="s">
        <v>72</v>
      </c>
      <c r="E207" s="16" t="s">
        <v>3</v>
      </c>
      <c r="F207" s="17">
        <v>80</v>
      </c>
      <c r="G207" s="18" t="s">
        <v>24</v>
      </c>
      <c r="H207" s="9">
        <v>46044</v>
      </c>
      <c r="I207" s="10" t="s">
        <v>58</v>
      </c>
      <c r="J207" s="10" t="s">
        <v>9</v>
      </c>
      <c r="K207" s="20">
        <v>1040</v>
      </c>
      <c r="O207" t="str" cm="1">
        <f t="array" ref="O207">_xlfn.LET(
_xlpm.corp,$I207,_xlpm.key,$M$2:$M$200,_xlpm.name,$N$2:$N$200,_xlpm.hits,_xlfn._xlws.FILTER(_xlpm.name,ISNUMBER(SEARCH(_xlpm.key,_xlpm.corp))),
IFERROR(INDEX(_xlpm.hits,1),_xlpm.corp))</f>
        <v>慈誠会</v>
      </c>
      <c r="P207" t="str">
        <f t="shared" si="15"/>
        <v>2026-01-22</v>
      </c>
      <c r="Q207" t="str">
        <f t="shared" si="16"/>
        <v>慈誠会</v>
      </c>
      <c r="R207" t="str">
        <f t="shared" si="17"/>
        <v>ベビーリーフ ロロロッサ</v>
      </c>
      <c r="S207">
        <f t="shared" si="18"/>
        <v>1040</v>
      </c>
    </row>
    <row r="208" spans="1:19">
      <c r="A208" s="7">
        <v>72870</v>
      </c>
      <c r="B208" s="8" t="s">
        <v>23</v>
      </c>
      <c r="C208" s="9">
        <v>46044</v>
      </c>
      <c r="D208" s="10" t="s">
        <v>58</v>
      </c>
      <c r="E208" s="10" t="s">
        <v>9</v>
      </c>
      <c r="F208" s="20">
        <v>1040</v>
      </c>
      <c r="G208" s="12" t="s">
        <v>24</v>
      </c>
      <c r="H208" s="15">
        <v>46044</v>
      </c>
      <c r="I208" s="16" t="s">
        <v>27</v>
      </c>
      <c r="J208" s="16" t="s">
        <v>3</v>
      </c>
      <c r="K208" s="17">
        <v>340</v>
      </c>
      <c r="O208" t="str" cm="1">
        <f t="array" ref="O208">_xlfn.LET(
_xlpm.corp,$I208,_xlpm.key,$M$2:$M$200,_xlpm.name,$N$2:$N$200,_xlpm.hits,_xlfn._xlws.FILTER(_xlpm.name,ISNUMBER(SEARCH(_xlpm.key,_xlpm.corp))),
IFERROR(INDEX(_xlpm.hits,1),_xlpm.corp))</f>
        <v>東レ</v>
      </c>
      <c r="P208" t="str">
        <f t="shared" ref="P208:P271" si="19">IFERROR(TEXT(DATEVALUE(SUBSTITUTE(SUBSTITUTE(H208,".","/"),"-","/")),"yyyy-mm-dd"),
TEXT(H208,"yyyy-mm-dd"))</f>
        <v>2026-01-22</v>
      </c>
      <c r="Q208" t="str">
        <f t="shared" si="16"/>
        <v>東レ/加工BL</v>
      </c>
      <c r="R208" t="str">
        <f t="shared" ref="R208:R271" si="20">IF(
  AND(ISNUMBER(SEARCH("加工品",SUBSTITUTE(J208,"　"," "))),ISNUMBER(SEARCH("ベビーリーフ",SUBSTITUTE(J208,"　"," ")))),
  "加工BL",
  IF(LEFT(TRIM(SUBSTITUTE(J208,"　"," ")),5)="ベビーリーフ",
     "BL"&amp;TRIM(MID(TRIM(SUBSTITUTE(J208,"　"," ")),FIND(" ",TRIM(SUBSTITUTE(J208,"　"," "))&amp;" ")+1,255)),
     TRIM(SUBSTITUTE(J208,"　"," "))
  )
)</f>
        <v>加工BL</v>
      </c>
      <c r="S208">
        <f t="shared" ref="S208:S271" si="21">IF(K208="", "", --SUBSTITUTE(K208, ",", ""))</f>
        <v>340</v>
      </c>
    </row>
    <row r="209" spans="1:19">
      <c r="A209" s="13">
        <v>72869</v>
      </c>
      <c r="B209" s="14" t="s">
        <v>23</v>
      </c>
      <c r="C209" s="15">
        <v>46044</v>
      </c>
      <c r="D209" s="16" t="s">
        <v>27</v>
      </c>
      <c r="E209" s="16" t="s">
        <v>3</v>
      </c>
      <c r="F209" s="17">
        <v>340</v>
      </c>
      <c r="G209" s="18" t="s">
        <v>24</v>
      </c>
      <c r="H209" s="9">
        <v>46044</v>
      </c>
      <c r="I209" s="10" t="s">
        <v>27</v>
      </c>
      <c r="J209" s="10" t="s">
        <v>9</v>
      </c>
      <c r="K209" s="11">
        <v>120</v>
      </c>
      <c r="O209" t="str" cm="1">
        <f t="array" ref="O209">_xlfn.LET(
_xlpm.corp,$I209,_xlpm.key,$M$2:$M$200,_xlpm.name,$N$2:$N$200,_xlpm.hits,_xlfn._xlws.FILTER(_xlpm.name,ISNUMBER(SEARCH(_xlpm.key,_xlpm.corp))),
IFERROR(INDEX(_xlpm.hits,1),_xlpm.corp))</f>
        <v>東レ</v>
      </c>
      <c r="P209" t="str">
        <f t="shared" si="19"/>
        <v>2026-01-22</v>
      </c>
      <c r="Q209" t="str">
        <f t="shared" si="16"/>
        <v>東レ</v>
      </c>
      <c r="R209" t="str">
        <f t="shared" si="20"/>
        <v>ベビーリーフ ロロロッサ</v>
      </c>
      <c r="S209">
        <f t="shared" si="21"/>
        <v>120</v>
      </c>
    </row>
    <row r="210" spans="1:19">
      <c r="A210" s="7">
        <v>72868</v>
      </c>
      <c r="B210" s="8" t="s">
        <v>23</v>
      </c>
      <c r="C210" s="9">
        <v>46044</v>
      </c>
      <c r="D210" s="10" t="s">
        <v>27</v>
      </c>
      <c r="E210" s="10" t="s">
        <v>9</v>
      </c>
      <c r="F210" s="11">
        <v>120</v>
      </c>
      <c r="G210" s="12" t="s">
        <v>24</v>
      </c>
      <c r="H210" s="15">
        <v>46044</v>
      </c>
      <c r="I210" s="16" t="s">
        <v>26</v>
      </c>
      <c r="J210" s="16" t="s">
        <v>29</v>
      </c>
      <c r="K210" s="17">
        <v>640</v>
      </c>
      <c r="O210" t="str" cm="1">
        <f t="array" ref="O210">_xlfn.LET(
_xlpm.corp,$I210,_xlpm.key,$M$2:$M$200,_xlpm.name,$N$2:$N$200,_xlpm.hits,_xlfn._xlws.FILTER(_xlpm.name,ISNUMBER(SEARCH(_xlpm.key,_xlpm.corp))),
IFERROR(INDEX(_xlpm.hits,1),_xlpm.corp))</f>
        <v>日建</v>
      </c>
      <c r="P210" t="str">
        <f t="shared" si="19"/>
        <v>2026-01-22</v>
      </c>
      <c r="Q210" t="str">
        <f t="shared" si="16"/>
        <v>日建/ミニトマト</v>
      </c>
      <c r="R210" t="str">
        <f t="shared" si="20"/>
        <v>ミニトマト</v>
      </c>
      <c r="S210">
        <f t="shared" si="21"/>
        <v>640</v>
      </c>
    </row>
    <row r="211" spans="1:19">
      <c r="A211" s="13">
        <v>72867</v>
      </c>
      <c r="B211" s="14" t="s">
        <v>23</v>
      </c>
      <c r="C211" s="15">
        <v>46044</v>
      </c>
      <c r="D211" s="16" t="s">
        <v>26</v>
      </c>
      <c r="E211" s="16" t="s">
        <v>29</v>
      </c>
      <c r="F211" s="17">
        <v>640</v>
      </c>
      <c r="G211" s="18" t="s">
        <v>24</v>
      </c>
      <c r="H211" s="9">
        <v>46044</v>
      </c>
      <c r="I211" s="10" t="s">
        <v>65</v>
      </c>
      <c r="J211" s="10" t="s">
        <v>2</v>
      </c>
      <c r="K211" s="11">
        <v>140</v>
      </c>
      <c r="O211" t="str" cm="1">
        <f t="array" ref="O211">_xlfn.LET(
_xlpm.corp,$I211,_xlpm.key,$M$2:$M$200,_xlpm.name,$N$2:$N$200,_xlpm.hits,_xlfn._xlws.FILTER(_xlpm.name,ISNUMBER(SEARCH(_xlpm.key,_xlpm.corp))),
IFERROR(INDEX(_xlpm.hits,1),_xlpm.corp))</f>
        <v>マルテー</v>
      </c>
      <c r="P211" t="str">
        <f t="shared" si="19"/>
        <v>2026-01-22</v>
      </c>
      <c r="Q211" t="str">
        <f t="shared" si="16"/>
        <v>マルテー</v>
      </c>
      <c r="R211" t="str">
        <f t="shared" si="20"/>
        <v>ベビーリーフ グリーンオーク</v>
      </c>
      <c r="S211">
        <f t="shared" si="21"/>
        <v>140</v>
      </c>
    </row>
    <row r="212" spans="1:19">
      <c r="A212" s="7">
        <v>72866</v>
      </c>
      <c r="B212" s="8" t="s">
        <v>23</v>
      </c>
      <c r="C212" s="9">
        <v>46044</v>
      </c>
      <c r="D212" s="10" t="s">
        <v>65</v>
      </c>
      <c r="E212" s="10" t="s">
        <v>2</v>
      </c>
      <c r="F212" s="11">
        <v>140</v>
      </c>
      <c r="G212" s="12" t="s">
        <v>24</v>
      </c>
      <c r="H212" s="15">
        <v>46044</v>
      </c>
      <c r="I212" s="16" t="s">
        <v>26</v>
      </c>
      <c r="J212" s="16" t="s">
        <v>2</v>
      </c>
      <c r="K212" s="17">
        <v>40</v>
      </c>
      <c r="O212" t="str" cm="1">
        <f t="array" ref="O212">_xlfn.LET(
_xlpm.corp,$I212,_xlpm.key,$M$2:$M$200,_xlpm.name,$N$2:$N$200,_xlpm.hits,_xlfn._xlws.FILTER(_xlpm.name,ISNUMBER(SEARCH(_xlpm.key,_xlpm.corp))),
IFERROR(INDEX(_xlpm.hits,1),_xlpm.corp))</f>
        <v>日建</v>
      </c>
      <c r="P212" t="str">
        <f t="shared" si="19"/>
        <v>2026-01-22</v>
      </c>
      <c r="Q212" t="str">
        <f t="shared" si="16"/>
        <v>日建</v>
      </c>
      <c r="R212" t="str">
        <f t="shared" si="20"/>
        <v>ベビーリーフ グリーンオーク</v>
      </c>
      <c r="S212">
        <f t="shared" si="21"/>
        <v>40</v>
      </c>
    </row>
    <row r="213" spans="1:19">
      <c r="A213" s="13">
        <v>72865</v>
      </c>
      <c r="B213" s="14" t="s">
        <v>23</v>
      </c>
      <c r="C213" s="15">
        <v>46044</v>
      </c>
      <c r="D213" s="16" t="s">
        <v>26</v>
      </c>
      <c r="E213" s="16" t="s">
        <v>2</v>
      </c>
      <c r="F213" s="17">
        <v>40</v>
      </c>
      <c r="G213" s="18" t="s">
        <v>24</v>
      </c>
      <c r="H213" s="9">
        <v>46044</v>
      </c>
      <c r="I213" s="10" t="s">
        <v>64</v>
      </c>
      <c r="J213" s="10" t="s">
        <v>3</v>
      </c>
      <c r="K213" s="11">
        <v>160</v>
      </c>
      <c r="O213" t="str" cm="1">
        <f t="array" ref="O213">_xlfn.LET(
_xlpm.corp,$I213,_xlpm.key,$M$2:$M$200,_xlpm.name,$N$2:$N$200,_xlpm.hits,_xlfn._xlws.FILTER(_xlpm.name,ISNUMBER(SEARCH(_xlpm.key,_xlpm.corp))),
IFERROR(INDEX(_xlpm.hits,1),_xlpm.corp))</f>
        <v>NaITO</v>
      </c>
      <c r="P213" t="str">
        <f t="shared" si="19"/>
        <v>2026-01-22</v>
      </c>
      <c r="Q213" t="str">
        <f t="shared" si="16"/>
        <v>NaITO/加工BL</v>
      </c>
      <c r="R213" t="str">
        <f t="shared" si="20"/>
        <v>加工BL</v>
      </c>
      <c r="S213">
        <f t="shared" si="21"/>
        <v>160</v>
      </c>
    </row>
    <row r="214" spans="1:19">
      <c r="A214" s="7">
        <v>72864</v>
      </c>
      <c r="B214" s="8" t="s">
        <v>23</v>
      </c>
      <c r="C214" s="9">
        <v>46044</v>
      </c>
      <c r="D214" s="10" t="s">
        <v>64</v>
      </c>
      <c r="E214" s="10" t="s">
        <v>3</v>
      </c>
      <c r="F214" s="11">
        <v>160</v>
      </c>
      <c r="G214" s="12" t="s">
        <v>24</v>
      </c>
      <c r="H214" s="15">
        <v>46044</v>
      </c>
      <c r="I214" s="16" t="s">
        <v>69</v>
      </c>
      <c r="J214" s="16" t="s">
        <v>9</v>
      </c>
      <c r="K214" s="17">
        <v>400</v>
      </c>
      <c r="O214" t="str" cm="1">
        <f t="array" ref="O214">_xlfn.LET(
_xlpm.corp,$I214,_xlpm.key,$M$2:$M$200,_xlpm.name,$N$2:$N$200,_xlpm.hits,_xlfn._xlws.FILTER(_xlpm.name,ISNUMBER(SEARCH(_xlpm.key,_xlpm.corp))),
IFERROR(INDEX(_xlpm.hits,1),_xlpm.corp))</f>
        <v>バリュエンス</v>
      </c>
      <c r="P214" t="str">
        <f t="shared" si="19"/>
        <v>2026-01-22</v>
      </c>
      <c r="Q214" t="str">
        <f t="shared" si="16"/>
        <v>バリュエンス</v>
      </c>
      <c r="R214" t="str">
        <f t="shared" si="20"/>
        <v>ベビーリーフ ロロロッサ</v>
      </c>
      <c r="S214">
        <f t="shared" si="21"/>
        <v>400</v>
      </c>
    </row>
    <row r="215" spans="1:19">
      <c r="A215" s="13">
        <v>72863</v>
      </c>
      <c r="B215" s="14" t="s">
        <v>23</v>
      </c>
      <c r="C215" s="15">
        <v>46044</v>
      </c>
      <c r="D215" s="16" t="s">
        <v>69</v>
      </c>
      <c r="E215" s="16" t="s">
        <v>9</v>
      </c>
      <c r="F215" s="17">
        <v>400</v>
      </c>
      <c r="G215" s="18" t="s">
        <v>24</v>
      </c>
      <c r="H215" s="9">
        <v>46044</v>
      </c>
      <c r="I215" s="10" t="s">
        <v>59</v>
      </c>
      <c r="J215" s="10" t="s">
        <v>3</v>
      </c>
      <c r="K215" s="11">
        <v>120</v>
      </c>
      <c r="O215" t="str" cm="1">
        <f t="array" ref="O215">_xlfn.LET(
_xlpm.corp,$I215,_xlpm.key,$M$2:$M$200,_xlpm.name,$N$2:$N$200,_xlpm.hits,_xlfn._xlws.FILTER(_xlpm.name,ISNUMBER(SEARCH(_xlpm.key,_xlpm.corp))),
IFERROR(INDEX(_xlpm.hits,1),_xlpm.corp))</f>
        <v>三和</v>
      </c>
      <c r="P215" t="str">
        <f t="shared" si="19"/>
        <v>2026-01-22</v>
      </c>
      <c r="Q215" t="str">
        <f t="shared" si="16"/>
        <v>三和/加工BL</v>
      </c>
      <c r="R215" t="str">
        <f t="shared" si="20"/>
        <v>加工BL</v>
      </c>
      <c r="S215">
        <f t="shared" si="21"/>
        <v>120</v>
      </c>
    </row>
    <row r="216" spans="1:19">
      <c r="A216" s="7">
        <v>72862</v>
      </c>
      <c r="B216" s="8" t="s">
        <v>23</v>
      </c>
      <c r="C216" s="9">
        <v>46044</v>
      </c>
      <c r="D216" s="10" t="s">
        <v>59</v>
      </c>
      <c r="E216" s="10" t="s">
        <v>3</v>
      </c>
      <c r="F216" s="11">
        <v>120</v>
      </c>
      <c r="G216" s="12" t="s">
        <v>24</v>
      </c>
      <c r="H216" s="15">
        <v>46044</v>
      </c>
      <c r="I216" s="16" t="s">
        <v>59</v>
      </c>
      <c r="J216" s="16" t="s">
        <v>11</v>
      </c>
      <c r="K216" s="17">
        <v>20</v>
      </c>
      <c r="O216" t="str" cm="1">
        <f t="array" ref="O216">_xlfn.LET(
_xlpm.corp,$I216,_xlpm.key,$M$2:$M$200,_xlpm.name,$N$2:$N$200,_xlpm.hits,_xlfn._xlws.FILTER(_xlpm.name,ISNUMBER(SEARCH(_xlpm.key,_xlpm.corp))),
IFERROR(INDEX(_xlpm.hits,1),_xlpm.corp))</f>
        <v>三和</v>
      </c>
      <c r="P216" t="str">
        <f t="shared" si="19"/>
        <v>2026-01-22</v>
      </c>
      <c r="Q216" t="str">
        <f t="shared" si="16"/>
        <v>三和</v>
      </c>
      <c r="R216" t="str">
        <f t="shared" si="20"/>
        <v>ベビーリーフ レッドオーク</v>
      </c>
      <c r="S216">
        <f t="shared" si="21"/>
        <v>20</v>
      </c>
    </row>
    <row r="217" spans="1:19">
      <c r="A217" s="13">
        <v>72861</v>
      </c>
      <c r="B217" s="14" t="s">
        <v>23</v>
      </c>
      <c r="C217" s="15">
        <v>46044</v>
      </c>
      <c r="D217" s="16" t="s">
        <v>59</v>
      </c>
      <c r="E217" s="16" t="s">
        <v>11</v>
      </c>
      <c r="F217" s="17">
        <v>20</v>
      </c>
      <c r="G217" s="18" t="s">
        <v>24</v>
      </c>
      <c r="H217" s="9">
        <v>46044</v>
      </c>
      <c r="I217" s="10" t="s">
        <v>61</v>
      </c>
      <c r="J217" s="10" t="s">
        <v>62</v>
      </c>
      <c r="K217" s="11">
        <v>920</v>
      </c>
      <c r="O217" t="str" cm="1">
        <f t="array" ref="O217">_xlfn.LET(
_xlpm.corp,$I217,_xlpm.key,$M$2:$M$200,_xlpm.name,$N$2:$N$200,_xlpm.hits,_xlfn._xlws.FILTER(_xlpm.name,ISNUMBER(SEARCH(_xlpm.key,_xlpm.corp))),
IFERROR(INDEX(_xlpm.hits,1),_xlpm.corp))</f>
        <v>Adobe</v>
      </c>
      <c r="P217" t="str">
        <f t="shared" si="19"/>
        <v>2026-01-22</v>
      </c>
      <c r="Q217" t="str">
        <f t="shared" si="16"/>
        <v>Adobe</v>
      </c>
      <c r="R217" t="str">
        <f t="shared" si="20"/>
        <v>ベビーリーフ ロログリーン</v>
      </c>
      <c r="S217">
        <f t="shared" si="21"/>
        <v>920</v>
      </c>
    </row>
    <row r="218" spans="1:19">
      <c r="A218" s="7">
        <v>72860</v>
      </c>
      <c r="B218" s="8" t="s">
        <v>23</v>
      </c>
      <c r="C218" s="9">
        <v>46044</v>
      </c>
      <c r="D218" s="10" t="s">
        <v>61</v>
      </c>
      <c r="E218" s="10" t="s">
        <v>62</v>
      </c>
      <c r="F218" s="11">
        <v>920</v>
      </c>
      <c r="G218" s="12" t="s">
        <v>24</v>
      </c>
      <c r="H218" s="15">
        <v>46044</v>
      </c>
      <c r="I218" s="16" t="s">
        <v>66</v>
      </c>
      <c r="J218" s="16" t="s">
        <v>12</v>
      </c>
      <c r="K218" s="17">
        <v>120</v>
      </c>
      <c r="O218" t="str" cm="1">
        <f t="array" ref="O218">_xlfn.LET(
_xlpm.corp,$I218,_xlpm.key,$M$2:$M$200,_xlpm.name,$N$2:$N$200,_xlpm.hits,_xlfn._xlws.FILTER(_xlpm.name,ISNUMBER(SEARCH(_xlpm.key,_xlpm.corp))),
IFERROR(INDEX(_xlpm.hits,1),_xlpm.corp))</f>
        <v>ケイアイ</v>
      </c>
      <c r="P218" t="str">
        <f t="shared" si="19"/>
        <v>2026-01-22</v>
      </c>
      <c r="Q218" t="str">
        <f t="shared" si="16"/>
        <v>ケイアイ/葉物野菜</v>
      </c>
      <c r="R218" t="str">
        <f t="shared" si="20"/>
        <v>ブロッコリースプラウト</v>
      </c>
      <c r="S218">
        <f t="shared" si="21"/>
        <v>120</v>
      </c>
    </row>
    <row r="219" spans="1:19">
      <c r="A219" s="13">
        <v>72859</v>
      </c>
      <c r="B219" s="14" t="s">
        <v>23</v>
      </c>
      <c r="C219" s="15">
        <v>46044</v>
      </c>
      <c r="D219" s="16" t="s">
        <v>66</v>
      </c>
      <c r="E219" s="16" t="s">
        <v>12</v>
      </c>
      <c r="F219" s="17">
        <v>120</v>
      </c>
      <c r="G219" s="18" t="s">
        <v>24</v>
      </c>
      <c r="H219" s="9">
        <v>46044</v>
      </c>
      <c r="I219" s="10" t="s">
        <v>59</v>
      </c>
      <c r="J219" s="10" t="s">
        <v>11</v>
      </c>
      <c r="K219" s="11">
        <v>200</v>
      </c>
      <c r="O219" t="str" cm="1">
        <f t="array" ref="O219">_xlfn.LET(
_xlpm.corp,$I219,_xlpm.key,$M$2:$M$200,_xlpm.name,$N$2:$N$200,_xlpm.hits,_xlfn._xlws.FILTER(_xlpm.name,ISNUMBER(SEARCH(_xlpm.key,_xlpm.corp))),
IFERROR(INDEX(_xlpm.hits,1),_xlpm.corp))</f>
        <v>三和</v>
      </c>
      <c r="P219" t="str">
        <f t="shared" si="19"/>
        <v>2026-01-22</v>
      </c>
      <c r="Q219" t="str">
        <f t="shared" si="16"/>
        <v>三和</v>
      </c>
      <c r="R219" t="str">
        <f t="shared" si="20"/>
        <v>ベビーリーフ レッドオーク</v>
      </c>
      <c r="S219">
        <f t="shared" si="21"/>
        <v>200</v>
      </c>
    </row>
    <row r="220" spans="1:19">
      <c r="A220" s="7">
        <v>72858</v>
      </c>
      <c r="B220" s="8" t="s">
        <v>23</v>
      </c>
      <c r="C220" s="9">
        <v>46044</v>
      </c>
      <c r="D220" s="10" t="s">
        <v>59</v>
      </c>
      <c r="E220" s="10" t="s">
        <v>11</v>
      </c>
      <c r="F220" s="11">
        <v>200</v>
      </c>
      <c r="G220" s="12" t="s">
        <v>24</v>
      </c>
      <c r="H220" s="15">
        <v>46044</v>
      </c>
      <c r="I220" s="16" t="s">
        <v>26</v>
      </c>
      <c r="J220" s="16" t="s">
        <v>2</v>
      </c>
      <c r="K220" s="17">
        <v>80</v>
      </c>
      <c r="O220" t="str" cm="1">
        <f t="array" ref="O220">_xlfn.LET(
_xlpm.corp,$I220,_xlpm.key,$M$2:$M$200,_xlpm.name,$N$2:$N$200,_xlpm.hits,_xlfn._xlws.FILTER(_xlpm.name,ISNUMBER(SEARCH(_xlpm.key,_xlpm.corp))),
IFERROR(INDEX(_xlpm.hits,1),_xlpm.corp))</f>
        <v>日建</v>
      </c>
      <c r="P220" t="str">
        <f t="shared" si="19"/>
        <v>2026-01-22</v>
      </c>
      <c r="Q220" t="str">
        <f t="shared" si="16"/>
        <v>日建</v>
      </c>
      <c r="R220" t="str">
        <f t="shared" si="20"/>
        <v>ベビーリーフ グリーンオーク</v>
      </c>
      <c r="S220">
        <f t="shared" si="21"/>
        <v>80</v>
      </c>
    </row>
    <row r="221" spans="1:19">
      <c r="A221" s="13">
        <v>72857</v>
      </c>
      <c r="B221" s="14" t="s">
        <v>23</v>
      </c>
      <c r="C221" s="15">
        <v>46044</v>
      </c>
      <c r="D221" s="16" t="s">
        <v>26</v>
      </c>
      <c r="E221" s="16" t="s">
        <v>2</v>
      </c>
      <c r="F221" s="17">
        <v>80</v>
      </c>
      <c r="G221" s="18" t="s">
        <v>24</v>
      </c>
      <c r="H221" s="9">
        <v>46044</v>
      </c>
      <c r="I221" s="10" t="s">
        <v>72</v>
      </c>
      <c r="J221" s="10" t="s">
        <v>2</v>
      </c>
      <c r="K221" s="11">
        <v>560</v>
      </c>
      <c r="O221" t="str" cm="1">
        <f t="array" ref="O221">_xlfn.LET(
_xlpm.corp,$I221,_xlpm.key,$M$2:$M$200,_xlpm.name,$N$2:$N$200,_xlpm.hits,_xlfn._xlws.FILTER(_xlpm.name,ISNUMBER(SEARCH(_xlpm.key,_xlpm.corp))),
IFERROR(INDEX(_xlpm.hits,1),_xlpm.corp))</f>
        <v>岡部</v>
      </c>
      <c r="P221" t="str">
        <f t="shared" si="19"/>
        <v>2026-01-22</v>
      </c>
      <c r="Q221" t="str">
        <f t="shared" si="16"/>
        <v>岡部</v>
      </c>
      <c r="R221" t="str">
        <f t="shared" si="20"/>
        <v>ベビーリーフ グリーンオーク</v>
      </c>
      <c r="S221">
        <f t="shared" si="21"/>
        <v>560</v>
      </c>
    </row>
    <row r="222" spans="1:19">
      <c r="A222" s="7">
        <v>72856</v>
      </c>
      <c r="B222" s="8" t="s">
        <v>23</v>
      </c>
      <c r="C222" s="9">
        <v>46044</v>
      </c>
      <c r="D222" s="10" t="s">
        <v>72</v>
      </c>
      <c r="E222" s="10" t="s">
        <v>2</v>
      </c>
      <c r="F222" s="11">
        <v>560</v>
      </c>
      <c r="G222" s="12" t="s">
        <v>24</v>
      </c>
      <c r="H222" s="15">
        <v>46044</v>
      </c>
      <c r="I222" s="16" t="s">
        <v>70</v>
      </c>
      <c r="J222" s="16" t="s">
        <v>62</v>
      </c>
      <c r="K222" s="17">
        <v>480</v>
      </c>
      <c r="O222" t="str" cm="1">
        <f t="array" ref="O222">_xlfn.LET(
_xlpm.corp,$I222,_xlpm.key,$M$2:$M$200,_xlpm.name,$N$2:$N$200,_xlpm.hits,_xlfn._xlws.FILTER(_xlpm.name,ISNUMBER(SEARCH(_xlpm.key,_xlpm.corp))),
IFERROR(INDEX(_xlpm.hits,1),_xlpm.corp))</f>
        <v>富士機械</v>
      </c>
      <c r="P222" t="str">
        <f t="shared" si="19"/>
        <v>2026-01-22</v>
      </c>
      <c r="Q222" t="str">
        <f t="shared" si="16"/>
        <v>富士機械</v>
      </c>
      <c r="R222" t="str">
        <f t="shared" si="20"/>
        <v>ベビーリーフ ロログリーン</v>
      </c>
      <c r="S222">
        <f t="shared" si="21"/>
        <v>480</v>
      </c>
    </row>
    <row r="223" spans="1:19">
      <c r="A223" s="13">
        <v>72855</v>
      </c>
      <c r="B223" s="14" t="s">
        <v>23</v>
      </c>
      <c r="C223" s="15">
        <v>46044</v>
      </c>
      <c r="D223" s="16" t="s">
        <v>70</v>
      </c>
      <c r="E223" s="16" t="s">
        <v>62</v>
      </c>
      <c r="F223" s="17">
        <v>480</v>
      </c>
      <c r="G223" s="18" t="s">
        <v>24</v>
      </c>
      <c r="H223" s="9">
        <v>46044</v>
      </c>
      <c r="I223" s="10" t="s">
        <v>57</v>
      </c>
      <c r="J223" s="10" t="s">
        <v>3</v>
      </c>
      <c r="K223" s="11">
        <v>320</v>
      </c>
      <c r="O223" t="str" cm="1">
        <f t="array" ref="O223">_xlfn.LET(
_xlpm.corp,$I223,_xlpm.key,$M$2:$M$200,_xlpm.name,$N$2:$N$200,_xlpm.hits,_xlfn._xlws.FILTER(_xlpm.name,ISNUMBER(SEARCH(_xlpm.key,_xlpm.corp))),
IFERROR(INDEX(_xlpm.hits,1),_xlpm.corp))</f>
        <v>QB</v>
      </c>
      <c r="P223" t="str">
        <f t="shared" si="19"/>
        <v>2026-01-22</v>
      </c>
      <c r="Q223" t="str">
        <f t="shared" si="16"/>
        <v>QB/加工BL</v>
      </c>
      <c r="R223" t="str">
        <f t="shared" si="20"/>
        <v>加工BL</v>
      </c>
      <c r="S223">
        <f t="shared" si="21"/>
        <v>320</v>
      </c>
    </row>
    <row r="224" spans="1:19">
      <c r="A224" s="7">
        <v>72854</v>
      </c>
      <c r="B224" s="8" t="s">
        <v>23</v>
      </c>
      <c r="C224" s="9">
        <v>46044</v>
      </c>
      <c r="D224" s="10" t="s">
        <v>57</v>
      </c>
      <c r="E224" s="10" t="s">
        <v>3</v>
      </c>
      <c r="F224" s="11">
        <v>320</v>
      </c>
      <c r="G224" s="12" t="s">
        <v>24</v>
      </c>
      <c r="H224" s="15">
        <v>46043</v>
      </c>
      <c r="I224" s="16" t="s">
        <v>61</v>
      </c>
      <c r="J224" s="16" t="s">
        <v>62</v>
      </c>
      <c r="K224" s="19">
        <v>1560</v>
      </c>
      <c r="O224" t="str" cm="1">
        <f t="array" ref="O224">_xlfn.LET(
_xlpm.corp,$I224,_xlpm.key,$M$2:$M$200,_xlpm.name,$N$2:$N$200,_xlpm.hits,_xlfn._xlws.FILTER(_xlpm.name,ISNUMBER(SEARCH(_xlpm.key,_xlpm.corp))),
IFERROR(INDEX(_xlpm.hits,1),_xlpm.corp))</f>
        <v>Adobe</v>
      </c>
      <c r="P224" t="str">
        <f t="shared" si="19"/>
        <v>2026-01-21</v>
      </c>
      <c r="Q224" t="str">
        <f t="shared" si="16"/>
        <v>Adobe</v>
      </c>
      <c r="R224" t="str">
        <f t="shared" si="20"/>
        <v>ベビーリーフ ロログリーン</v>
      </c>
      <c r="S224">
        <f t="shared" si="21"/>
        <v>1560</v>
      </c>
    </row>
    <row r="225" spans="1:19">
      <c r="A225" s="13">
        <v>72853</v>
      </c>
      <c r="B225" s="14" t="s">
        <v>23</v>
      </c>
      <c r="C225" s="15">
        <v>46043</v>
      </c>
      <c r="D225" s="16" t="s">
        <v>61</v>
      </c>
      <c r="E225" s="16" t="s">
        <v>62</v>
      </c>
      <c r="F225" s="19">
        <v>1560</v>
      </c>
      <c r="G225" s="18" t="s">
        <v>24</v>
      </c>
      <c r="H225" s="9">
        <v>46043</v>
      </c>
      <c r="I225" s="10" t="s">
        <v>64</v>
      </c>
      <c r="J225" s="10" t="s">
        <v>11</v>
      </c>
      <c r="K225" s="11">
        <v>120</v>
      </c>
      <c r="O225" t="str" cm="1">
        <f t="array" ref="O225">_xlfn.LET(
_xlpm.corp,$I225,_xlpm.key,$M$2:$M$200,_xlpm.name,$N$2:$N$200,_xlpm.hits,_xlfn._xlws.FILTER(_xlpm.name,ISNUMBER(SEARCH(_xlpm.key,_xlpm.corp))),
IFERROR(INDEX(_xlpm.hits,1),_xlpm.corp))</f>
        <v>NaITO</v>
      </c>
      <c r="P225" t="str">
        <f t="shared" si="19"/>
        <v>2026-01-21</v>
      </c>
      <c r="Q225" t="str">
        <f t="shared" si="16"/>
        <v>NaITO</v>
      </c>
      <c r="R225" t="str">
        <f t="shared" si="20"/>
        <v>ベビーリーフ レッドオーク</v>
      </c>
      <c r="S225">
        <f t="shared" si="21"/>
        <v>120</v>
      </c>
    </row>
    <row r="226" spans="1:19">
      <c r="A226" s="7">
        <v>72852</v>
      </c>
      <c r="B226" s="8" t="s">
        <v>23</v>
      </c>
      <c r="C226" s="9">
        <v>46043</v>
      </c>
      <c r="D226" s="10" t="s">
        <v>64</v>
      </c>
      <c r="E226" s="10" t="s">
        <v>11</v>
      </c>
      <c r="F226" s="11">
        <v>120</v>
      </c>
      <c r="G226" s="12" t="s">
        <v>24</v>
      </c>
      <c r="H226" s="15">
        <v>46043</v>
      </c>
      <c r="I226" s="16" t="s">
        <v>59</v>
      </c>
      <c r="J226" s="16" t="s">
        <v>7</v>
      </c>
      <c r="K226" s="17">
        <v>720</v>
      </c>
      <c r="O226" t="str" cm="1">
        <f t="array" ref="O226">_xlfn.LET(
_xlpm.corp,$I226,_xlpm.key,$M$2:$M$200,_xlpm.name,$N$2:$N$200,_xlpm.hits,_xlfn._xlws.FILTER(_xlpm.name,ISNUMBER(SEARCH(_xlpm.key,_xlpm.corp))),
IFERROR(INDEX(_xlpm.hits,1),_xlpm.corp))</f>
        <v>三和</v>
      </c>
      <c r="P226" t="str">
        <f t="shared" si="19"/>
        <v>2026-01-21</v>
      </c>
      <c r="Q226" t="str">
        <f t="shared" si="16"/>
        <v>三和/葉物野菜</v>
      </c>
      <c r="R226" t="str">
        <f t="shared" si="20"/>
        <v>レッドオーク</v>
      </c>
      <c r="S226">
        <f t="shared" si="21"/>
        <v>720</v>
      </c>
    </row>
    <row r="227" spans="1:19">
      <c r="A227" s="13">
        <v>72851</v>
      </c>
      <c r="B227" s="14" t="s">
        <v>23</v>
      </c>
      <c r="C227" s="15">
        <v>46043</v>
      </c>
      <c r="D227" s="16" t="s">
        <v>59</v>
      </c>
      <c r="E227" s="16" t="s">
        <v>7</v>
      </c>
      <c r="F227" s="17">
        <v>720</v>
      </c>
      <c r="G227" s="18" t="s">
        <v>24</v>
      </c>
      <c r="H227" s="9">
        <v>46043</v>
      </c>
      <c r="I227" s="10" t="s">
        <v>58</v>
      </c>
      <c r="J227" s="10" t="s">
        <v>9</v>
      </c>
      <c r="K227" s="11">
        <v>580</v>
      </c>
      <c r="O227" t="str" cm="1">
        <f t="array" ref="O227">_xlfn.LET(
_xlpm.corp,$I227,_xlpm.key,$M$2:$M$200,_xlpm.name,$N$2:$N$200,_xlpm.hits,_xlfn._xlws.FILTER(_xlpm.name,ISNUMBER(SEARCH(_xlpm.key,_xlpm.corp))),
IFERROR(INDEX(_xlpm.hits,1),_xlpm.corp))</f>
        <v>慈誠会</v>
      </c>
      <c r="P227" t="str">
        <f t="shared" si="19"/>
        <v>2026-01-21</v>
      </c>
      <c r="Q227" t="str">
        <f t="shared" si="16"/>
        <v>慈誠会</v>
      </c>
      <c r="R227" t="str">
        <f t="shared" si="20"/>
        <v>ベビーリーフ ロロロッサ</v>
      </c>
      <c r="S227">
        <f t="shared" si="21"/>
        <v>580</v>
      </c>
    </row>
    <row r="228" spans="1:19">
      <c r="A228" s="7">
        <v>72850</v>
      </c>
      <c r="B228" s="8" t="s">
        <v>23</v>
      </c>
      <c r="C228" s="9">
        <v>46043</v>
      </c>
      <c r="D228" s="10" t="s">
        <v>58</v>
      </c>
      <c r="E228" s="10" t="s">
        <v>9</v>
      </c>
      <c r="F228" s="11">
        <v>580</v>
      </c>
      <c r="G228" s="12" t="s">
        <v>24</v>
      </c>
      <c r="H228" s="15">
        <v>46043</v>
      </c>
      <c r="I228" s="16" t="s">
        <v>69</v>
      </c>
      <c r="J228" s="16" t="s">
        <v>9</v>
      </c>
      <c r="K228" s="17">
        <v>340</v>
      </c>
      <c r="O228" t="str" cm="1">
        <f t="array" ref="O228">_xlfn.LET(
_xlpm.corp,$I228,_xlpm.key,$M$2:$M$200,_xlpm.name,$N$2:$N$200,_xlpm.hits,_xlfn._xlws.FILTER(_xlpm.name,ISNUMBER(SEARCH(_xlpm.key,_xlpm.corp))),
IFERROR(INDEX(_xlpm.hits,1),_xlpm.corp))</f>
        <v>バリュエンス</v>
      </c>
      <c r="P228" t="str">
        <f t="shared" si="19"/>
        <v>2026-01-21</v>
      </c>
      <c r="Q228" t="str">
        <f t="shared" si="16"/>
        <v>バリュエンス</v>
      </c>
      <c r="R228" t="str">
        <f t="shared" si="20"/>
        <v>ベビーリーフ ロロロッサ</v>
      </c>
      <c r="S228">
        <f t="shared" si="21"/>
        <v>340</v>
      </c>
    </row>
    <row r="229" spans="1:19">
      <c r="A229" s="13">
        <v>72849</v>
      </c>
      <c r="B229" s="14" t="s">
        <v>23</v>
      </c>
      <c r="C229" s="15">
        <v>46043</v>
      </c>
      <c r="D229" s="16" t="s">
        <v>69</v>
      </c>
      <c r="E229" s="16" t="s">
        <v>9</v>
      </c>
      <c r="F229" s="17">
        <v>340</v>
      </c>
      <c r="G229" s="18" t="s">
        <v>24</v>
      </c>
      <c r="H229" s="9">
        <v>46043</v>
      </c>
      <c r="I229" s="10" t="s">
        <v>60</v>
      </c>
      <c r="J229" s="10" t="s">
        <v>3</v>
      </c>
      <c r="K229" s="11">
        <v>140</v>
      </c>
      <c r="O229" t="str" cm="1">
        <f t="array" ref="O229">_xlfn.LET(
_xlpm.corp,$I229,_xlpm.key,$M$2:$M$200,_xlpm.name,$N$2:$N$200,_xlpm.hits,_xlfn._xlws.FILTER(_xlpm.name,ISNUMBER(SEARCH(_xlpm.key,_xlpm.corp))),
IFERROR(INDEX(_xlpm.hits,1),_xlpm.corp))</f>
        <v>サンテレホン</v>
      </c>
      <c r="P229" t="str">
        <f t="shared" si="19"/>
        <v>2026-01-21</v>
      </c>
      <c r="Q229" t="str">
        <f t="shared" si="16"/>
        <v>サンテレホン/加工BL</v>
      </c>
      <c r="R229" t="str">
        <f t="shared" si="20"/>
        <v>加工BL</v>
      </c>
      <c r="S229">
        <f t="shared" si="21"/>
        <v>140</v>
      </c>
    </row>
    <row r="230" spans="1:19">
      <c r="A230" s="7">
        <v>72848</v>
      </c>
      <c r="B230" s="8" t="s">
        <v>23</v>
      </c>
      <c r="C230" s="9">
        <v>46043</v>
      </c>
      <c r="D230" s="10" t="s">
        <v>60</v>
      </c>
      <c r="E230" s="10" t="s">
        <v>3</v>
      </c>
      <c r="F230" s="11">
        <v>140</v>
      </c>
      <c r="G230" s="12" t="s">
        <v>24</v>
      </c>
      <c r="H230" s="15">
        <v>46043</v>
      </c>
      <c r="I230" s="16" t="s">
        <v>26</v>
      </c>
      <c r="J230" s="16" t="s">
        <v>2</v>
      </c>
      <c r="K230" s="17">
        <v>200</v>
      </c>
      <c r="O230" t="str" cm="1">
        <f t="array" ref="O230">_xlfn.LET(
_xlpm.corp,$I230,_xlpm.key,$M$2:$M$200,_xlpm.name,$N$2:$N$200,_xlpm.hits,_xlfn._xlws.FILTER(_xlpm.name,ISNUMBER(SEARCH(_xlpm.key,_xlpm.corp))),
IFERROR(INDEX(_xlpm.hits,1),_xlpm.corp))</f>
        <v>日建</v>
      </c>
      <c r="P230" t="str">
        <f t="shared" si="19"/>
        <v>2026-01-21</v>
      </c>
      <c r="Q230" t="str">
        <f t="shared" si="16"/>
        <v>日建</v>
      </c>
      <c r="R230" t="str">
        <f t="shared" si="20"/>
        <v>ベビーリーフ グリーンオーク</v>
      </c>
      <c r="S230">
        <f t="shared" si="21"/>
        <v>200</v>
      </c>
    </row>
    <row r="231" spans="1:19">
      <c r="A231" s="13">
        <v>72847</v>
      </c>
      <c r="B231" s="14" t="s">
        <v>23</v>
      </c>
      <c r="C231" s="15">
        <v>46043</v>
      </c>
      <c r="D231" s="16" t="s">
        <v>26</v>
      </c>
      <c r="E231" s="16" t="s">
        <v>2</v>
      </c>
      <c r="F231" s="17">
        <v>200</v>
      </c>
      <c r="G231" s="18" t="s">
        <v>24</v>
      </c>
      <c r="H231" s="9">
        <v>46043</v>
      </c>
      <c r="I231" s="10" t="s">
        <v>26</v>
      </c>
      <c r="J231" s="10" t="s">
        <v>3</v>
      </c>
      <c r="K231" s="11">
        <v>380</v>
      </c>
      <c r="O231" t="str" cm="1">
        <f t="array" ref="O231">_xlfn.LET(
_xlpm.corp,$I231,_xlpm.key,$M$2:$M$200,_xlpm.name,$N$2:$N$200,_xlpm.hits,_xlfn._xlws.FILTER(_xlpm.name,ISNUMBER(SEARCH(_xlpm.key,_xlpm.corp))),
IFERROR(INDEX(_xlpm.hits,1),_xlpm.corp))</f>
        <v>日建</v>
      </c>
      <c r="P231" t="str">
        <f t="shared" si="19"/>
        <v>2026-01-21</v>
      </c>
      <c r="Q231" t="str">
        <f t="shared" si="16"/>
        <v>日建/加工BL</v>
      </c>
      <c r="R231" t="str">
        <f t="shared" si="20"/>
        <v>加工BL</v>
      </c>
      <c r="S231">
        <f t="shared" si="21"/>
        <v>380</v>
      </c>
    </row>
    <row r="232" spans="1:19">
      <c r="A232" s="7">
        <v>72846</v>
      </c>
      <c r="B232" s="8" t="s">
        <v>23</v>
      </c>
      <c r="C232" s="9">
        <v>46043</v>
      </c>
      <c r="D232" s="10" t="s">
        <v>26</v>
      </c>
      <c r="E232" s="10" t="s">
        <v>3</v>
      </c>
      <c r="F232" s="11">
        <v>380</v>
      </c>
      <c r="G232" s="12" t="s">
        <v>24</v>
      </c>
      <c r="H232" s="15">
        <v>46043</v>
      </c>
      <c r="I232" s="16" t="s">
        <v>72</v>
      </c>
      <c r="J232" s="16" t="s">
        <v>11</v>
      </c>
      <c r="K232" s="17">
        <v>640</v>
      </c>
      <c r="O232" t="str" cm="1">
        <f t="array" ref="O232">_xlfn.LET(
_xlpm.corp,$I232,_xlpm.key,$M$2:$M$200,_xlpm.name,$N$2:$N$200,_xlpm.hits,_xlfn._xlws.FILTER(_xlpm.name,ISNUMBER(SEARCH(_xlpm.key,_xlpm.corp))),
IFERROR(INDEX(_xlpm.hits,1),_xlpm.corp))</f>
        <v>岡部</v>
      </c>
      <c r="P232" t="str">
        <f t="shared" si="19"/>
        <v>2026-01-21</v>
      </c>
      <c r="Q232" t="str">
        <f t="shared" si="16"/>
        <v>岡部</v>
      </c>
      <c r="R232" t="str">
        <f t="shared" si="20"/>
        <v>ベビーリーフ レッドオーク</v>
      </c>
      <c r="S232">
        <f t="shared" si="21"/>
        <v>640</v>
      </c>
    </row>
    <row r="233" spans="1:19">
      <c r="A233" s="13">
        <v>72845</v>
      </c>
      <c r="B233" s="14" t="s">
        <v>23</v>
      </c>
      <c r="C233" s="15">
        <v>46043</v>
      </c>
      <c r="D233" s="16" t="s">
        <v>72</v>
      </c>
      <c r="E233" s="16" t="s">
        <v>11</v>
      </c>
      <c r="F233" s="17">
        <v>640</v>
      </c>
      <c r="G233" s="18" t="s">
        <v>24</v>
      </c>
      <c r="H233" s="9">
        <v>46043</v>
      </c>
      <c r="I233" s="10" t="s">
        <v>27</v>
      </c>
      <c r="J233" s="10" t="s">
        <v>3</v>
      </c>
      <c r="K233" s="11">
        <v>440</v>
      </c>
      <c r="O233" t="str" cm="1">
        <f t="array" ref="O233">_xlfn.LET(
_xlpm.corp,$I233,_xlpm.key,$M$2:$M$200,_xlpm.name,$N$2:$N$200,_xlpm.hits,_xlfn._xlws.FILTER(_xlpm.name,ISNUMBER(SEARCH(_xlpm.key,_xlpm.corp))),
IFERROR(INDEX(_xlpm.hits,1),_xlpm.corp))</f>
        <v>東レ</v>
      </c>
      <c r="P233" t="str">
        <f t="shared" si="19"/>
        <v>2026-01-21</v>
      </c>
      <c r="Q233" t="str">
        <f t="shared" si="16"/>
        <v>東レ/加工BL</v>
      </c>
      <c r="R233" t="str">
        <f t="shared" si="20"/>
        <v>加工BL</v>
      </c>
      <c r="S233">
        <f t="shared" si="21"/>
        <v>440</v>
      </c>
    </row>
    <row r="234" spans="1:19">
      <c r="A234" s="7">
        <v>72844</v>
      </c>
      <c r="B234" s="8" t="s">
        <v>23</v>
      </c>
      <c r="C234" s="9">
        <v>46043</v>
      </c>
      <c r="D234" s="10" t="s">
        <v>27</v>
      </c>
      <c r="E234" s="10" t="s">
        <v>3</v>
      </c>
      <c r="F234" s="11">
        <v>440</v>
      </c>
      <c r="G234" s="12" t="s">
        <v>24</v>
      </c>
      <c r="H234" s="15">
        <v>46043</v>
      </c>
      <c r="I234" s="16" t="s">
        <v>57</v>
      </c>
      <c r="J234" s="16" t="s">
        <v>4</v>
      </c>
      <c r="K234" s="17">
        <v>140</v>
      </c>
      <c r="O234" t="str" cm="1">
        <f t="array" ref="O234">_xlfn.LET(
_xlpm.corp,$I234,_xlpm.key,$M$2:$M$200,_xlpm.name,$N$2:$N$200,_xlpm.hits,_xlfn._xlws.FILTER(_xlpm.name,ISNUMBER(SEARCH(_xlpm.key,_xlpm.corp))),
IFERROR(INDEX(_xlpm.hits,1),_xlpm.corp))</f>
        <v>QB</v>
      </c>
      <c r="P234" t="str">
        <f t="shared" si="19"/>
        <v>2026-01-21</v>
      </c>
      <c r="Q234" t="str">
        <f t="shared" si="16"/>
        <v>QB</v>
      </c>
      <c r="R234" t="str">
        <f t="shared" si="20"/>
        <v>ベビーリーフ ピノグリーン</v>
      </c>
      <c r="S234">
        <f t="shared" si="21"/>
        <v>140</v>
      </c>
    </row>
    <row r="235" spans="1:19">
      <c r="A235" s="13">
        <v>72843</v>
      </c>
      <c r="B235" s="14" t="s">
        <v>23</v>
      </c>
      <c r="C235" s="15">
        <v>46043</v>
      </c>
      <c r="D235" s="16" t="s">
        <v>57</v>
      </c>
      <c r="E235" s="16" t="s">
        <v>4</v>
      </c>
      <c r="F235" s="17">
        <v>140</v>
      </c>
      <c r="G235" s="18" t="s">
        <v>24</v>
      </c>
      <c r="H235" s="9">
        <v>46043</v>
      </c>
      <c r="I235" s="10" t="s">
        <v>57</v>
      </c>
      <c r="J235" s="10" t="s">
        <v>3</v>
      </c>
      <c r="K235" s="11">
        <v>180</v>
      </c>
      <c r="O235" t="str" cm="1">
        <f t="array" ref="O235">_xlfn.LET(
_xlpm.corp,$I235,_xlpm.key,$M$2:$M$200,_xlpm.name,$N$2:$N$200,_xlpm.hits,_xlfn._xlws.FILTER(_xlpm.name,ISNUMBER(SEARCH(_xlpm.key,_xlpm.corp))),
IFERROR(INDEX(_xlpm.hits,1),_xlpm.corp))</f>
        <v>QB</v>
      </c>
      <c r="P235" t="str">
        <f t="shared" si="19"/>
        <v>2026-01-21</v>
      </c>
      <c r="Q235" t="str">
        <f t="shared" si="16"/>
        <v>QB/加工BL</v>
      </c>
      <c r="R235" t="str">
        <f t="shared" si="20"/>
        <v>加工BL</v>
      </c>
      <c r="S235">
        <f t="shared" si="21"/>
        <v>180</v>
      </c>
    </row>
    <row r="236" spans="1:19">
      <c r="A236" s="7">
        <v>72842</v>
      </c>
      <c r="B236" s="8" t="s">
        <v>23</v>
      </c>
      <c r="C236" s="9">
        <v>46043</v>
      </c>
      <c r="D236" s="10" t="s">
        <v>57</v>
      </c>
      <c r="E236" s="10" t="s">
        <v>3</v>
      </c>
      <c r="F236" s="11">
        <v>180</v>
      </c>
      <c r="G236" s="12" t="s">
        <v>24</v>
      </c>
      <c r="H236" s="15">
        <v>46043</v>
      </c>
      <c r="I236" s="16" t="s">
        <v>57</v>
      </c>
      <c r="J236" s="16" t="s">
        <v>2</v>
      </c>
      <c r="K236" s="17">
        <v>200</v>
      </c>
      <c r="O236" t="str" cm="1">
        <f t="array" ref="O236">_xlfn.LET(
_xlpm.corp,$I236,_xlpm.key,$M$2:$M$200,_xlpm.name,$N$2:$N$200,_xlpm.hits,_xlfn._xlws.FILTER(_xlpm.name,ISNUMBER(SEARCH(_xlpm.key,_xlpm.corp))),
IFERROR(INDEX(_xlpm.hits,1),_xlpm.corp))</f>
        <v>QB</v>
      </c>
      <c r="P236" t="str">
        <f t="shared" si="19"/>
        <v>2026-01-21</v>
      </c>
      <c r="Q236" t="str">
        <f t="shared" si="16"/>
        <v>QB</v>
      </c>
      <c r="R236" t="str">
        <f t="shared" si="20"/>
        <v>ベビーリーフ グリーンオーク</v>
      </c>
      <c r="S236">
        <f t="shared" si="21"/>
        <v>200</v>
      </c>
    </row>
    <row r="237" spans="1:19">
      <c r="A237" s="13">
        <v>72841</v>
      </c>
      <c r="B237" s="14" t="s">
        <v>23</v>
      </c>
      <c r="C237" s="15">
        <v>46043</v>
      </c>
      <c r="D237" s="16" t="s">
        <v>57</v>
      </c>
      <c r="E237" s="16" t="s">
        <v>2</v>
      </c>
      <c r="F237" s="17">
        <v>200</v>
      </c>
      <c r="G237" s="18" t="s">
        <v>24</v>
      </c>
      <c r="H237" s="9">
        <v>46043</v>
      </c>
      <c r="I237" s="10" t="s">
        <v>66</v>
      </c>
      <c r="J237" s="10" t="s">
        <v>11</v>
      </c>
      <c r="K237" s="20">
        <v>1660</v>
      </c>
      <c r="O237" t="str" cm="1">
        <f t="array" ref="O237">_xlfn.LET(
_xlpm.corp,$I237,_xlpm.key,$M$2:$M$200,_xlpm.name,$N$2:$N$200,_xlpm.hits,_xlfn._xlws.FILTER(_xlpm.name,ISNUMBER(SEARCH(_xlpm.key,_xlpm.corp))),
IFERROR(INDEX(_xlpm.hits,1),_xlpm.corp))</f>
        <v>ケイアイ</v>
      </c>
      <c r="P237" t="str">
        <f t="shared" si="19"/>
        <v>2026-01-21</v>
      </c>
      <c r="Q237" t="str">
        <f t="shared" si="16"/>
        <v>ケイアイ</v>
      </c>
      <c r="R237" t="str">
        <f t="shared" si="20"/>
        <v>ベビーリーフ レッドオーク</v>
      </c>
      <c r="S237">
        <f t="shared" si="21"/>
        <v>1660</v>
      </c>
    </row>
    <row r="238" spans="1:19">
      <c r="A238" s="7">
        <v>72840</v>
      </c>
      <c r="B238" s="8" t="s">
        <v>23</v>
      </c>
      <c r="C238" s="9">
        <v>46043</v>
      </c>
      <c r="D238" s="10" t="s">
        <v>66</v>
      </c>
      <c r="E238" s="10" t="s">
        <v>11</v>
      </c>
      <c r="F238" s="20">
        <v>1660</v>
      </c>
      <c r="G238" s="12" t="s">
        <v>24</v>
      </c>
      <c r="H238" s="15">
        <v>46043</v>
      </c>
      <c r="I238" s="16" t="s">
        <v>68</v>
      </c>
      <c r="J238" s="16" t="s">
        <v>2</v>
      </c>
      <c r="K238" s="17">
        <v>80</v>
      </c>
      <c r="O238" t="str" cm="1">
        <f t="array" ref="O238">_xlfn.LET(
_xlpm.corp,$I238,_xlpm.key,$M$2:$M$200,_xlpm.name,$N$2:$N$200,_xlpm.hits,_xlfn._xlws.FILTER(_xlpm.name,ISNUMBER(SEARCH(_xlpm.key,_xlpm.corp))),
IFERROR(INDEX(_xlpm.hits,1),_xlpm.corp))</f>
        <v>昭和女子</v>
      </c>
      <c r="P238" t="str">
        <f t="shared" si="19"/>
        <v>2026-01-21</v>
      </c>
      <c r="Q238" t="str">
        <f t="shared" si="16"/>
        <v>昭和女子</v>
      </c>
      <c r="R238" t="str">
        <f t="shared" si="20"/>
        <v>ベビーリーフ グリーンオーク</v>
      </c>
      <c r="S238">
        <f t="shared" si="21"/>
        <v>80</v>
      </c>
    </row>
    <row r="239" spans="1:19">
      <c r="A239" s="13">
        <v>72839</v>
      </c>
      <c r="B239" s="14" t="s">
        <v>23</v>
      </c>
      <c r="C239" s="15">
        <v>46043</v>
      </c>
      <c r="D239" s="16" t="s">
        <v>68</v>
      </c>
      <c r="E239" s="16" t="s">
        <v>2</v>
      </c>
      <c r="F239" s="17">
        <v>80</v>
      </c>
      <c r="G239" s="18" t="s">
        <v>24</v>
      </c>
      <c r="H239" s="9">
        <v>46043</v>
      </c>
      <c r="I239" s="10" t="s">
        <v>65</v>
      </c>
      <c r="J239" s="10" t="s">
        <v>2</v>
      </c>
      <c r="K239" s="11">
        <v>580</v>
      </c>
      <c r="O239" t="str" cm="1">
        <f t="array" ref="O239">_xlfn.LET(
_xlpm.corp,$I239,_xlpm.key,$M$2:$M$200,_xlpm.name,$N$2:$N$200,_xlpm.hits,_xlfn._xlws.FILTER(_xlpm.name,ISNUMBER(SEARCH(_xlpm.key,_xlpm.corp))),
IFERROR(INDEX(_xlpm.hits,1),_xlpm.corp))</f>
        <v>マルテー</v>
      </c>
      <c r="P239" t="str">
        <f t="shared" si="19"/>
        <v>2026-01-21</v>
      </c>
      <c r="Q239" t="str">
        <f t="shared" si="16"/>
        <v>マルテー</v>
      </c>
      <c r="R239" t="str">
        <f t="shared" si="20"/>
        <v>ベビーリーフ グリーンオーク</v>
      </c>
      <c r="S239">
        <f t="shared" si="21"/>
        <v>580</v>
      </c>
    </row>
    <row r="240" spans="1:19">
      <c r="A240" s="7">
        <v>72838</v>
      </c>
      <c r="B240" s="8" t="s">
        <v>23</v>
      </c>
      <c r="C240" s="9">
        <v>46043</v>
      </c>
      <c r="D240" s="10" t="s">
        <v>65</v>
      </c>
      <c r="E240" s="10" t="s">
        <v>2</v>
      </c>
      <c r="F240" s="11">
        <v>580</v>
      </c>
      <c r="G240" s="12" t="s">
        <v>24</v>
      </c>
      <c r="H240" s="15">
        <v>46043</v>
      </c>
      <c r="I240" s="16" t="s">
        <v>70</v>
      </c>
      <c r="J240" s="16" t="s">
        <v>9</v>
      </c>
      <c r="K240" s="17">
        <v>440</v>
      </c>
      <c r="O240" t="str" cm="1">
        <f t="array" ref="O240">_xlfn.LET(
_xlpm.corp,$I240,_xlpm.key,$M$2:$M$200,_xlpm.name,$N$2:$N$200,_xlpm.hits,_xlfn._xlws.FILTER(_xlpm.name,ISNUMBER(SEARCH(_xlpm.key,_xlpm.corp))),
IFERROR(INDEX(_xlpm.hits,1),_xlpm.corp))</f>
        <v>富士機械</v>
      </c>
      <c r="P240" t="str">
        <f t="shared" si="19"/>
        <v>2026-01-21</v>
      </c>
      <c r="Q240" t="str">
        <f t="shared" si="16"/>
        <v>富士機械</v>
      </c>
      <c r="R240" t="str">
        <f t="shared" si="20"/>
        <v>ベビーリーフ ロロロッサ</v>
      </c>
      <c r="S240">
        <f t="shared" si="21"/>
        <v>440</v>
      </c>
    </row>
    <row r="241" spans="1:19">
      <c r="A241" s="13">
        <v>72837</v>
      </c>
      <c r="B241" s="14" t="s">
        <v>23</v>
      </c>
      <c r="C241" s="15">
        <v>46043</v>
      </c>
      <c r="D241" s="16" t="s">
        <v>70</v>
      </c>
      <c r="E241" s="16" t="s">
        <v>9</v>
      </c>
      <c r="F241" s="17">
        <v>440</v>
      </c>
      <c r="G241" s="18" t="s">
        <v>24</v>
      </c>
      <c r="H241" s="9">
        <v>46043</v>
      </c>
      <c r="I241" s="10" t="s">
        <v>56</v>
      </c>
      <c r="J241" s="10" t="s">
        <v>3</v>
      </c>
      <c r="K241" s="20">
        <v>1340</v>
      </c>
      <c r="O241" t="str" cm="1">
        <f t="array" ref="O241">_xlfn.LET(
_xlpm.corp,$I241,_xlpm.key,$M$2:$M$200,_xlpm.name,$N$2:$N$200,_xlpm.hits,_xlfn._xlws.FILTER(_xlpm.name,ISNUMBER(SEARCH(_xlpm.key,_xlpm.corp))),
IFERROR(INDEX(_xlpm.hits,1),_xlpm.corp))</f>
        <v>サンセイランディック</v>
      </c>
      <c r="P241" t="str">
        <f t="shared" si="19"/>
        <v>2026-01-21</v>
      </c>
      <c r="Q241" t="str">
        <f t="shared" si="16"/>
        <v>サンセイランディック/加工BL</v>
      </c>
      <c r="R241" t="str">
        <f t="shared" si="20"/>
        <v>加工BL</v>
      </c>
      <c r="S241">
        <f t="shared" si="21"/>
        <v>1340</v>
      </c>
    </row>
    <row r="242" spans="1:19">
      <c r="A242" s="7">
        <v>72836</v>
      </c>
      <c r="B242" s="8" t="s">
        <v>23</v>
      </c>
      <c r="C242" s="9">
        <v>46043</v>
      </c>
      <c r="D242" s="10" t="s">
        <v>56</v>
      </c>
      <c r="E242" s="10" t="s">
        <v>3</v>
      </c>
      <c r="F242" s="20">
        <v>1340</v>
      </c>
      <c r="G242" s="12" t="s">
        <v>24</v>
      </c>
      <c r="H242" s="15">
        <v>46043</v>
      </c>
      <c r="I242" s="16" t="s">
        <v>70</v>
      </c>
      <c r="J242" s="16" t="s">
        <v>9</v>
      </c>
      <c r="K242" s="19">
        <v>1720</v>
      </c>
      <c r="O242" t="str" cm="1">
        <f t="array" ref="O242">_xlfn.LET(
_xlpm.corp,$I242,_xlpm.key,$M$2:$M$200,_xlpm.name,$N$2:$N$200,_xlpm.hits,_xlfn._xlws.FILTER(_xlpm.name,ISNUMBER(SEARCH(_xlpm.key,_xlpm.corp))),
IFERROR(INDEX(_xlpm.hits,1),_xlpm.corp))</f>
        <v>富士機械</v>
      </c>
      <c r="P242" t="str">
        <f t="shared" si="19"/>
        <v>2026-01-21</v>
      </c>
      <c r="Q242" t="str">
        <f t="shared" si="16"/>
        <v>富士機械</v>
      </c>
      <c r="R242" t="str">
        <f t="shared" si="20"/>
        <v>ベビーリーフ ロロロッサ</v>
      </c>
      <c r="S242">
        <f t="shared" si="21"/>
        <v>1720</v>
      </c>
    </row>
    <row r="243" spans="1:19">
      <c r="A243" s="13">
        <v>72835</v>
      </c>
      <c r="B243" s="14" t="s">
        <v>23</v>
      </c>
      <c r="C243" s="15">
        <v>46043</v>
      </c>
      <c r="D243" s="16" t="s">
        <v>70</v>
      </c>
      <c r="E243" s="16" t="s">
        <v>9</v>
      </c>
      <c r="F243" s="19">
        <v>1720</v>
      </c>
      <c r="G243" s="18" t="s">
        <v>24</v>
      </c>
      <c r="H243" s="9">
        <v>46043</v>
      </c>
      <c r="I243" s="10" t="s">
        <v>61</v>
      </c>
      <c r="J243" s="10" t="s">
        <v>62</v>
      </c>
      <c r="K243" s="11">
        <v>740</v>
      </c>
      <c r="O243" t="str" cm="1">
        <f t="array" ref="O243">_xlfn.LET(
_xlpm.corp,$I243,_xlpm.key,$M$2:$M$200,_xlpm.name,$N$2:$N$200,_xlpm.hits,_xlfn._xlws.FILTER(_xlpm.name,ISNUMBER(SEARCH(_xlpm.key,_xlpm.corp))),
IFERROR(INDEX(_xlpm.hits,1),_xlpm.corp))</f>
        <v>Adobe</v>
      </c>
      <c r="P243" t="str">
        <f t="shared" si="19"/>
        <v>2026-01-21</v>
      </c>
      <c r="Q243" t="str">
        <f t="shared" si="16"/>
        <v>Adobe</v>
      </c>
      <c r="R243" t="str">
        <f t="shared" si="20"/>
        <v>ベビーリーフ ロログリーン</v>
      </c>
      <c r="S243">
        <f t="shared" si="21"/>
        <v>740</v>
      </c>
    </row>
    <row r="244" spans="1:19">
      <c r="A244" s="7">
        <v>72834</v>
      </c>
      <c r="B244" s="8" t="s">
        <v>23</v>
      </c>
      <c r="C244" s="9">
        <v>46043</v>
      </c>
      <c r="D244" s="10" t="s">
        <v>61</v>
      </c>
      <c r="E244" s="10" t="s">
        <v>62</v>
      </c>
      <c r="F244" s="11">
        <v>740</v>
      </c>
      <c r="G244" s="12" t="s">
        <v>24</v>
      </c>
      <c r="H244" s="15">
        <v>46043</v>
      </c>
      <c r="I244" s="16" t="s">
        <v>63</v>
      </c>
      <c r="J244" s="16" t="s">
        <v>62</v>
      </c>
      <c r="K244" s="19">
        <v>1300</v>
      </c>
      <c r="O244" t="str" cm="1">
        <f t="array" ref="O244">_xlfn.LET(
_xlpm.corp,$I244,_xlpm.key,$M$2:$M$200,_xlpm.name,$N$2:$N$200,_xlpm.hits,_xlfn._xlws.FILTER(_xlpm.name,ISNUMBER(SEARCH(_xlpm.key,_xlpm.corp))),
IFERROR(INDEX(_xlpm.hits,1),_xlpm.corp))</f>
        <v>富士機材</v>
      </c>
      <c r="P244" t="str">
        <f t="shared" si="19"/>
        <v>2026-01-21</v>
      </c>
      <c r="Q244" t="str">
        <f t="shared" si="16"/>
        <v>富士機材</v>
      </c>
      <c r="R244" t="str">
        <f t="shared" si="20"/>
        <v>ベビーリーフ ロログリーン</v>
      </c>
      <c r="S244">
        <f t="shared" si="21"/>
        <v>1300</v>
      </c>
    </row>
    <row r="245" spans="1:19">
      <c r="A245" s="13">
        <v>72833</v>
      </c>
      <c r="B245" s="14" t="s">
        <v>23</v>
      </c>
      <c r="C245" s="15">
        <v>46043</v>
      </c>
      <c r="D245" s="16" t="s">
        <v>63</v>
      </c>
      <c r="E245" s="16" t="s">
        <v>62</v>
      </c>
      <c r="F245" s="19">
        <v>1300</v>
      </c>
      <c r="G245" s="18" t="s">
        <v>24</v>
      </c>
      <c r="H245" s="9">
        <v>46043</v>
      </c>
      <c r="I245" s="10" t="s">
        <v>72</v>
      </c>
      <c r="J245" s="10" t="s">
        <v>11</v>
      </c>
      <c r="K245" s="11">
        <v>400</v>
      </c>
      <c r="O245" t="str" cm="1">
        <f t="array" ref="O245">_xlfn.LET(
_xlpm.corp,$I245,_xlpm.key,$M$2:$M$200,_xlpm.name,$N$2:$N$200,_xlpm.hits,_xlfn._xlws.FILTER(_xlpm.name,ISNUMBER(SEARCH(_xlpm.key,_xlpm.corp))),
IFERROR(INDEX(_xlpm.hits,1),_xlpm.corp))</f>
        <v>岡部</v>
      </c>
      <c r="P245" t="str">
        <f t="shared" si="19"/>
        <v>2026-01-21</v>
      </c>
      <c r="Q245" t="str">
        <f t="shared" si="16"/>
        <v>岡部</v>
      </c>
      <c r="R245" t="str">
        <f t="shared" si="20"/>
        <v>ベビーリーフ レッドオーク</v>
      </c>
      <c r="S245">
        <f t="shared" si="21"/>
        <v>400</v>
      </c>
    </row>
    <row r="246" spans="1:19">
      <c r="A246" s="7">
        <v>72832</v>
      </c>
      <c r="B246" s="8" t="s">
        <v>23</v>
      </c>
      <c r="C246" s="9">
        <v>46043</v>
      </c>
      <c r="D246" s="10" t="s">
        <v>72</v>
      </c>
      <c r="E246" s="10" t="s">
        <v>11</v>
      </c>
      <c r="F246" s="11">
        <v>400</v>
      </c>
      <c r="G246" s="12" t="s">
        <v>24</v>
      </c>
      <c r="H246" s="15">
        <v>46043</v>
      </c>
      <c r="I246" s="16" t="s">
        <v>57</v>
      </c>
      <c r="J246" s="16" t="s">
        <v>3</v>
      </c>
      <c r="K246" s="17">
        <v>120</v>
      </c>
      <c r="O246" t="str" cm="1">
        <f t="array" ref="O246">_xlfn.LET(
_xlpm.corp,$I246,_xlpm.key,$M$2:$M$200,_xlpm.name,$N$2:$N$200,_xlpm.hits,_xlfn._xlws.FILTER(_xlpm.name,ISNUMBER(SEARCH(_xlpm.key,_xlpm.corp))),
IFERROR(INDEX(_xlpm.hits,1),_xlpm.corp))</f>
        <v>QB</v>
      </c>
      <c r="P246" t="str">
        <f t="shared" si="19"/>
        <v>2026-01-21</v>
      </c>
      <c r="Q246" t="str">
        <f t="shared" si="16"/>
        <v>QB/加工BL</v>
      </c>
      <c r="R246" t="str">
        <f t="shared" si="20"/>
        <v>加工BL</v>
      </c>
      <c r="S246">
        <f t="shared" si="21"/>
        <v>120</v>
      </c>
    </row>
    <row r="247" spans="1:19">
      <c r="A247" s="13">
        <v>72831</v>
      </c>
      <c r="B247" s="14" t="s">
        <v>23</v>
      </c>
      <c r="C247" s="15">
        <v>46043</v>
      </c>
      <c r="D247" s="16" t="s">
        <v>57</v>
      </c>
      <c r="E247" s="16" t="s">
        <v>3</v>
      </c>
      <c r="F247" s="17">
        <v>120</v>
      </c>
      <c r="G247" s="18" t="s">
        <v>24</v>
      </c>
      <c r="H247" s="9">
        <v>46043</v>
      </c>
      <c r="I247" s="10" t="s">
        <v>57</v>
      </c>
      <c r="J247" s="10" t="s">
        <v>4</v>
      </c>
      <c r="K247" s="11">
        <v>120</v>
      </c>
      <c r="O247" t="str" cm="1">
        <f t="array" ref="O247">_xlfn.LET(
_xlpm.corp,$I247,_xlpm.key,$M$2:$M$200,_xlpm.name,$N$2:$N$200,_xlpm.hits,_xlfn._xlws.FILTER(_xlpm.name,ISNUMBER(SEARCH(_xlpm.key,_xlpm.corp))),
IFERROR(INDEX(_xlpm.hits,1),_xlpm.corp))</f>
        <v>QB</v>
      </c>
      <c r="P247" t="str">
        <f t="shared" si="19"/>
        <v>2026-01-21</v>
      </c>
      <c r="Q247" t="str">
        <f t="shared" si="16"/>
        <v>QB</v>
      </c>
      <c r="R247" t="str">
        <f t="shared" si="20"/>
        <v>ベビーリーフ ピノグリーン</v>
      </c>
      <c r="S247">
        <f t="shared" si="21"/>
        <v>120</v>
      </c>
    </row>
    <row r="248" spans="1:19">
      <c r="A248" s="7">
        <v>72830</v>
      </c>
      <c r="B248" s="8" t="s">
        <v>23</v>
      </c>
      <c r="C248" s="9">
        <v>46043</v>
      </c>
      <c r="D248" s="10" t="s">
        <v>57</v>
      </c>
      <c r="E248" s="10" t="s">
        <v>4</v>
      </c>
      <c r="F248" s="11">
        <v>120</v>
      </c>
      <c r="G248" s="12" t="s">
        <v>24</v>
      </c>
      <c r="H248" s="15">
        <v>46043</v>
      </c>
      <c r="I248" s="16" t="s">
        <v>65</v>
      </c>
      <c r="J248" s="16" t="s">
        <v>2</v>
      </c>
      <c r="K248" s="17">
        <v>360</v>
      </c>
      <c r="O248" t="str" cm="1">
        <f t="array" ref="O248">_xlfn.LET(
_xlpm.corp,$I248,_xlpm.key,$M$2:$M$200,_xlpm.name,$N$2:$N$200,_xlpm.hits,_xlfn._xlws.FILTER(_xlpm.name,ISNUMBER(SEARCH(_xlpm.key,_xlpm.corp))),
IFERROR(INDEX(_xlpm.hits,1),_xlpm.corp))</f>
        <v>マルテー</v>
      </c>
      <c r="P248" t="str">
        <f t="shared" si="19"/>
        <v>2026-01-21</v>
      </c>
      <c r="Q248" t="str">
        <f t="shared" si="16"/>
        <v>マルテー</v>
      </c>
      <c r="R248" t="str">
        <f t="shared" si="20"/>
        <v>ベビーリーフ グリーンオーク</v>
      </c>
      <c r="S248">
        <f t="shared" si="21"/>
        <v>360</v>
      </c>
    </row>
    <row r="249" spans="1:19">
      <c r="A249" s="13">
        <v>72829</v>
      </c>
      <c r="B249" s="14" t="s">
        <v>23</v>
      </c>
      <c r="C249" s="15">
        <v>46043</v>
      </c>
      <c r="D249" s="16" t="s">
        <v>65</v>
      </c>
      <c r="E249" s="16" t="s">
        <v>2</v>
      </c>
      <c r="F249" s="17">
        <v>360</v>
      </c>
      <c r="G249" s="18" t="s">
        <v>24</v>
      </c>
      <c r="H249" s="9">
        <v>46043</v>
      </c>
      <c r="I249" s="10" t="s">
        <v>57</v>
      </c>
      <c r="J249" s="10" t="s">
        <v>3</v>
      </c>
      <c r="K249" s="11">
        <v>100</v>
      </c>
      <c r="O249" t="str" cm="1">
        <f t="array" ref="O249">_xlfn.LET(
_xlpm.corp,$I249,_xlpm.key,$M$2:$M$200,_xlpm.name,$N$2:$N$200,_xlpm.hits,_xlfn._xlws.FILTER(_xlpm.name,ISNUMBER(SEARCH(_xlpm.key,_xlpm.corp))),
IFERROR(INDEX(_xlpm.hits,1),_xlpm.corp))</f>
        <v>QB</v>
      </c>
      <c r="P249" t="str">
        <f t="shared" si="19"/>
        <v>2026-01-21</v>
      </c>
      <c r="Q249" t="str">
        <f t="shared" si="16"/>
        <v>QB/加工BL</v>
      </c>
      <c r="R249" t="str">
        <f t="shared" si="20"/>
        <v>加工BL</v>
      </c>
      <c r="S249">
        <f t="shared" si="21"/>
        <v>100</v>
      </c>
    </row>
    <row r="250" spans="1:19">
      <c r="A250" s="7">
        <v>72828</v>
      </c>
      <c r="B250" s="8" t="s">
        <v>23</v>
      </c>
      <c r="C250" s="9">
        <v>46043</v>
      </c>
      <c r="D250" s="10" t="s">
        <v>57</v>
      </c>
      <c r="E250" s="10" t="s">
        <v>3</v>
      </c>
      <c r="F250" s="11">
        <v>100</v>
      </c>
      <c r="G250" s="12" t="s">
        <v>24</v>
      </c>
      <c r="H250" s="15">
        <v>46043</v>
      </c>
      <c r="I250" s="16" t="s">
        <v>57</v>
      </c>
      <c r="J250" s="16" t="s">
        <v>2</v>
      </c>
      <c r="K250" s="17">
        <v>220</v>
      </c>
      <c r="O250" t="str" cm="1">
        <f t="array" ref="O250">_xlfn.LET(
_xlpm.corp,$I250,_xlpm.key,$M$2:$M$200,_xlpm.name,$N$2:$N$200,_xlpm.hits,_xlfn._xlws.FILTER(_xlpm.name,ISNUMBER(SEARCH(_xlpm.key,_xlpm.corp))),
IFERROR(INDEX(_xlpm.hits,1),_xlpm.corp))</f>
        <v>QB</v>
      </c>
      <c r="P250" t="str">
        <f t="shared" si="19"/>
        <v>2026-01-21</v>
      </c>
      <c r="Q250" t="str">
        <f t="shared" si="16"/>
        <v>QB</v>
      </c>
      <c r="R250" t="str">
        <f t="shared" si="20"/>
        <v>ベビーリーフ グリーンオーク</v>
      </c>
      <c r="S250">
        <f t="shared" si="21"/>
        <v>220</v>
      </c>
    </row>
    <row r="251" spans="1:19">
      <c r="A251" s="13">
        <v>72827</v>
      </c>
      <c r="B251" s="14" t="s">
        <v>23</v>
      </c>
      <c r="C251" s="15">
        <v>46043</v>
      </c>
      <c r="D251" s="16" t="s">
        <v>57</v>
      </c>
      <c r="E251" s="16" t="s">
        <v>2</v>
      </c>
      <c r="F251" s="17">
        <v>220</v>
      </c>
      <c r="G251" s="18" t="s">
        <v>24</v>
      </c>
      <c r="H251" s="9">
        <v>46043</v>
      </c>
      <c r="I251" s="10" t="s">
        <v>27</v>
      </c>
      <c r="J251" s="10" t="s">
        <v>3</v>
      </c>
      <c r="K251" s="11">
        <v>460</v>
      </c>
      <c r="O251" t="str" cm="1">
        <f t="array" ref="O251">_xlfn.LET(
_xlpm.corp,$I251,_xlpm.key,$M$2:$M$200,_xlpm.name,$N$2:$N$200,_xlpm.hits,_xlfn._xlws.FILTER(_xlpm.name,ISNUMBER(SEARCH(_xlpm.key,_xlpm.corp))),
IFERROR(INDEX(_xlpm.hits,1),_xlpm.corp))</f>
        <v>東レ</v>
      </c>
      <c r="P251" t="str">
        <f t="shared" si="19"/>
        <v>2026-01-21</v>
      </c>
      <c r="Q251" t="str">
        <f t="shared" si="16"/>
        <v>東レ/加工BL</v>
      </c>
      <c r="R251" t="str">
        <f t="shared" si="20"/>
        <v>加工BL</v>
      </c>
      <c r="S251">
        <f t="shared" si="21"/>
        <v>460</v>
      </c>
    </row>
    <row r="252" spans="1:19">
      <c r="A252" s="7">
        <v>72826</v>
      </c>
      <c r="B252" s="8" t="s">
        <v>23</v>
      </c>
      <c r="C252" s="9">
        <v>46043</v>
      </c>
      <c r="D252" s="10" t="s">
        <v>27</v>
      </c>
      <c r="E252" s="10" t="s">
        <v>3</v>
      </c>
      <c r="F252" s="11">
        <v>460</v>
      </c>
      <c r="G252" s="12" t="s">
        <v>24</v>
      </c>
      <c r="H252" s="15">
        <v>46043</v>
      </c>
      <c r="I252" s="16" t="s">
        <v>26</v>
      </c>
      <c r="J252" s="16" t="s">
        <v>3</v>
      </c>
      <c r="K252" s="17">
        <v>240</v>
      </c>
      <c r="O252" t="str" cm="1">
        <f t="array" ref="O252">_xlfn.LET(
_xlpm.corp,$I252,_xlpm.key,$M$2:$M$200,_xlpm.name,$N$2:$N$200,_xlpm.hits,_xlfn._xlws.FILTER(_xlpm.name,ISNUMBER(SEARCH(_xlpm.key,_xlpm.corp))),
IFERROR(INDEX(_xlpm.hits,1),_xlpm.corp))</f>
        <v>日建</v>
      </c>
      <c r="P252" t="str">
        <f t="shared" si="19"/>
        <v>2026-01-21</v>
      </c>
      <c r="Q252" t="str">
        <f t="shared" si="16"/>
        <v>日建/加工BL</v>
      </c>
      <c r="R252" t="str">
        <f t="shared" si="20"/>
        <v>加工BL</v>
      </c>
      <c r="S252">
        <f t="shared" si="21"/>
        <v>240</v>
      </c>
    </row>
    <row r="253" spans="1:19">
      <c r="A253" s="13">
        <v>72825</v>
      </c>
      <c r="B253" s="14" t="s">
        <v>23</v>
      </c>
      <c r="C253" s="15">
        <v>46043</v>
      </c>
      <c r="D253" s="16" t="s">
        <v>26</v>
      </c>
      <c r="E253" s="16" t="s">
        <v>3</v>
      </c>
      <c r="F253" s="17">
        <v>240</v>
      </c>
      <c r="G253" s="18" t="s">
        <v>24</v>
      </c>
      <c r="H253" s="9">
        <v>46043</v>
      </c>
      <c r="I253" s="10" t="s">
        <v>26</v>
      </c>
      <c r="J253" s="10" t="s">
        <v>2</v>
      </c>
      <c r="K253" s="11">
        <v>280</v>
      </c>
      <c r="O253" t="str" cm="1">
        <f t="array" ref="O253">_xlfn.LET(
_xlpm.corp,$I253,_xlpm.key,$M$2:$M$200,_xlpm.name,$N$2:$N$200,_xlpm.hits,_xlfn._xlws.FILTER(_xlpm.name,ISNUMBER(SEARCH(_xlpm.key,_xlpm.corp))),
IFERROR(INDEX(_xlpm.hits,1),_xlpm.corp))</f>
        <v>日建</v>
      </c>
      <c r="P253" t="str">
        <f t="shared" si="19"/>
        <v>2026-01-21</v>
      </c>
      <c r="Q253" t="str">
        <f t="shared" si="16"/>
        <v>日建</v>
      </c>
      <c r="R253" t="str">
        <f t="shared" si="20"/>
        <v>ベビーリーフ グリーンオーク</v>
      </c>
      <c r="S253">
        <f t="shared" si="21"/>
        <v>280</v>
      </c>
    </row>
    <row r="254" spans="1:19">
      <c r="A254" s="7">
        <v>72824</v>
      </c>
      <c r="B254" s="8" t="s">
        <v>23</v>
      </c>
      <c r="C254" s="9">
        <v>46043</v>
      </c>
      <c r="D254" s="10" t="s">
        <v>26</v>
      </c>
      <c r="E254" s="10" t="s">
        <v>2</v>
      </c>
      <c r="F254" s="11">
        <v>280</v>
      </c>
      <c r="G254" s="12" t="s">
        <v>24</v>
      </c>
      <c r="H254" s="15">
        <v>46043</v>
      </c>
      <c r="I254" s="16" t="s">
        <v>72</v>
      </c>
      <c r="J254" s="16" t="s">
        <v>11</v>
      </c>
      <c r="K254" s="17">
        <v>520</v>
      </c>
      <c r="O254" t="str" cm="1">
        <f t="array" ref="O254">_xlfn.LET(
_xlpm.corp,$I254,_xlpm.key,$M$2:$M$200,_xlpm.name,$N$2:$N$200,_xlpm.hits,_xlfn._xlws.FILTER(_xlpm.name,ISNUMBER(SEARCH(_xlpm.key,_xlpm.corp))),
IFERROR(INDEX(_xlpm.hits,1),_xlpm.corp))</f>
        <v>岡部</v>
      </c>
      <c r="P254" t="str">
        <f t="shared" si="19"/>
        <v>2026-01-21</v>
      </c>
      <c r="Q254" t="str">
        <f t="shared" si="16"/>
        <v>岡部</v>
      </c>
      <c r="R254" t="str">
        <f t="shared" si="20"/>
        <v>ベビーリーフ レッドオーク</v>
      </c>
      <c r="S254">
        <f t="shared" si="21"/>
        <v>520</v>
      </c>
    </row>
    <row r="255" spans="1:19">
      <c r="A255" s="13">
        <v>72823</v>
      </c>
      <c r="B255" s="14" t="s">
        <v>23</v>
      </c>
      <c r="C255" s="15">
        <v>46043</v>
      </c>
      <c r="D255" s="16" t="s">
        <v>72</v>
      </c>
      <c r="E255" s="16" t="s">
        <v>11</v>
      </c>
      <c r="F255" s="17">
        <v>520</v>
      </c>
      <c r="G255" s="18" t="s">
        <v>24</v>
      </c>
      <c r="H255" s="9">
        <v>46043</v>
      </c>
      <c r="I255" s="10" t="s">
        <v>66</v>
      </c>
      <c r="J255" s="10" t="s">
        <v>3</v>
      </c>
      <c r="K255" s="11">
        <v>520</v>
      </c>
      <c r="O255" t="str" cm="1">
        <f t="array" ref="O255">_xlfn.LET(
_xlpm.corp,$I255,_xlpm.key,$M$2:$M$200,_xlpm.name,$N$2:$N$200,_xlpm.hits,_xlfn._xlws.FILTER(_xlpm.name,ISNUMBER(SEARCH(_xlpm.key,_xlpm.corp))),
IFERROR(INDEX(_xlpm.hits,1),_xlpm.corp))</f>
        <v>ケイアイ</v>
      </c>
      <c r="P255" t="str">
        <f t="shared" si="19"/>
        <v>2026-01-21</v>
      </c>
      <c r="Q255" t="str">
        <f t="shared" si="16"/>
        <v>ケイアイ/加工BL</v>
      </c>
      <c r="R255" t="str">
        <f t="shared" si="20"/>
        <v>加工BL</v>
      </c>
      <c r="S255">
        <f t="shared" si="21"/>
        <v>520</v>
      </c>
    </row>
    <row r="256" spans="1:19">
      <c r="A256" s="7">
        <v>72822</v>
      </c>
      <c r="B256" s="8" t="s">
        <v>23</v>
      </c>
      <c r="C256" s="9">
        <v>46043</v>
      </c>
      <c r="D256" s="10" t="s">
        <v>66</v>
      </c>
      <c r="E256" s="10" t="s">
        <v>3</v>
      </c>
      <c r="F256" s="11">
        <v>520</v>
      </c>
      <c r="G256" s="12" t="s">
        <v>24</v>
      </c>
      <c r="H256" s="15">
        <v>46043</v>
      </c>
      <c r="I256" s="16" t="s">
        <v>65</v>
      </c>
      <c r="J256" s="16" t="s">
        <v>2</v>
      </c>
      <c r="K256" s="17">
        <v>560</v>
      </c>
      <c r="O256" t="str" cm="1">
        <f t="array" ref="O256">_xlfn.LET(
_xlpm.corp,$I256,_xlpm.key,$M$2:$M$200,_xlpm.name,$N$2:$N$200,_xlpm.hits,_xlfn._xlws.FILTER(_xlpm.name,ISNUMBER(SEARCH(_xlpm.key,_xlpm.corp))),
IFERROR(INDEX(_xlpm.hits,1),_xlpm.corp))</f>
        <v>マルテー</v>
      </c>
      <c r="P256" t="str">
        <f t="shared" si="19"/>
        <v>2026-01-21</v>
      </c>
      <c r="Q256" t="str">
        <f t="shared" si="16"/>
        <v>マルテー</v>
      </c>
      <c r="R256" t="str">
        <f t="shared" si="20"/>
        <v>ベビーリーフ グリーンオーク</v>
      </c>
      <c r="S256">
        <f t="shared" si="21"/>
        <v>560</v>
      </c>
    </row>
    <row r="257" spans="1:19">
      <c r="A257" s="13">
        <v>72821</v>
      </c>
      <c r="B257" s="14" t="s">
        <v>23</v>
      </c>
      <c r="C257" s="15">
        <v>46043</v>
      </c>
      <c r="D257" s="16" t="s">
        <v>65</v>
      </c>
      <c r="E257" s="16" t="s">
        <v>2</v>
      </c>
      <c r="F257" s="17">
        <v>560</v>
      </c>
      <c r="G257" s="18" t="s">
        <v>24</v>
      </c>
      <c r="H257" s="9">
        <v>46043</v>
      </c>
      <c r="I257" s="10" t="s">
        <v>25</v>
      </c>
      <c r="J257" s="10" t="s">
        <v>3</v>
      </c>
      <c r="K257" s="11">
        <v>100</v>
      </c>
      <c r="O257" t="str" cm="1">
        <f t="array" ref="O257">_xlfn.LET(
_xlpm.corp,$I257,_xlpm.key,$M$2:$M$200,_xlpm.name,$N$2:$N$200,_xlpm.hits,_xlfn._xlws.FILTER(_xlpm.name,ISNUMBER(SEARCH(_xlpm.key,_xlpm.corp))),
IFERROR(INDEX(_xlpm.hits,1),_xlpm.corp))</f>
        <v>日本ファブテック</v>
      </c>
      <c r="P257" t="str">
        <f t="shared" si="19"/>
        <v>2026-01-21</v>
      </c>
      <c r="Q257" t="str">
        <f t="shared" si="16"/>
        <v>日本ファブテック/加工BL</v>
      </c>
      <c r="R257" t="str">
        <f t="shared" si="20"/>
        <v>加工BL</v>
      </c>
      <c r="S257">
        <f t="shared" si="21"/>
        <v>100</v>
      </c>
    </row>
    <row r="258" spans="1:19">
      <c r="A258" s="7">
        <v>72820</v>
      </c>
      <c r="B258" s="8" t="s">
        <v>23</v>
      </c>
      <c r="C258" s="9">
        <v>46043</v>
      </c>
      <c r="D258" s="10" t="s">
        <v>25</v>
      </c>
      <c r="E258" s="10" t="s">
        <v>3</v>
      </c>
      <c r="F258" s="11">
        <v>100</v>
      </c>
      <c r="G258" s="12" t="s">
        <v>24</v>
      </c>
      <c r="H258" s="15">
        <v>46043</v>
      </c>
      <c r="I258" s="16" t="s">
        <v>66</v>
      </c>
      <c r="J258" s="16" t="s">
        <v>12</v>
      </c>
      <c r="K258" s="19">
        <v>1580</v>
      </c>
      <c r="O258" t="str" cm="1">
        <f t="array" ref="O258">_xlfn.LET(
_xlpm.corp,$I258,_xlpm.key,$M$2:$M$200,_xlpm.name,$N$2:$N$200,_xlpm.hits,_xlfn._xlws.FILTER(_xlpm.name,ISNUMBER(SEARCH(_xlpm.key,_xlpm.corp))),
IFERROR(INDEX(_xlpm.hits,1),_xlpm.corp))</f>
        <v>ケイアイ</v>
      </c>
      <c r="P258" t="str">
        <f t="shared" si="19"/>
        <v>2026-01-21</v>
      </c>
      <c r="Q258" t="str">
        <f t="shared" si="16"/>
        <v>ケイアイ/葉物野菜</v>
      </c>
      <c r="R258" t="str">
        <f t="shared" si="20"/>
        <v>ブロッコリースプラウト</v>
      </c>
      <c r="S258">
        <f t="shared" si="21"/>
        <v>1580</v>
      </c>
    </row>
    <row r="259" spans="1:19">
      <c r="A259" s="13">
        <v>72819</v>
      </c>
      <c r="B259" s="14" t="s">
        <v>23</v>
      </c>
      <c r="C259" s="15">
        <v>46043</v>
      </c>
      <c r="D259" s="16" t="s">
        <v>66</v>
      </c>
      <c r="E259" s="16" t="s">
        <v>12</v>
      </c>
      <c r="F259" s="19">
        <v>1580</v>
      </c>
      <c r="G259" s="18" t="s">
        <v>24</v>
      </c>
      <c r="H259" s="9">
        <v>46043</v>
      </c>
      <c r="I259" s="10" t="s">
        <v>27</v>
      </c>
      <c r="J259" s="10" t="s">
        <v>4</v>
      </c>
      <c r="K259" s="11">
        <v>120</v>
      </c>
      <c r="O259" t="str" cm="1">
        <f t="array" ref="O259">_xlfn.LET(
_xlpm.corp,$I259,_xlpm.key,$M$2:$M$200,_xlpm.name,$N$2:$N$200,_xlpm.hits,_xlfn._xlws.FILTER(_xlpm.name,ISNUMBER(SEARCH(_xlpm.key,_xlpm.corp))),
IFERROR(INDEX(_xlpm.hits,1),_xlpm.corp))</f>
        <v>東レ</v>
      </c>
      <c r="P259" t="str">
        <f t="shared" si="19"/>
        <v>2026-01-21</v>
      </c>
      <c r="Q259" t="str">
        <f t="shared" si="16"/>
        <v>東レ</v>
      </c>
      <c r="R259" t="str">
        <f t="shared" si="20"/>
        <v>ベビーリーフ ピノグリーン</v>
      </c>
      <c r="S259">
        <f t="shared" si="21"/>
        <v>120</v>
      </c>
    </row>
    <row r="260" spans="1:19">
      <c r="A260" s="7">
        <v>72818</v>
      </c>
      <c r="B260" s="8" t="s">
        <v>23</v>
      </c>
      <c r="C260" s="9">
        <v>46043</v>
      </c>
      <c r="D260" s="10" t="s">
        <v>27</v>
      </c>
      <c r="E260" s="10" t="s">
        <v>4</v>
      </c>
      <c r="F260" s="11">
        <v>120</v>
      </c>
      <c r="G260" s="12" t="s">
        <v>24</v>
      </c>
      <c r="H260" s="15">
        <v>46043</v>
      </c>
      <c r="I260" s="16" t="s">
        <v>58</v>
      </c>
      <c r="J260" s="16" t="s">
        <v>4</v>
      </c>
      <c r="K260" s="17">
        <v>120</v>
      </c>
      <c r="O260" t="str" cm="1">
        <f t="array" ref="O260">_xlfn.LET(
_xlpm.corp,$I260,_xlpm.key,$M$2:$M$200,_xlpm.name,$N$2:$N$200,_xlpm.hits,_xlfn._xlws.FILTER(_xlpm.name,ISNUMBER(SEARCH(_xlpm.key,_xlpm.corp))),
IFERROR(INDEX(_xlpm.hits,1),_xlpm.corp))</f>
        <v>慈誠会</v>
      </c>
      <c r="P260" t="str">
        <f t="shared" si="19"/>
        <v>2026-01-21</v>
      </c>
      <c r="Q260" t="str">
        <f t="shared" si="16"/>
        <v>慈誠会</v>
      </c>
      <c r="R260" t="str">
        <f t="shared" si="20"/>
        <v>ベビーリーフ ピノグリーン</v>
      </c>
      <c r="S260">
        <f t="shared" si="21"/>
        <v>120</v>
      </c>
    </row>
    <row r="261" spans="1:19">
      <c r="A261" s="13">
        <v>72817</v>
      </c>
      <c r="B261" s="14" t="s">
        <v>23</v>
      </c>
      <c r="C261" s="15">
        <v>46043</v>
      </c>
      <c r="D261" s="16" t="s">
        <v>58</v>
      </c>
      <c r="E261" s="16" t="s">
        <v>4</v>
      </c>
      <c r="F261" s="17">
        <v>120</v>
      </c>
      <c r="G261" s="18" t="s">
        <v>24</v>
      </c>
      <c r="H261" s="9">
        <v>46043</v>
      </c>
      <c r="I261" s="10" t="s">
        <v>58</v>
      </c>
      <c r="J261" s="10" t="s">
        <v>9</v>
      </c>
      <c r="K261" s="11">
        <v>300</v>
      </c>
      <c r="O261" t="str" cm="1">
        <f t="array" ref="O261">_xlfn.LET(
_xlpm.corp,$I261,_xlpm.key,$M$2:$M$200,_xlpm.name,$N$2:$N$200,_xlpm.hits,_xlfn._xlws.FILTER(_xlpm.name,ISNUMBER(SEARCH(_xlpm.key,_xlpm.corp))),
IFERROR(INDEX(_xlpm.hits,1),_xlpm.corp))</f>
        <v>慈誠会</v>
      </c>
      <c r="P261" t="str">
        <f t="shared" si="19"/>
        <v>2026-01-21</v>
      </c>
      <c r="Q261" t="str">
        <f t="shared" si="16"/>
        <v>慈誠会</v>
      </c>
      <c r="R261" t="str">
        <f t="shared" si="20"/>
        <v>ベビーリーフ ロロロッサ</v>
      </c>
      <c r="S261">
        <f t="shared" si="21"/>
        <v>300</v>
      </c>
    </row>
    <row r="262" spans="1:19">
      <c r="A262" s="7">
        <v>72816</v>
      </c>
      <c r="B262" s="8" t="s">
        <v>23</v>
      </c>
      <c r="C262" s="9">
        <v>46043</v>
      </c>
      <c r="D262" s="10" t="s">
        <v>58</v>
      </c>
      <c r="E262" s="10" t="s">
        <v>9</v>
      </c>
      <c r="F262" s="11">
        <v>300</v>
      </c>
      <c r="G262" s="12" t="s">
        <v>24</v>
      </c>
      <c r="H262" s="15">
        <v>46043</v>
      </c>
      <c r="I262" s="16" t="s">
        <v>69</v>
      </c>
      <c r="J262" s="16" t="s">
        <v>9</v>
      </c>
      <c r="K262" s="17">
        <v>400</v>
      </c>
      <c r="O262" t="str" cm="1">
        <f t="array" ref="O262">_xlfn.LET(
_xlpm.corp,$I262,_xlpm.key,$M$2:$M$200,_xlpm.name,$N$2:$N$200,_xlpm.hits,_xlfn._xlws.FILTER(_xlpm.name,ISNUMBER(SEARCH(_xlpm.key,_xlpm.corp))),
IFERROR(INDEX(_xlpm.hits,1),_xlpm.corp))</f>
        <v>バリュエンス</v>
      </c>
      <c r="P262" t="str">
        <f t="shared" si="19"/>
        <v>2026-01-21</v>
      </c>
      <c r="Q262" t="str">
        <f t="shared" si="16"/>
        <v>バリュエンス</v>
      </c>
      <c r="R262" t="str">
        <f t="shared" si="20"/>
        <v>ベビーリーフ ロロロッサ</v>
      </c>
      <c r="S262">
        <f t="shared" si="21"/>
        <v>400</v>
      </c>
    </row>
    <row r="263" spans="1:19">
      <c r="A263" s="13">
        <v>72815</v>
      </c>
      <c r="B263" s="14" t="s">
        <v>23</v>
      </c>
      <c r="C263" s="15">
        <v>46043</v>
      </c>
      <c r="D263" s="16" t="s">
        <v>69</v>
      </c>
      <c r="E263" s="16" t="s">
        <v>9</v>
      </c>
      <c r="F263" s="17">
        <v>400</v>
      </c>
      <c r="G263" s="18" t="s">
        <v>24</v>
      </c>
      <c r="H263" s="9">
        <v>46042</v>
      </c>
      <c r="I263" s="10" t="s">
        <v>65</v>
      </c>
      <c r="J263" s="10" t="s">
        <v>10</v>
      </c>
      <c r="K263" s="11">
        <v>127</v>
      </c>
      <c r="O263" t="str" cm="1">
        <f t="array" ref="O263">_xlfn.LET(
_xlpm.corp,$I263,_xlpm.key,$M$2:$M$200,_xlpm.name,$N$2:$N$200,_xlpm.hits,_xlfn._xlws.FILTER(_xlpm.name,ISNUMBER(SEARCH(_xlpm.key,_xlpm.corp))),
IFERROR(INDEX(_xlpm.hits,1),_xlpm.corp))</f>
        <v>マルテー</v>
      </c>
      <c r="P263" t="str">
        <f t="shared" si="19"/>
        <v>2026-01-20</v>
      </c>
      <c r="Q263" t="str">
        <f t="shared" si="16"/>
        <v>マルテー/加工BL</v>
      </c>
      <c r="R263" t="str">
        <f t="shared" si="20"/>
        <v>加工品 イチゴ</v>
      </c>
      <c r="S263">
        <f t="shared" si="21"/>
        <v>127</v>
      </c>
    </row>
    <row r="264" spans="1:19">
      <c r="A264" s="7">
        <v>73449</v>
      </c>
      <c r="B264" s="8" t="s">
        <v>23</v>
      </c>
      <c r="C264" s="9">
        <v>46042</v>
      </c>
      <c r="D264" s="10" t="s">
        <v>65</v>
      </c>
      <c r="E264" s="10" t="s">
        <v>10</v>
      </c>
      <c r="F264" s="11">
        <v>127</v>
      </c>
      <c r="G264" s="12" t="s">
        <v>24</v>
      </c>
      <c r="H264" s="15">
        <v>46042</v>
      </c>
      <c r="I264" s="16" t="s">
        <v>65</v>
      </c>
      <c r="J264" s="16" t="s">
        <v>261</v>
      </c>
      <c r="K264" s="17">
        <v>116</v>
      </c>
      <c r="O264" t="str" cm="1">
        <f t="array" ref="O264">_xlfn.LET(
_xlpm.corp,$I264,_xlpm.key,$M$2:$M$200,_xlpm.name,$N$2:$N$200,_xlpm.hits,_xlfn._xlws.FILTER(_xlpm.name,ISNUMBER(SEARCH(_xlpm.key,_xlpm.corp))),
IFERROR(INDEX(_xlpm.hits,1),_xlpm.corp))</f>
        <v>マルテー</v>
      </c>
      <c r="P264" t="str">
        <f t="shared" si="19"/>
        <v>2026-01-20</v>
      </c>
      <c r="Q264" t="str">
        <f t="shared" si="16"/>
        <v>マルテー/イチゴ</v>
      </c>
      <c r="R264" t="str">
        <f t="shared" si="20"/>
        <v>イチゴ（かおり野）</v>
      </c>
      <c r="S264">
        <f t="shared" si="21"/>
        <v>116</v>
      </c>
    </row>
    <row r="265" spans="1:19">
      <c r="A265" s="13">
        <v>73448</v>
      </c>
      <c r="B265" s="14" t="s">
        <v>23</v>
      </c>
      <c r="C265" s="15">
        <v>46042</v>
      </c>
      <c r="D265" s="16" t="s">
        <v>65</v>
      </c>
      <c r="E265" s="16" t="s">
        <v>261</v>
      </c>
      <c r="F265" s="17">
        <v>116</v>
      </c>
      <c r="G265" s="18" t="s">
        <v>24</v>
      </c>
      <c r="H265" s="9">
        <v>46042</v>
      </c>
      <c r="I265" s="10" t="s">
        <v>65</v>
      </c>
      <c r="J265" s="10" t="s">
        <v>8</v>
      </c>
      <c r="K265" s="11">
        <v>235</v>
      </c>
      <c r="O265" t="str" cm="1">
        <f t="array" ref="O265">_xlfn.LET(
_xlpm.corp,$I265,_xlpm.key,$M$2:$M$200,_xlpm.name,$N$2:$N$200,_xlpm.hits,_xlfn._xlws.FILTER(_xlpm.name,ISNUMBER(SEARCH(_xlpm.key,_xlpm.corp))),
IFERROR(INDEX(_xlpm.hits,1),_xlpm.corp))</f>
        <v>マルテー</v>
      </c>
      <c r="P265" t="str">
        <f t="shared" si="19"/>
        <v>2026-01-20</v>
      </c>
      <c r="Q265" t="str">
        <f t="shared" si="16"/>
        <v>マルテー/イチゴ</v>
      </c>
      <c r="R265" t="str">
        <f t="shared" si="20"/>
        <v>イチゴ</v>
      </c>
      <c r="S265">
        <f t="shared" si="21"/>
        <v>235</v>
      </c>
    </row>
    <row r="266" spans="1:19">
      <c r="A266" s="7">
        <v>73447</v>
      </c>
      <c r="B266" s="8" t="s">
        <v>23</v>
      </c>
      <c r="C266" s="9">
        <v>46042</v>
      </c>
      <c r="D266" s="10" t="s">
        <v>65</v>
      </c>
      <c r="E266" s="10" t="s">
        <v>8</v>
      </c>
      <c r="F266" s="11">
        <v>235</v>
      </c>
      <c r="G266" s="12" t="s">
        <v>24</v>
      </c>
      <c r="H266" s="15">
        <v>46042</v>
      </c>
      <c r="I266" s="16" t="s">
        <v>70</v>
      </c>
      <c r="J266" s="16" t="s">
        <v>9</v>
      </c>
      <c r="K266" s="17">
        <v>200</v>
      </c>
      <c r="O266" t="str" cm="1">
        <f t="array" ref="O266">_xlfn.LET(
_xlpm.corp,$I266,_xlpm.key,$M$2:$M$200,_xlpm.name,$N$2:$N$200,_xlpm.hits,_xlfn._xlws.FILTER(_xlpm.name,ISNUMBER(SEARCH(_xlpm.key,_xlpm.corp))),
IFERROR(INDEX(_xlpm.hits,1),_xlpm.corp))</f>
        <v>富士機械</v>
      </c>
      <c r="P266" t="str">
        <f t="shared" si="19"/>
        <v>2026-01-20</v>
      </c>
      <c r="Q266" t="str">
        <f t="shared" si="16"/>
        <v>富士機械</v>
      </c>
      <c r="R266" t="str">
        <f t="shared" si="20"/>
        <v>ベビーリーフ ロロロッサ</v>
      </c>
      <c r="S266">
        <f t="shared" si="21"/>
        <v>200</v>
      </c>
    </row>
    <row r="267" spans="1:19">
      <c r="A267" s="13">
        <v>72120</v>
      </c>
      <c r="B267" s="14" t="s">
        <v>23</v>
      </c>
      <c r="C267" s="15">
        <v>46042</v>
      </c>
      <c r="D267" s="16" t="s">
        <v>70</v>
      </c>
      <c r="E267" s="16" t="s">
        <v>9</v>
      </c>
      <c r="F267" s="17">
        <v>200</v>
      </c>
      <c r="G267" s="18" t="s">
        <v>24</v>
      </c>
      <c r="H267" s="9">
        <v>46042</v>
      </c>
      <c r="I267" s="10" t="s">
        <v>63</v>
      </c>
      <c r="J267" s="10" t="s">
        <v>62</v>
      </c>
      <c r="K267" s="11">
        <v>900</v>
      </c>
      <c r="O267" t="str" cm="1">
        <f t="array" ref="O267">_xlfn.LET(
_xlpm.corp,$I267,_xlpm.key,$M$2:$M$200,_xlpm.name,$N$2:$N$200,_xlpm.hits,_xlfn._xlws.FILTER(_xlpm.name,ISNUMBER(SEARCH(_xlpm.key,_xlpm.corp))),
IFERROR(INDEX(_xlpm.hits,1),_xlpm.corp))</f>
        <v>富士機材</v>
      </c>
      <c r="P267" t="str">
        <f t="shared" si="19"/>
        <v>2026-01-20</v>
      </c>
      <c r="Q267" t="str">
        <f t="shared" si="16"/>
        <v>富士機材</v>
      </c>
      <c r="R267" t="str">
        <f t="shared" si="20"/>
        <v>ベビーリーフ ロログリーン</v>
      </c>
      <c r="S267">
        <f t="shared" si="21"/>
        <v>900</v>
      </c>
    </row>
    <row r="268" spans="1:19">
      <c r="A268" s="7">
        <v>72119</v>
      </c>
      <c r="B268" s="8" t="s">
        <v>23</v>
      </c>
      <c r="C268" s="9">
        <v>46042</v>
      </c>
      <c r="D268" s="10" t="s">
        <v>63</v>
      </c>
      <c r="E268" s="10" t="s">
        <v>62</v>
      </c>
      <c r="F268" s="11">
        <v>900</v>
      </c>
      <c r="G268" s="12" t="s">
        <v>24</v>
      </c>
      <c r="H268" s="15">
        <v>46042</v>
      </c>
      <c r="I268" s="16" t="s">
        <v>65</v>
      </c>
      <c r="J268" s="16" t="s">
        <v>2</v>
      </c>
      <c r="K268" s="17">
        <v>320</v>
      </c>
      <c r="O268" t="str" cm="1">
        <f t="array" ref="O268">_xlfn.LET(
_xlpm.corp,$I268,_xlpm.key,$M$2:$M$200,_xlpm.name,$N$2:$N$200,_xlpm.hits,_xlfn._xlws.FILTER(_xlpm.name,ISNUMBER(SEARCH(_xlpm.key,_xlpm.corp))),
IFERROR(INDEX(_xlpm.hits,1),_xlpm.corp))</f>
        <v>マルテー</v>
      </c>
      <c r="P268" t="str">
        <f t="shared" si="19"/>
        <v>2026-01-20</v>
      </c>
      <c r="Q268" t="str">
        <f t="shared" si="16"/>
        <v>マルテー</v>
      </c>
      <c r="R268" t="str">
        <f t="shared" si="20"/>
        <v>ベビーリーフ グリーンオーク</v>
      </c>
      <c r="S268">
        <f t="shared" si="21"/>
        <v>320</v>
      </c>
    </row>
    <row r="269" spans="1:19">
      <c r="A269" s="13">
        <v>72118</v>
      </c>
      <c r="B269" s="14" t="s">
        <v>23</v>
      </c>
      <c r="C269" s="15">
        <v>46042</v>
      </c>
      <c r="D269" s="16" t="s">
        <v>65</v>
      </c>
      <c r="E269" s="16" t="s">
        <v>2</v>
      </c>
      <c r="F269" s="17">
        <v>320</v>
      </c>
      <c r="G269" s="18" t="s">
        <v>24</v>
      </c>
      <c r="H269" s="9">
        <v>46042</v>
      </c>
      <c r="I269" s="10" t="s">
        <v>25</v>
      </c>
      <c r="J269" s="10" t="s">
        <v>3</v>
      </c>
      <c r="K269" s="11">
        <v>360</v>
      </c>
      <c r="O269" t="str" cm="1">
        <f t="array" ref="O269">_xlfn.LET(
_xlpm.corp,$I269,_xlpm.key,$M$2:$M$200,_xlpm.name,$N$2:$N$200,_xlpm.hits,_xlfn._xlws.FILTER(_xlpm.name,ISNUMBER(SEARCH(_xlpm.key,_xlpm.corp))),
IFERROR(INDEX(_xlpm.hits,1),_xlpm.corp))</f>
        <v>日本ファブテック</v>
      </c>
      <c r="P269" t="str">
        <f t="shared" si="19"/>
        <v>2026-01-20</v>
      </c>
      <c r="Q269" t="str">
        <f t="shared" si="16"/>
        <v>日本ファブテック/加工BL</v>
      </c>
      <c r="R269" t="str">
        <f t="shared" si="20"/>
        <v>加工BL</v>
      </c>
      <c r="S269">
        <f t="shared" si="21"/>
        <v>360</v>
      </c>
    </row>
    <row r="270" spans="1:19">
      <c r="A270" s="7">
        <v>72117</v>
      </c>
      <c r="B270" s="8" t="s">
        <v>23</v>
      </c>
      <c r="C270" s="9">
        <v>46042</v>
      </c>
      <c r="D270" s="10" t="s">
        <v>25</v>
      </c>
      <c r="E270" s="10" t="s">
        <v>3</v>
      </c>
      <c r="F270" s="11">
        <v>360</v>
      </c>
      <c r="G270" s="12" t="s">
        <v>24</v>
      </c>
      <c r="H270" s="15">
        <v>46042</v>
      </c>
      <c r="I270" s="16" t="s">
        <v>25</v>
      </c>
      <c r="J270" s="16" t="s">
        <v>2</v>
      </c>
      <c r="K270" s="17">
        <v>340</v>
      </c>
      <c r="O270" t="str" cm="1">
        <f t="array" ref="O270">_xlfn.LET(
_xlpm.corp,$I270,_xlpm.key,$M$2:$M$200,_xlpm.name,$N$2:$N$200,_xlpm.hits,_xlfn._xlws.FILTER(_xlpm.name,ISNUMBER(SEARCH(_xlpm.key,_xlpm.corp))),
IFERROR(INDEX(_xlpm.hits,1),_xlpm.corp))</f>
        <v>日本ファブテック</v>
      </c>
      <c r="P270" t="str">
        <f t="shared" si="19"/>
        <v>2026-01-20</v>
      </c>
      <c r="Q270" t="str">
        <f t="shared" si="16"/>
        <v>日本ファブテック</v>
      </c>
      <c r="R270" t="str">
        <f t="shared" si="20"/>
        <v>ベビーリーフ グリーンオーク</v>
      </c>
      <c r="S270">
        <f t="shared" si="21"/>
        <v>340</v>
      </c>
    </row>
    <row r="271" spans="1:19">
      <c r="A271" s="13">
        <v>72116</v>
      </c>
      <c r="B271" s="14" t="s">
        <v>23</v>
      </c>
      <c r="C271" s="15">
        <v>46042</v>
      </c>
      <c r="D271" s="16" t="s">
        <v>25</v>
      </c>
      <c r="E271" s="16" t="s">
        <v>2</v>
      </c>
      <c r="F271" s="17">
        <v>340</v>
      </c>
      <c r="G271" s="18" t="s">
        <v>24</v>
      </c>
      <c r="H271" s="9">
        <v>46042</v>
      </c>
      <c r="I271" s="10" t="s">
        <v>27</v>
      </c>
      <c r="J271" s="10" t="s">
        <v>62</v>
      </c>
      <c r="K271" s="11">
        <v>740</v>
      </c>
      <c r="O271" t="str" cm="1">
        <f t="array" ref="O271">_xlfn.LET(
_xlpm.corp,$I271,_xlpm.key,$M$2:$M$200,_xlpm.name,$N$2:$N$200,_xlpm.hits,_xlfn._xlws.FILTER(_xlpm.name,ISNUMBER(SEARCH(_xlpm.key,_xlpm.corp))),
IFERROR(INDEX(_xlpm.hits,1),_xlpm.corp))</f>
        <v>東レ</v>
      </c>
      <c r="P271" t="str">
        <f t="shared" si="19"/>
        <v>2026-01-20</v>
      </c>
      <c r="Q271" t="str">
        <f t="shared" si="16"/>
        <v>東レ</v>
      </c>
      <c r="R271" t="str">
        <f t="shared" si="20"/>
        <v>ベビーリーフ ロログリーン</v>
      </c>
      <c r="S271">
        <f t="shared" si="21"/>
        <v>740</v>
      </c>
    </row>
    <row r="272" spans="1:19">
      <c r="A272" s="7">
        <v>72115</v>
      </c>
      <c r="B272" s="8" t="s">
        <v>23</v>
      </c>
      <c r="C272" s="9">
        <v>46042</v>
      </c>
      <c r="D272" s="10" t="s">
        <v>27</v>
      </c>
      <c r="E272" s="10" t="s">
        <v>62</v>
      </c>
      <c r="F272" s="11">
        <v>740</v>
      </c>
      <c r="G272" s="12" t="s">
        <v>24</v>
      </c>
      <c r="H272" s="15">
        <v>46042</v>
      </c>
      <c r="I272" s="16" t="s">
        <v>27</v>
      </c>
      <c r="J272" s="16" t="s">
        <v>3</v>
      </c>
      <c r="K272" s="17">
        <v>60</v>
      </c>
      <c r="O272" t="str" cm="1">
        <f t="array" ref="O272">_xlfn.LET(
_xlpm.corp,$I272,_xlpm.key,$M$2:$M$200,_xlpm.name,$N$2:$N$200,_xlpm.hits,_xlfn._xlws.FILTER(_xlpm.name,ISNUMBER(SEARCH(_xlpm.key,_xlpm.corp))),
IFERROR(INDEX(_xlpm.hits,1),_xlpm.corp))</f>
        <v>東レ</v>
      </c>
      <c r="P272" t="str">
        <f t="shared" ref="P272:P335" si="22">IFERROR(TEXT(DATEVALUE(SUBSTITUTE(SUBSTITUTE(H272,".","/"),"-","/")),"yyyy-mm-dd"),
TEXT(H272,"yyyy-mm-dd"))</f>
        <v>2026-01-20</v>
      </c>
      <c r="Q272" t="str">
        <f t="shared" si="16"/>
        <v>東レ/加工BL</v>
      </c>
      <c r="R272" t="str">
        <f t="shared" ref="R272:R335" si="23">IF(
  AND(ISNUMBER(SEARCH("加工品",SUBSTITUTE(J272,"　"," "))),ISNUMBER(SEARCH("ベビーリーフ",SUBSTITUTE(J272,"　"," ")))),
  "加工BL",
  IF(LEFT(TRIM(SUBSTITUTE(J272,"　"," ")),5)="ベビーリーフ",
     "BL"&amp;TRIM(MID(TRIM(SUBSTITUTE(J272,"　"," ")),FIND(" ",TRIM(SUBSTITUTE(J272,"　"," "))&amp;" ")+1,255)),
     TRIM(SUBSTITUTE(J272,"　"," "))
  )
)</f>
        <v>加工BL</v>
      </c>
      <c r="S272">
        <f t="shared" ref="S272:S335" si="24">IF(K272="", "", --SUBSTITUTE(K272, ",", ""))</f>
        <v>60</v>
      </c>
    </row>
    <row r="273" spans="1:19">
      <c r="A273" s="13">
        <v>72114</v>
      </c>
      <c r="B273" s="14" t="s">
        <v>23</v>
      </c>
      <c r="C273" s="15">
        <v>46042</v>
      </c>
      <c r="D273" s="16" t="s">
        <v>27</v>
      </c>
      <c r="E273" s="16" t="s">
        <v>3</v>
      </c>
      <c r="F273" s="17">
        <v>60</v>
      </c>
      <c r="G273" s="18" t="s">
        <v>24</v>
      </c>
      <c r="H273" s="9">
        <v>46042</v>
      </c>
      <c r="I273" s="10" t="s">
        <v>57</v>
      </c>
      <c r="J273" s="10" t="s">
        <v>3</v>
      </c>
      <c r="K273" s="11">
        <v>140</v>
      </c>
      <c r="O273" t="str" cm="1">
        <f t="array" ref="O273">_xlfn.LET(
_xlpm.corp,$I273,_xlpm.key,$M$2:$M$200,_xlpm.name,$N$2:$N$200,_xlpm.hits,_xlfn._xlws.FILTER(_xlpm.name,ISNUMBER(SEARCH(_xlpm.key,_xlpm.corp))),
IFERROR(INDEX(_xlpm.hits,1),_xlpm.corp))</f>
        <v>QB</v>
      </c>
      <c r="P273" t="str">
        <f t="shared" si="22"/>
        <v>2026-01-20</v>
      </c>
      <c r="Q273" t="str">
        <f t="shared" si="16"/>
        <v>QB/加工BL</v>
      </c>
      <c r="R273" t="str">
        <f t="shared" si="23"/>
        <v>加工BL</v>
      </c>
      <c r="S273">
        <f t="shared" si="24"/>
        <v>140</v>
      </c>
    </row>
    <row r="274" spans="1:19">
      <c r="A274" s="7">
        <v>72113</v>
      </c>
      <c r="B274" s="8" t="s">
        <v>23</v>
      </c>
      <c r="C274" s="9">
        <v>46042</v>
      </c>
      <c r="D274" s="10" t="s">
        <v>57</v>
      </c>
      <c r="E274" s="10" t="s">
        <v>3</v>
      </c>
      <c r="F274" s="11">
        <v>140</v>
      </c>
      <c r="G274" s="12" t="s">
        <v>24</v>
      </c>
      <c r="H274" s="15">
        <v>46042</v>
      </c>
      <c r="I274" s="16" t="s">
        <v>57</v>
      </c>
      <c r="J274" s="16" t="s">
        <v>4</v>
      </c>
      <c r="K274" s="17">
        <v>100</v>
      </c>
      <c r="O274" t="str" cm="1">
        <f t="array" ref="O274">_xlfn.LET(
_xlpm.corp,$I274,_xlpm.key,$M$2:$M$200,_xlpm.name,$N$2:$N$200,_xlpm.hits,_xlfn._xlws.FILTER(_xlpm.name,ISNUMBER(SEARCH(_xlpm.key,_xlpm.corp))),
IFERROR(INDEX(_xlpm.hits,1),_xlpm.corp))</f>
        <v>QB</v>
      </c>
      <c r="P274" t="str">
        <f t="shared" si="22"/>
        <v>2026-01-20</v>
      </c>
      <c r="Q274" t="str">
        <f t="shared" si="16"/>
        <v>QB</v>
      </c>
      <c r="R274" t="str">
        <f t="shared" si="23"/>
        <v>ベビーリーフ ピノグリーン</v>
      </c>
      <c r="S274">
        <f t="shared" si="24"/>
        <v>100</v>
      </c>
    </row>
    <row r="275" spans="1:19">
      <c r="A275" s="13">
        <v>72112</v>
      </c>
      <c r="B275" s="14" t="s">
        <v>23</v>
      </c>
      <c r="C275" s="15">
        <v>46042</v>
      </c>
      <c r="D275" s="16" t="s">
        <v>57</v>
      </c>
      <c r="E275" s="16" t="s">
        <v>4</v>
      </c>
      <c r="F275" s="17">
        <v>100</v>
      </c>
      <c r="G275" s="18" t="s">
        <v>24</v>
      </c>
      <c r="H275" s="9">
        <v>46042</v>
      </c>
      <c r="I275" s="10" t="s">
        <v>65</v>
      </c>
      <c r="J275" s="10" t="s">
        <v>2</v>
      </c>
      <c r="K275" s="11">
        <v>580</v>
      </c>
      <c r="O275" t="str" cm="1">
        <f t="array" ref="O275">_xlfn.LET(
_xlpm.corp,$I275,_xlpm.key,$M$2:$M$200,_xlpm.name,$N$2:$N$200,_xlpm.hits,_xlfn._xlws.FILTER(_xlpm.name,ISNUMBER(SEARCH(_xlpm.key,_xlpm.corp))),
IFERROR(INDEX(_xlpm.hits,1),_xlpm.corp))</f>
        <v>マルテー</v>
      </c>
      <c r="P275" t="str">
        <f t="shared" si="22"/>
        <v>2026-01-20</v>
      </c>
      <c r="Q275" t="str">
        <f t="shared" si="16"/>
        <v>マルテー</v>
      </c>
      <c r="R275" t="str">
        <f t="shared" si="23"/>
        <v>ベビーリーフ グリーンオーク</v>
      </c>
      <c r="S275">
        <f t="shared" si="24"/>
        <v>580</v>
      </c>
    </row>
    <row r="276" spans="1:19">
      <c r="A276" s="7">
        <v>72111</v>
      </c>
      <c r="B276" s="8" t="s">
        <v>23</v>
      </c>
      <c r="C276" s="9">
        <v>46042</v>
      </c>
      <c r="D276" s="10" t="s">
        <v>65</v>
      </c>
      <c r="E276" s="10" t="s">
        <v>2</v>
      </c>
      <c r="F276" s="11">
        <v>580</v>
      </c>
      <c r="G276" s="12" t="s">
        <v>24</v>
      </c>
      <c r="H276" s="15">
        <v>46042</v>
      </c>
      <c r="I276" s="16" t="s">
        <v>57</v>
      </c>
      <c r="J276" s="16" t="s">
        <v>3</v>
      </c>
      <c r="K276" s="17">
        <v>80</v>
      </c>
      <c r="O276" t="str" cm="1">
        <f t="array" ref="O276">_xlfn.LET(
_xlpm.corp,$I276,_xlpm.key,$M$2:$M$200,_xlpm.name,$N$2:$N$200,_xlpm.hits,_xlfn._xlws.FILTER(_xlpm.name,ISNUMBER(SEARCH(_xlpm.key,_xlpm.corp))),
IFERROR(INDEX(_xlpm.hits,1),_xlpm.corp))</f>
        <v>QB</v>
      </c>
      <c r="P276" t="str">
        <f t="shared" si="22"/>
        <v>2026-01-20</v>
      </c>
      <c r="Q276" t="str">
        <f t="shared" si="16"/>
        <v>QB/加工BL</v>
      </c>
      <c r="R276" t="str">
        <f t="shared" si="23"/>
        <v>加工BL</v>
      </c>
      <c r="S276">
        <f t="shared" si="24"/>
        <v>80</v>
      </c>
    </row>
    <row r="277" spans="1:19">
      <c r="A277" s="13">
        <v>72110</v>
      </c>
      <c r="B277" s="14" t="s">
        <v>23</v>
      </c>
      <c r="C277" s="15">
        <v>46042</v>
      </c>
      <c r="D277" s="16" t="s">
        <v>57</v>
      </c>
      <c r="E277" s="16" t="s">
        <v>3</v>
      </c>
      <c r="F277" s="17">
        <v>80</v>
      </c>
      <c r="G277" s="18" t="s">
        <v>24</v>
      </c>
      <c r="H277" s="9">
        <v>46042</v>
      </c>
      <c r="I277" s="10" t="s">
        <v>57</v>
      </c>
      <c r="J277" s="10" t="s">
        <v>2</v>
      </c>
      <c r="K277" s="11">
        <v>140</v>
      </c>
      <c r="O277" t="str" cm="1">
        <f t="array" ref="O277">_xlfn.LET(
_xlpm.corp,$I277,_xlpm.key,$M$2:$M$200,_xlpm.name,$N$2:$N$200,_xlpm.hits,_xlfn._xlws.FILTER(_xlpm.name,ISNUMBER(SEARCH(_xlpm.key,_xlpm.corp))),
IFERROR(INDEX(_xlpm.hits,1),_xlpm.corp))</f>
        <v>QB</v>
      </c>
      <c r="P277" t="str">
        <f t="shared" si="22"/>
        <v>2026-01-20</v>
      </c>
      <c r="Q277" t="str">
        <f t="shared" si="16"/>
        <v>QB</v>
      </c>
      <c r="R277" t="str">
        <f t="shared" si="23"/>
        <v>ベビーリーフ グリーンオーク</v>
      </c>
      <c r="S277">
        <f t="shared" si="24"/>
        <v>140</v>
      </c>
    </row>
    <row r="278" spans="1:19">
      <c r="A278" s="7">
        <v>72109</v>
      </c>
      <c r="B278" s="8" t="s">
        <v>23</v>
      </c>
      <c r="C278" s="9">
        <v>46042</v>
      </c>
      <c r="D278" s="10" t="s">
        <v>57</v>
      </c>
      <c r="E278" s="10" t="s">
        <v>2</v>
      </c>
      <c r="F278" s="11">
        <v>140</v>
      </c>
      <c r="G278" s="12" t="s">
        <v>24</v>
      </c>
      <c r="H278" s="15">
        <v>46042</v>
      </c>
      <c r="I278" s="16" t="s">
        <v>72</v>
      </c>
      <c r="J278" s="16" t="s">
        <v>11</v>
      </c>
      <c r="K278" s="17">
        <v>840</v>
      </c>
      <c r="O278" t="str" cm="1">
        <f t="array" ref="O278">_xlfn.LET(
_xlpm.corp,$I278,_xlpm.key,$M$2:$M$200,_xlpm.name,$N$2:$N$200,_xlpm.hits,_xlfn._xlws.FILTER(_xlpm.name,ISNUMBER(SEARCH(_xlpm.key,_xlpm.corp))),
IFERROR(INDEX(_xlpm.hits,1),_xlpm.corp))</f>
        <v>岡部</v>
      </c>
      <c r="P278" t="str">
        <f t="shared" si="22"/>
        <v>2026-01-20</v>
      </c>
      <c r="Q278" t="str">
        <f t="shared" si="16"/>
        <v>岡部</v>
      </c>
      <c r="R278" t="str">
        <f t="shared" si="23"/>
        <v>ベビーリーフ レッドオーク</v>
      </c>
      <c r="S278">
        <f t="shared" si="24"/>
        <v>840</v>
      </c>
    </row>
    <row r="279" spans="1:19">
      <c r="A279" s="13">
        <v>72108</v>
      </c>
      <c r="B279" s="14" t="s">
        <v>23</v>
      </c>
      <c r="C279" s="15">
        <v>46042</v>
      </c>
      <c r="D279" s="16" t="s">
        <v>72</v>
      </c>
      <c r="E279" s="16" t="s">
        <v>11</v>
      </c>
      <c r="F279" s="17">
        <v>840</v>
      </c>
      <c r="G279" s="18" t="s">
        <v>24</v>
      </c>
      <c r="H279" s="9">
        <v>46042</v>
      </c>
      <c r="I279" s="10" t="s">
        <v>27</v>
      </c>
      <c r="J279" s="10" t="s">
        <v>2</v>
      </c>
      <c r="K279" s="11">
        <v>220</v>
      </c>
      <c r="O279" t="str" cm="1">
        <f t="array" ref="O279">_xlfn.LET(
_xlpm.corp,$I279,_xlpm.key,$M$2:$M$200,_xlpm.name,$N$2:$N$200,_xlpm.hits,_xlfn._xlws.FILTER(_xlpm.name,ISNUMBER(SEARCH(_xlpm.key,_xlpm.corp))),
IFERROR(INDEX(_xlpm.hits,1),_xlpm.corp))</f>
        <v>東レ</v>
      </c>
      <c r="P279" t="str">
        <f t="shared" si="22"/>
        <v>2026-01-20</v>
      </c>
      <c r="Q279" t="str">
        <f t="shared" si="16"/>
        <v>東レ</v>
      </c>
      <c r="R279" t="str">
        <f t="shared" si="23"/>
        <v>ベビーリーフ グリーンオーク</v>
      </c>
      <c r="S279">
        <f t="shared" si="24"/>
        <v>220</v>
      </c>
    </row>
    <row r="280" spans="1:19">
      <c r="A280" s="7">
        <v>72107</v>
      </c>
      <c r="B280" s="8" t="s">
        <v>23</v>
      </c>
      <c r="C280" s="9">
        <v>46042</v>
      </c>
      <c r="D280" s="10" t="s">
        <v>27</v>
      </c>
      <c r="E280" s="10" t="s">
        <v>2</v>
      </c>
      <c r="F280" s="11">
        <v>220</v>
      </c>
      <c r="G280" s="12" t="s">
        <v>24</v>
      </c>
      <c r="H280" s="15">
        <v>46042</v>
      </c>
      <c r="I280" s="16" t="s">
        <v>60</v>
      </c>
      <c r="J280" s="16" t="s">
        <v>4</v>
      </c>
      <c r="K280" s="17">
        <v>220</v>
      </c>
      <c r="O280" t="str" cm="1">
        <f t="array" ref="O280">_xlfn.LET(
_xlpm.corp,$I280,_xlpm.key,$M$2:$M$200,_xlpm.name,$N$2:$N$200,_xlpm.hits,_xlfn._xlws.FILTER(_xlpm.name,ISNUMBER(SEARCH(_xlpm.key,_xlpm.corp))),
IFERROR(INDEX(_xlpm.hits,1),_xlpm.corp))</f>
        <v>サンテレホン</v>
      </c>
      <c r="P280" t="str">
        <f t="shared" si="22"/>
        <v>2026-01-20</v>
      </c>
      <c r="Q280" t="str">
        <f t="shared" si="16"/>
        <v>サンテレホン</v>
      </c>
      <c r="R280" t="str">
        <f t="shared" si="23"/>
        <v>ベビーリーフ ピノグリーン</v>
      </c>
      <c r="S280">
        <f t="shared" si="24"/>
        <v>220</v>
      </c>
    </row>
    <row r="281" spans="1:19">
      <c r="A281" s="13">
        <v>72106</v>
      </c>
      <c r="B281" s="14" t="s">
        <v>23</v>
      </c>
      <c r="C281" s="15">
        <v>46042</v>
      </c>
      <c r="D281" s="16" t="s">
        <v>60</v>
      </c>
      <c r="E281" s="16" t="s">
        <v>4</v>
      </c>
      <c r="F281" s="17">
        <v>220</v>
      </c>
      <c r="G281" s="18" t="s">
        <v>24</v>
      </c>
      <c r="H281" s="9">
        <v>46042</v>
      </c>
      <c r="I281" s="10" t="s">
        <v>69</v>
      </c>
      <c r="J281" s="10" t="s">
        <v>2</v>
      </c>
      <c r="K281" s="11">
        <v>500</v>
      </c>
      <c r="O281" t="str" cm="1">
        <f t="array" ref="O281">_xlfn.LET(
_xlpm.corp,$I281,_xlpm.key,$M$2:$M$200,_xlpm.name,$N$2:$N$200,_xlpm.hits,_xlfn._xlws.FILTER(_xlpm.name,ISNUMBER(SEARCH(_xlpm.key,_xlpm.corp))),
IFERROR(INDEX(_xlpm.hits,1),_xlpm.corp))</f>
        <v>バリュエンス</v>
      </c>
      <c r="P281" t="str">
        <f t="shared" si="22"/>
        <v>2026-01-20</v>
      </c>
      <c r="Q281" t="str">
        <f t="shared" si="16"/>
        <v>バリュエンス</v>
      </c>
      <c r="R281" t="str">
        <f t="shared" si="23"/>
        <v>ベビーリーフ グリーンオーク</v>
      </c>
      <c r="S281">
        <f t="shared" si="24"/>
        <v>500</v>
      </c>
    </row>
    <row r="282" spans="1:19">
      <c r="A282" s="7">
        <v>72105</v>
      </c>
      <c r="B282" s="8" t="s">
        <v>23</v>
      </c>
      <c r="C282" s="9">
        <v>46042</v>
      </c>
      <c r="D282" s="10" t="s">
        <v>69</v>
      </c>
      <c r="E282" s="10" t="s">
        <v>2</v>
      </c>
      <c r="F282" s="11">
        <v>500</v>
      </c>
      <c r="G282" s="12" t="s">
        <v>24</v>
      </c>
      <c r="H282" s="15">
        <v>46042</v>
      </c>
      <c r="I282" s="16" t="s">
        <v>70</v>
      </c>
      <c r="J282" s="16" t="s">
        <v>9</v>
      </c>
      <c r="K282" s="19">
        <v>1900</v>
      </c>
      <c r="O282" t="str" cm="1">
        <f t="array" ref="O282">_xlfn.LET(
_xlpm.corp,$I282,_xlpm.key,$M$2:$M$200,_xlpm.name,$N$2:$N$200,_xlpm.hits,_xlfn._xlws.FILTER(_xlpm.name,ISNUMBER(SEARCH(_xlpm.key,_xlpm.corp))),
IFERROR(INDEX(_xlpm.hits,1),_xlpm.corp))</f>
        <v>富士機械</v>
      </c>
      <c r="P282" t="str">
        <f t="shared" si="22"/>
        <v>2026-01-20</v>
      </c>
      <c r="Q282" t="str">
        <f t="shared" si="16"/>
        <v>富士機械</v>
      </c>
      <c r="R282" t="str">
        <f t="shared" si="23"/>
        <v>ベビーリーフ ロロロッサ</v>
      </c>
      <c r="S282">
        <f t="shared" si="24"/>
        <v>1900</v>
      </c>
    </row>
    <row r="283" spans="1:19">
      <c r="A283" s="13">
        <v>72104</v>
      </c>
      <c r="B283" s="14" t="s">
        <v>23</v>
      </c>
      <c r="C283" s="15">
        <v>46042</v>
      </c>
      <c r="D283" s="16" t="s">
        <v>70</v>
      </c>
      <c r="E283" s="16" t="s">
        <v>9</v>
      </c>
      <c r="F283" s="19">
        <v>1900</v>
      </c>
      <c r="G283" s="18" t="s">
        <v>24</v>
      </c>
      <c r="H283" s="9">
        <v>46042</v>
      </c>
      <c r="I283" s="10" t="s">
        <v>59</v>
      </c>
      <c r="J283" s="10" t="s">
        <v>3</v>
      </c>
      <c r="K283" s="11">
        <v>120</v>
      </c>
      <c r="O283" t="str" cm="1">
        <f t="array" ref="O283">_xlfn.LET(
_xlpm.corp,$I283,_xlpm.key,$M$2:$M$200,_xlpm.name,$N$2:$N$200,_xlpm.hits,_xlfn._xlws.FILTER(_xlpm.name,ISNUMBER(SEARCH(_xlpm.key,_xlpm.corp))),
IFERROR(INDEX(_xlpm.hits,1),_xlpm.corp))</f>
        <v>三和</v>
      </c>
      <c r="P283" t="str">
        <f t="shared" si="22"/>
        <v>2026-01-20</v>
      </c>
      <c r="Q283" t="str">
        <f t="shared" si="16"/>
        <v>三和/加工BL</v>
      </c>
      <c r="R283" t="str">
        <f t="shared" si="23"/>
        <v>加工BL</v>
      </c>
      <c r="S283">
        <f t="shared" si="24"/>
        <v>120</v>
      </c>
    </row>
    <row r="284" spans="1:19">
      <c r="A284" s="7">
        <v>72103</v>
      </c>
      <c r="B284" s="8" t="s">
        <v>23</v>
      </c>
      <c r="C284" s="9">
        <v>46042</v>
      </c>
      <c r="D284" s="10" t="s">
        <v>59</v>
      </c>
      <c r="E284" s="10" t="s">
        <v>3</v>
      </c>
      <c r="F284" s="11">
        <v>120</v>
      </c>
      <c r="G284" s="12" t="s">
        <v>24</v>
      </c>
      <c r="H284" s="15">
        <v>46042</v>
      </c>
      <c r="I284" s="16" t="s">
        <v>27</v>
      </c>
      <c r="J284" s="16" t="s">
        <v>9</v>
      </c>
      <c r="K284" s="17">
        <v>100</v>
      </c>
      <c r="O284" t="str" cm="1">
        <f t="array" ref="O284">_xlfn.LET(
_xlpm.corp,$I284,_xlpm.key,$M$2:$M$200,_xlpm.name,$N$2:$N$200,_xlpm.hits,_xlfn._xlws.FILTER(_xlpm.name,ISNUMBER(SEARCH(_xlpm.key,_xlpm.corp))),
IFERROR(INDEX(_xlpm.hits,1),_xlpm.corp))</f>
        <v>東レ</v>
      </c>
      <c r="P284" t="str">
        <f t="shared" si="22"/>
        <v>2026-01-20</v>
      </c>
      <c r="Q284" t="str">
        <f t="shared" si="16"/>
        <v>東レ</v>
      </c>
      <c r="R284" t="str">
        <f t="shared" si="23"/>
        <v>ベビーリーフ ロロロッサ</v>
      </c>
      <c r="S284">
        <f t="shared" si="24"/>
        <v>100</v>
      </c>
    </row>
    <row r="285" spans="1:19">
      <c r="A285" s="13">
        <v>72102</v>
      </c>
      <c r="B285" s="14" t="s">
        <v>23</v>
      </c>
      <c r="C285" s="15">
        <v>46042</v>
      </c>
      <c r="D285" s="16" t="s">
        <v>27</v>
      </c>
      <c r="E285" s="16" t="s">
        <v>9</v>
      </c>
      <c r="F285" s="17">
        <v>100</v>
      </c>
      <c r="G285" s="18" t="s">
        <v>24</v>
      </c>
      <c r="H285" s="9">
        <v>46042</v>
      </c>
      <c r="I285" s="10" t="s">
        <v>71</v>
      </c>
      <c r="J285" s="10" t="s">
        <v>12</v>
      </c>
      <c r="K285" s="11">
        <v>780</v>
      </c>
      <c r="O285" t="str" cm="1">
        <f t="array" ref="O285">_xlfn.LET(
_xlpm.corp,$I285,_xlpm.key,$M$2:$M$200,_xlpm.name,$N$2:$N$200,_xlpm.hits,_xlfn._xlws.FILTER(_xlpm.name,ISNUMBER(SEARCH(_xlpm.key,_xlpm.corp))),
IFERROR(INDEX(_xlpm.hits,1),_xlpm.corp))</f>
        <v>ソリトン</v>
      </c>
      <c r="P285" t="str">
        <f t="shared" si="22"/>
        <v>2026-01-20</v>
      </c>
      <c r="Q285" t="str">
        <f t="shared" si="16"/>
        <v>ソリトン/葉物野菜</v>
      </c>
      <c r="R285" t="str">
        <f t="shared" si="23"/>
        <v>ブロッコリースプラウト</v>
      </c>
      <c r="S285">
        <f t="shared" si="24"/>
        <v>780</v>
      </c>
    </row>
    <row r="286" spans="1:19">
      <c r="A286" s="7">
        <v>72101</v>
      </c>
      <c r="B286" s="8" t="s">
        <v>23</v>
      </c>
      <c r="C286" s="9">
        <v>46042</v>
      </c>
      <c r="D286" s="10" t="s">
        <v>71</v>
      </c>
      <c r="E286" s="10" t="s">
        <v>12</v>
      </c>
      <c r="F286" s="11">
        <v>780</v>
      </c>
      <c r="G286" s="12" t="s">
        <v>24</v>
      </c>
      <c r="H286" s="15">
        <v>46042</v>
      </c>
      <c r="I286" s="16" t="s">
        <v>27</v>
      </c>
      <c r="J286" s="16" t="s">
        <v>11</v>
      </c>
      <c r="K286" s="17">
        <v>260</v>
      </c>
      <c r="O286" t="str" cm="1">
        <f t="array" ref="O286">_xlfn.LET(
_xlpm.corp,$I286,_xlpm.key,$M$2:$M$200,_xlpm.name,$N$2:$N$200,_xlpm.hits,_xlfn._xlws.FILTER(_xlpm.name,ISNUMBER(SEARCH(_xlpm.key,_xlpm.corp))),
IFERROR(INDEX(_xlpm.hits,1),_xlpm.corp))</f>
        <v>東レ</v>
      </c>
      <c r="P286" t="str">
        <f t="shared" si="22"/>
        <v>2026-01-20</v>
      </c>
      <c r="Q286" t="str">
        <f t="shared" si="16"/>
        <v>東レ</v>
      </c>
      <c r="R286" t="str">
        <f t="shared" si="23"/>
        <v>ベビーリーフ レッドオーク</v>
      </c>
      <c r="S286">
        <f t="shared" si="24"/>
        <v>260</v>
      </c>
    </row>
    <row r="287" spans="1:19">
      <c r="A287" s="13">
        <v>72100</v>
      </c>
      <c r="B287" s="14" t="s">
        <v>23</v>
      </c>
      <c r="C287" s="15">
        <v>46042</v>
      </c>
      <c r="D287" s="16" t="s">
        <v>27</v>
      </c>
      <c r="E287" s="16" t="s">
        <v>11</v>
      </c>
      <c r="F287" s="17">
        <v>260</v>
      </c>
      <c r="G287" s="18" t="s">
        <v>24</v>
      </c>
      <c r="H287" s="9">
        <v>46042</v>
      </c>
      <c r="I287" s="10" t="s">
        <v>26</v>
      </c>
      <c r="J287" s="10" t="s">
        <v>3</v>
      </c>
      <c r="K287" s="11">
        <v>380</v>
      </c>
      <c r="O287" t="str" cm="1">
        <f t="array" ref="O287">_xlfn.LET(
_xlpm.corp,$I287,_xlpm.key,$M$2:$M$200,_xlpm.name,$N$2:$N$200,_xlpm.hits,_xlfn._xlws.FILTER(_xlpm.name,ISNUMBER(SEARCH(_xlpm.key,_xlpm.corp))),
IFERROR(INDEX(_xlpm.hits,1),_xlpm.corp))</f>
        <v>日建</v>
      </c>
      <c r="P287" t="str">
        <f t="shared" si="22"/>
        <v>2026-01-20</v>
      </c>
      <c r="Q287" t="str">
        <f t="shared" si="16"/>
        <v>日建/加工BL</v>
      </c>
      <c r="R287" t="str">
        <f t="shared" si="23"/>
        <v>加工BL</v>
      </c>
      <c r="S287">
        <f t="shared" si="24"/>
        <v>380</v>
      </c>
    </row>
    <row r="288" spans="1:19">
      <c r="A288" s="7">
        <v>72099</v>
      </c>
      <c r="B288" s="8" t="s">
        <v>23</v>
      </c>
      <c r="C288" s="9">
        <v>46042</v>
      </c>
      <c r="D288" s="10" t="s">
        <v>26</v>
      </c>
      <c r="E288" s="10" t="s">
        <v>3</v>
      </c>
      <c r="F288" s="11">
        <v>380</v>
      </c>
      <c r="G288" s="12" t="s">
        <v>24</v>
      </c>
      <c r="H288" s="15">
        <v>46042</v>
      </c>
      <c r="I288" s="16" t="s">
        <v>26</v>
      </c>
      <c r="J288" s="16" t="s">
        <v>2</v>
      </c>
      <c r="K288" s="17">
        <v>320</v>
      </c>
      <c r="O288" t="str" cm="1">
        <f t="array" ref="O288">_xlfn.LET(
_xlpm.corp,$I288,_xlpm.key,$M$2:$M$200,_xlpm.name,$N$2:$N$200,_xlpm.hits,_xlfn._xlws.FILTER(_xlpm.name,ISNUMBER(SEARCH(_xlpm.key,_xlpm.corp))),
IFERROR(INDEX(_xlpm.hits,1),_xlpm.corp))</f>
        <v>日建</v>
      </c>
      <c r="P288" t="str">
        <f t="shared" si="22"/>
        <v>2026-01-20</v>
      </c>
      <c r="Q288" t="str">
        <f t="shared" si="16"/>
        <v>日建</v>
      </c>
      <c r="R288" t="str">
        <f t="shared" si="23"/>
        <v>ベビーリーフ グリーンオーク</v>
      </c>
      <c r="S288">
        <f t="shared" si="24"/>
        <v>320</v>
      </c>
    </row>
    <row r="289" spans="1:19">
      <c r="A289" s="13">
        <v>72098</v>
      </c>
      <c r="B289" s="14" t="s">
        <v>23</v>
      </c>
      <c r="C289" s="15">
        <v>46042</v>
      </c>
      <c r="D289" s="16" t="s">
        <v>26</v>
      </c>
      <c r="E289" s="16" t="s">
        <v>2</v>
      </c>
      <c r="F289" s="17">
        <v>320</v>
      </c>
      <c r="G289" s="18" t="s">
        <v>24</v>
      </c>
      <c r="H289" s="9">
        <v>46042</v>
      </c>
      <c r="I289" s="10" t="s">
        <v>28</v>
      </c>
      <c r="J289" s="10" t="s">
        <v>3</v>
      </c>
      <c r="K289" s="11">
        <v>220</v>
      </c>
      <c r="O289" t="str" cm="1">
        <f t="array" ref="O289">_xlfn.LET(
_xlpm.corp,$I289,_xlpm.key,$M$2:$M$200,_xlpm.name,$N$2:$N$200,_xlpm.hits,_xlfn._xlws.FILTER(_xlpm.name,ISNUMBER(SEARCH(_xlpm.key,_xlpm.corp))),
IFERROR(INDEX(_xlpm.hits,1),_xlpm.corp))</f>
        <v>牧野フライス</v>
      </c>
      <c r="P289" t="str">
        <f t="shared" si="22"/>
        <v>2026-01-20</v>
      </c>
      <c r="Q289" t="str">
        <f t="shared" si="16"/>
        <v>牧野フライス/加工BL</v>
      </c>
      <c r="R289" t="str">
        <f t="shared" si="23"/>
        <v>加工BL</v>
      </c>
      <c r="S289">
        <f t="shared" si="24"/>
        <v>220</v>
      </c>
    </row>
    <row r="290" spans="1:19">
      <c r="A290" s="7">
        <v>72097</v>
      </c>
      <c r="B290" s="8" t="s">
        <v>23</v>
      </c>
      <c r="C290" s="9">
        <v>46042</v>
      </c>
      <c r="D290" s="10" t="s">
        <v>28</v>
      </c>
      <c r="E290" s="10" t="s">
        <v>3</v>
      </c>
      <c r="F290" s="11">
        <v>220</v>
      </c>
      <c r="G290" s="12" t="s">
        <v>24</v>
      </c>
      <c r="H290" s="15">
        <v>46042</v>
      </c>
      <c r="I290" s="16" t="s">
        <v>58</v>
      </c>
      <c r="J290" s="16" t="s">
        <v>9</v>
      </c>
      <c r="K290" s="17">
        <v>740</v>
      </c>
      <c r="O290" t="str" cm="1">
        <f t="array" ref="O290">_xlfn.LET(
_xlpm.corp,$I290,_xlpm.key,$M$2:$M$200,_xlpm.name,$N$2:$N$200,_xlpm.hits,_xlfn._xlws.FILTER(_xlpm.name,ISNUMBER(SEARCH(_xlpm.key,_xlpm.corp))),
IFERROR(INDEX(_xlpm.hits,1),_xlpm.corp))</f>
        <v>慈誠会</v>
      </c>
      <c r="P290" t="str">
        <f t="shared" si="22"/>
        <v>2026-01-20</v>
      </c>
      <c r="Q290" t="str">
        <f t="shared" si="16"/>
        <v>慈誠会</v>
      </c>
      <c r="R290" t="str">
        <f t="shared" si="23"/>
        <v>ベビーリーフ ロロロッサ</v>
      </c>
      <c r="S290">
        <f t="shared" si="24"/>
        <v>740</v>
      </c>
    </row>
    <row r="291" spans="1:19">
      <c r="A291" s="13">
        <v>72096</v>
      </c>
      <c r="B291" s="14" t="s">
        <v>23</v>
      </c>
      <c r="C291" s="15">
        <v>46042</v>
      </c>
      <c r="D291" s="16" t="s">
        <v>58</v>
      </c>
      <c r="E291" s="16" t="s">
        <v>9</v>
      </c>
      <c r="F291" s="17">
        <v>740</v>
      </c>
      <c r="G291" s="18" t="s">
        <v>24</v>
      </c>
      <c r="H291" s="9">
        <v>46042</v>
      </c>
      <c r="I291" s="10" t="s">
        <v>72</v>
      </c>
      <c r="J291" s="10" t="s">
        <v>11</v>
      </c>
      <c r="K291" s="11">
        <v>440</v>
      </c>
      <c r="O291" t="str" cm="1">
        <f t="array" ref="O291">_xlfn.LET(
_xlpm.corp,$I291,_xlpm.key,$M$2:$M$200,_xlpm.name,$N$2:$N$200,_xlpm.hits,_xlfn._xlws.FILTER(_xlpm.name,ISNUMBER(SEARCH(_xlpm.key,_xlpm.corp))),
IFERROR(INDEX(_xlpm.hits,1),_xlpm.corp))</f>
        <v>岡部</v>
      </c>
      <c r="P291" t="str">
        <f t="shared" si="22"/>
        <v>2026-01-20</v>
      </c>
      <c r="Q291" t="str">
        <f t="shared" si="16"/>
        <v>岡部</v>
      </c>
      <c r="R291" t="str">
        <f t="shared" si="23"/>
        <v>ベビーリーフ レッドオーク</v>
      </c>
      <c r="S291">
        <f t="shared" si="24"/>
        <v>440</v>
      </c>
    </row>
    <row r="292" spans="1:19">
      <c r="A292" s="7">
        <v>72095</v>
      </c>
      <c r="B292" s="8" t="s">
        <v>23</v>
      </c>
      <c r="C292" s="9">
        <v>46042</v>
      </c>
      <c r="D292" s="10" t="s">
        <v>72</v>
      </c>
      <c r="E292" s="10" t="s">
        <v>11</v>
      </c>
      <c r="F292" s="11">
        <v>440</v>
      </c>
      <c r="G292" s="12" t="s">
        <v>24</v>
      </c>
      <c r="H292" s="15">
        <v>46042</v>
      </c>
      <c r="I292" s="16" t="s">
        <v>70</v>
      </c>
      <c r="J292" s="16" t="s">
        <v>62</v>
      </c>
      <c r="K292" s="17">
        <v>840</v>
      </c>
      <c r="O292" t="str" cm="1">
        <f t="array" ref="O292">_xlfn.LET(
_xlpm.corp,$I292,_xlpm.key,$M$2:$M$200,_xlpm.name,$N$2:$N$200,_xlpm.hits,_xlfn._xlws.FILTER(_xlpm.name,ISNUMBER(SEARCH(_xlpm.key,_xlpm.corp))),
IFERROR(INDEX(_xlpm.hits,1),_xlpm.corp))</f>
        <v>富士機械</v>
      </c>
      <c r="P292" t="str">
        <f t="shared" si="22"/>
        <v>2026-01-20</v>
      </c>
      <c r="Q292" t="str">
        <f t="shared" si="16"/>
        <v>富士機械</v>
      </c>
      <c r="R292" t="str">
        <f t="shared" si="23"/>
        <v>ベビーリーフ ロログリーン</v>
      </c>
      <c r="S292">
        <f t="shared" si="24"/>
        <v>840</v>
      </c>
    </row>
    <row r="293" spans="1:19">
      <c r="A293" s="13">
        <v>72094</v>
      </c>
      <c r="B293" s="14" t="s">
        <v>23</v>
      </c>
      <c r="C293" s="15">
        <v>46042</v>
      </c>
      <c r="D293" s="16" t="s">
        <v>70</v>
      </c>
      <c r="E293" s="16" t="s">
        <v>62</v>
      </c>
      <c r="F293" s="17">
        <v>840</v>
      </c>
      <c r="G293" s="18" t="s">
        <v>24</v>
      </c>
      <c r="H293" s="9">
        <v>46042</v>
      </c>
      <c r="I293" s="10" t="s">
        <v>27</v>
      </c>
      <c r="J293" s="10" t="s">
        <v>62</v>
      </c>
      <c r="K293" s="11">
        <v>260</v>
      </c>
      <c r="O293" t="str" cm="1">
        <f t="array" ref="O293">_xlfn.LET(
_xlpm.corp,$I293,_xlpm.key,$M$2:$M$200,_xlpm.name,$N$2:$N$200,_xlpm.hits,_xlfn._xlws.FILTER(_xlpm.name,ISNUMBER(SEARCH(_xlpm.key,_xlpm.corp))),
IFERROR(INDEX(_xlpm.hits,1),_xlpm.corp))</f>
        <v>東レ</v>
      </c>
      <c r="P293" t="str">
        <f t="shared" si="22"/>
        <v>2026-01-20</v>
      </c>
      <c r="Q293" t="str">
        <f t="shared" si="16"/>
        <v>東レ</v>
      </c>
      <c r="R293" t="str">
        <f t="shared" si="23"/>
        <v>ベビーリーフ ロログリーン</v>
      </c>
      <c r="S293">
        <f t="shared" si="24"/>
        <v>260</v>
      </c>
    </row>
    <row r="294" spans="1:19">
      <c r="A294" s="7">
        <v>72093</v>
      </c>
      <c r="B294" s="8" t="s">
        <v>23</v>
      </c>
      <c r="C294" s="9">
        <v>46042</v>
      </c>
      <c r="D294" s="10" t="s">
        <v>27</v>
      </c>
      <c r="E294" s="10" t="s">
        <v>62</v>
      </c>
      <c r="F294" s="11">
        <v>260</v>
      </c>
      <c r="G294" s="12" t="s">
        <v>24</v>
      </c>
      <c r="H294" s="15">
        <v>46042</v>
      </c>
      <c r="I294" s="16" t="s">
        <v>69</v>
      </c>
      <c r="J294" s="16" t="s">
        <v>9</v>
      </c>
      <c r="K294" s="17">
        <v>360</v>
      </c>
      <c r="O294" t="str" cm="1">
        <f t="array" ref="O294">_xlfn.LET(
_xlpm.corp,$I294,_xlpm.key,$M$2:$M$200,_xlpm.name,$N$2:$N$200,_xlpm.hits,_xlfn._xlws.FILTER(_xlpm.name,ISNUMBER(SEARCH(_xlpm.key,_xlpm.corp))),
IFERROR(INDEX(_xlpm.hits,1),_xlpm.corp))</f>
        <v>バリュエンス</v>
      </c>
      <c r="P294" t="str">
        <f t="shared" si="22"/>
        <v>2026-01-20</v>
      </c>
      <c r="Q294" t="str">
        <f t="shared" si="16"/>
        <v>バリュエンス</v>
      </c>
      <c r="R294" t="str">
        <f t="shared" si="23"/>
        <v>ベビーリーフ ロロロッサ</v>
      </c>
      <c r="S294">
        <f t="shared" si="24"/>
        <v>360</v>
      </c>
    </row>
    <row r="295" spans="1:19">
      <c r="A295" s="13">
        <v>72092</v>
      </c>
      <c r="B295" s="14" t="s">
        <v>23</v>
      </c>
      <c r="C295" s="15">
        <v>46042</v>
      </c>
      <c r="D295" s="16" t="s">
        <v>69</v>
      </c>
      <c r="E295" s="16" t="s">
        <v>9</v>
      </c>
      <c r="F295" s="17">
        <v>360</v>
      </c>
      <c r="G295" s="18" t="s">
        <v>24</v>
      </c>
      <c r="H295" s="9">
        <v>46042</v>
      </c>
      <c r="I295" s="10" t="s">
        <v>26</v>
      </c>
      <c r="J295" s="10" t="s">
        <v>11</v>
      </c>
      <c r="K295" s="11">
        <v>140</v>
      </c>
      <c r="O295" t="str" cm="1">
        <f t="array" ref="O295">_xlfn.LET(
_xlpm.corp,$I295,_xlpm.key,$M$2:$M$200,_xlpm.name,$N$2:$N$200,_xlpm.hits,_xlfn._xlws.FILTER(_xlpm.name,ISNUMBER(SEARCH(_xlpm.key,_xlpm.corp))),
IFERROR(INDEX(_xlpm.hits,1),_xlpm.corp))</f>
        <v>日建</v>
      </c>
      <c r="P295" t="str">
        <f t="shared" si="22"/>
        <v>2026-01-20</v>
      </c>
      <c r="Q295" t="str">
        <f t="shared" si="16"/>
        <v>日建</v>
      </c>
      <c r="R295" t="str">
        <f t="shared" si="23"/>
        <v>ベビーリーフ レッドオーク</v>
      </c>
      <c r="S295">
        <f t="shared" si="24"/>
        <v>140</v>
      </c>
    </row>
    <row r="296" spans="1:19">
      <c r="A296" s="7">
        <v>72091</v>
      </c>
      <c r="B296" s="8" t="s">
        <v>23</v>
      </c>
      <c r="C296" s="9">
        <v>46042</v>
      </c>
      <c r="D296" s="10" t="s">
        <v>26</v>
      </c>
      <c r="E296" s="10" t="s">
        <v>11</v>
      </c>
      <c r="F296" s="11">
        <v>140</v>
      </c>
      <c r="G296" s="12" t="s">
        <v>24</v>
      </c>
      <c r="H296" s="15">
        <v>46042</v>
      </c>
      <c r="I296" s="16" t="s">
        <v>26</v>
      </c>
      <c r="J296" s="16" t="s">
        <v>2</v>
      </c>
      <c r="K296" s="17">
        <v>60</v>
      </c>
      <c r="O296" t="str" cm="1">
        <f t="array" ref="O296">_xlfn.LET(
_xlpm.corp,$I296,_xlpm.key,$M$2:$M$200,_xlpm.name,$N$2:$N$200,_xlpm.hits,_xlfn._xlws.FILTER(_xlpm.name,ISNUMBER(SEARCH(_xlpm.key,_xlpm.corp))),
IFERROR(INDEX(_xlpm.hits,1),_xlpm.corp))</f>
        <v>日建</v>
      </c>
      <c r="P296" t="str">
        <f t="shared" si="22"/>
        <v>2026-01-20</v>
      </c>
      <c r="Q296" t="str">
        <f t="shared" si="16"/>
        <v>日建</v>
      </c>
      <c r="R296" t="str">
        <f t="shared" si="23"/>
        <v>ベビーリーフ グリーンオーク</v>
      </c>
      <c r="S296">
        <f t="shared" si="24"/>
        <v>60</v>
      </c>
    </row>
    <row r="297" spans="1:19">
      <c r="A297" s="13">
        <v>72090</v>
      </c>
      <c r="B297" s="14" t="s">
        <v>23</v>
      </c>
      <c r="C297" s="15">
        <v>46042</v>
      </c>
      <c r="D297" s="16" t="s">
        <v>26</v>
      </c>
      <c r="E297" s="16" t="s">
        <v>2</v>
      </c>
      <c r="F297" s="17">
        <v>60</v>
      </c>
      <c r="G297" s="18" t="s">
        <v>24</v>
      </c>
      <c r="H297" s="9">
        <v>46042</v>
      </c>
      <c r="I297" s="10" t="s">
        <v>26</v>
      </c>
      <c r="J297" s="10" t="s">
        <v>29</v>
      </c>
      <c r="K297" s="20">
        <v>3400</v>
      </c>
      <c r="O297" t="str" cm="1">
        <f t="array" ref="O297">_xlfn.LET(
_xlpm.corp,$I297,_xlpm.key,$M$2:$M$200,_xlpm.name,$N$2:$N$200,_xlpm.hits,_xlfn._xlws.FILTER(_xlpm.name,ISNUMBER(SEARCH(_xlpm.key,_xlpm.corp))),
IFERROR(INDEX(_xlpm.hits,1),_xlpm.corp))</f>
        <v>日建</v>
      </c>
      <c r="P297" t="str">
        <f t="shared" si="22"/>
        <v>2026-01-20</v>
      </c>
      <c r="Q297" t="str">
        <f t="shared" si="16"/>
        <v>日建/ミニトマト</v>
      </c>
      <c r="R297" t="str">
        <f t="shared" si="23"/>
        <v>ミニトマト</v>
      </c>
      <c r="S297">
        <f t="shared" si="24"/>
        <v>3400</v>
      </c>
    </row>
    <row r="298" spans="1:19">
      <c r="A298" s="7">
        <v>72089</v>
      </c>
      <c r="B298" s="8" t="s">
        <v>23</v>
      </c>
      <c r="C298" s="9">
        <v>46042</v>
      </c>
      <c r="D298" s="10" t="s">
        <v>26</v>
      </c>
      <c r="E298" s="10" t="s">
        <v>29</v>
      </c>
      <c r="F298" s="20">
        <v>3400</v>
      </c>
      <c r="G298" s="12" t="s">
        <v>24</v>
      </c>
      <c r="H298" s="15">
        <v>46042</v>
      </c>
      <c r="I298" s="16" t="s">
        <v>61</v>
      </c>
      <c r="J298" s="16" t="s">
        <v>62</v>
      </c>
      <c r="K298" s="17">
        <v>500</v>
      </c>
      <c r="O298" t="str" cm="1">
        <f t="array" ref="O298">_xlfn.LET(
_xlpm.corp,$I298,_xlpm.key,$M$2:$M$200,_xlpm.name,$N$2:$N$200,_xlpm.hits,_xlfn._xlws.FILTER(_xlpm.name,ISNUMBER(SEARCH(_xlpm.key,_xlpm.corp))),
IFERROR(INDEX(_xlpm.hits,1),_xlpm.corp))</f>
        <v>Adobe</v>
      </c>
      <c r="P298" t="str">
        <f t="shared" si="22"/>
        <v>2026-01-20</v>
      </c>
      <c r="Q298" t="str">
        <f t="shared" si="16"/>
        <v>Adobe</v>
      </c>
      <c r="R298" t="str">
        <f t="shared" si="23"/>
        <v>ベビーリーフ ロログリーン</v>
      </c>
      <c r="S298">
        <f t="shared" si="24"/>
        <v>500</v>
      </c>
    </row>
    <row r="299" spans="1:19">
      <c r="A299" s="13">
        <v>72088</v>
      </c>
      <c r="B299" s="14" t="s">
        <v>23</v>
      </c>
      <c r="C299" s="15">
        <v>46042</v>
      </c>
      <c r="D299" s="16" t="s">
        <v>61</v>
      </c>
      <c r="E299" s="16" t="s">
        <v>62</v>
      </c>
      <c r="F299" s="17">
        <v>500</v>
      </c>
      <c r="G299" s="18" t="s">
        <v>24</v>
      </c>
      <c r="H299" s="9">
        <v>46042</v>
      </c>
      <c r="I299" s="10" t="s">
        <v>59</v>
      </c>
      <c r="J299" s="10" t="s">
        <v>7</v>
      </c>
      <c r="K299" s="20">
        <v>1560</v>
      </c>
      <c r="O299" t="str" cm="1">
        <f t="array" ref="O299">_xlfn.LET(
_xlpm.corp,$I299,_xlpm.key,$M$2:$M$200,_xlpm.name,$N$2:$N$200,_xlpm.hits,_xlfn._xlws.FILTER(_xlpm.name,ISNUMBER(SEARCH(_xlpm.key,_xlpm.corp))),
IFERROR(INDEX(_xlpm.hits,1),_xlpm.corp))</f>
        <v>三和</v>
      </c>
      <c r="P299" t="str">
        <f t="shared" si="22"/>
        <v>2026-01-20</v>
      </c>
      <c r="Q299" t="str">
        <f t="shared" si="16"/>
        <v>三和/葉物野菜</v>
      </c>
      <c r="R299" t="str">
        <f t="shared" si="23"/>
        <v>レッドオーク</v>
      </c>
      <c r="S299">
        <f t="shared" si="24"/>
        <v>1560</v>
      </c>
    </row>
    <row r="300" spans="1:19">
      <c r="A300" s="7">
        <v>72087</v>
      </c>
      <c r="B300" s="8" t="s">
        <v>23</v>
      </c>
      <c r="C300" s="9">
        <v>46042</v>
      </c>
      <c r="D300" s="10" t="s">
        <v>59</v>
      </c>
      <c r="E300" s="10" t="s">
        <v>7</v>
      </c>
      <c r="F300" s="20">
        <v>1560</v>
      </c>
      <c r="G300" s="12" t="s">
        <v>24</v>
      </c>
      <c r="H300" s="15">
        <v>46042</v>
      </c>
      <c r="I300" s="16" t="s">
        <v>72</v>
      </c>
      <c r="J300" s="16" t="s">
        <v>3</v>
      </c>
      <c r="K300" s="17">
        <v>100</v>
      </c>
      <c r="O300" t="str" cm="1">
        <f t="array" ref="O300">_xlfn.LET(
_xlpm.corp,$I300,_xlpm.key,$M$2:$M$200,_xlpm.name,$N$2:$N$200,_xlpm.hits,_xlfn._xlws.FILTER(_xlpm.name,ISNUMBER(SEARCH(_xlpm.key,_xlpm.corp))),
IFERROR(INDEX(_xlpm.hits,1),_xlpm.corp))</f>
        <v>岡部</v>
      </c>
      <c r="P300" t="str">
        <f t="shared" si="22"/>
        <v>2026-01-20</v>
      </c>
      <c r="Q300" t="str">
        <f t="shared" si="16"/>
        <v>岡部/加工BL</v>
      </c>
      <c r="R300" t="str">
        <f t="shared" si="23"/>
        <v>加工BL</v>
      </c>
      <c r="S300">
        <f t="shared" si="24"/>
        <v>100</v>
      </c>
    </row>
    <row r="301" spans="1:19">
      <c r="A301" s="13">
        <v>72086</v>
      </c>
      <c r="B301" s="14" t="s">
        <v>23</v>
      </c>
      <c r="C301" s="15">
        <v>46042</v>
      </c>
      <c r="D301" s="16" t="s">
        <v>72</v>
      </c>
      <c r="E301" s="16" t="s">
        <v>3</v>
      </c>
      <c r="F301" s="17">
        <v>100</v>
      </c>
      <c r="G301" s="18" t="s">
        <v>24</v>
      </c>
      <c r="H301" s="9">
        <v>46042</v>
      </c>
      <c r="I301" s="10" t="s">
        <v>68</v>
      </c>
      <c r="J301" s="10" t="s">
        <v>2</v>
      </c>
      <c r="K301" s="11">
        <v>260</v>
      </c>
      <c r="O301" t="str" cm="1">
        <f t="array" ref="O301">_xlfn.LET(
_xlpm.corp,$I301,_xlpm.key,$M$2:$M$200,_xlpm.name,$N$2:$N$200,_xlpm.hits,_xlfn._xlws.FILTER(_xlpm.name,ISNUMBER(SEARCH(_xlpm.key,_xlpm.corp))),
IFERROR(INDEX(_xlpm.hits,1),_xlpm.corp))</f>
        <v>昭和女子</v>
      </c>
      <c r="P301" t="str">
        <f t="shared" si="22"/>
        <v>2026-01-20</v>
      </c>
      <c r="Q301" t="str">
        <f t="shared" si="16"/>
        <v>昭和女子</v>
      </c>
      <c r="R301" t="str">
        <f t="shared" si="23"/>
        <v>ベビーリーフ グリーンオーク</v>
      </c>
      <c r="S301">
        <f t="shared" si="24"/>
        <v>260</v>
      </c>
    </row>
    <row r="302" spans="1:19">
      <c r="A302" s="7">
        <v>72085</v>
      </c>
      <c r="B302" s="8" t="s">
        <v>23</v>
      </c>
      <c r="C302" s="9">
        <v>46042</v>
      </c>
      <c r="D302" s="10" t="s">
        <v>68</v>
      </c>
      <c r="E302" s="10" t="s">
        <v>2</v>
      </c>
      <c r="F302" s="11">
        <v>260</v>
      </c>
      <c r="G302" s="12" t="s">
        <v>24</v>
      </c>
      <c r="H302" s="15">
        <v>46042</v>
      </c>
      <c r="I302" s="16" t="s">
        <v>68</v>
      </c>
      <c r="J302" s="16" t="s">
        <v>3</v>
      </c>
      <c r="K302" s="17">
        <v>180</v>
      </c>
      <c r="O302" t="str" cm="1">
        <f t="array" ref="O302">_xlfn.LET(
_xlpm.corp,$I302,_xlpm.key,$M$2:$M$200,_xlpm.name,$N$2:$N$200,_xlpm.hits,_xlfn._xlws.FILTER(_xlpm.name,ISNUMBER(SEARCH(_xlpm.key,_xlpm.corp))),
IFERROR(INDEX(_xlpm.hits,1),_xlpm.corp))</f>
        <v>昭和女子</v>
      </c>
      <c r="P302" t="str">
        <f t="shared" si="22"/>
        <v>2026-01-20</v>
      </c>
      <c r="Q302" t="str">
        <f t="shared" si="16"/>
        <v>昭和女子/加工BL</v>
      </c>
      <c r="R302" t="str">
        <f t="shared" si="23"/>
        <v>加工BL</v>
      </c>
      <c r="S302">
        <f t="shared" si="24"/>
        <v>180</v>
      </c>
    </row>
    <row r="303" spans="1:19">
      <c r="A303" s="13">
        <v>72084</v>
      </c>
      <c r="B303" s="14" t="s">
        <v>23</v>
      </c>
      <c r="C303" s="15">
        <v>46042</v>
      </c>
      <c r="D303" s="16" t="s">
        <v>68</v>
      </c>
      <c r="E303" s="16" t="s">
        <v>3</v>
      </c>
      <c r="F303" s="17">
        <v>180</v>
      </c>
      <c r="G303" s="18" t="s">
        <v>24</v>
      </c>
      <c r="H303" s="9">
        <v>46042</v>
      </c>
      <c r="I303" s="10" t="s">
        <v>57</v>
      </c>
      <c r="J303" s="10" t="s">
        <v>3</v>
      </c>
      <c r="K303" s="11">
        <v>100</v>
      </c>
      <c r="O303" t="str" cm="1">
        <f t="array" ref="O303">_xlfn.LET(
_xlpm.corp,$I303,_xlpm.key,$M$2:$M$200,_xlpm.name,$N$2:$N$200,_xlpm.hits,_xlfn._xlws.FILTER(_xlpm.name,ISNUMBER(SEARCH(_xlpm.key,_xlpm.corp))),
IFERROR(INDEX(_xlpm.hits,1),_xlpm.corp))</f>
        <v>QB</v>
      </c>
      <c r="P303" t="str">
        <f t="shared" si="22"/>
        <v>2026-01-20</v>
      </c>
      <c r="Q303" t="str">
        <f t="shared" si="16"/>
        <v>QB/加工BL</v>
      </c>
      <c r="R303" t="str">
        <f t="shared" si="23"/>
        <v>加工BL</v>
      </c>
      <c r="S303">
        <f t="shared" si="24"/>
        <v>100</v>
      </c>
    </row>
    <row r="304" spans="1:19">
      <c r="A304" s="7">
        <v>72083</v>
      </c>
      <c r="B304" s="8" t="s">
        <v>23</v>
      </c>
      <c r="C304" s="9">
        <v>46042</v>
      </c>
      <c r="D304" s="10" t="s">
        <v>57</v>
      </c>
      <c r="E304" s="10" t="s">
        <v>3</v>
      </c>
      <c r="F304" s="11">
        <v>100</v>
      </c>
      <c r="G304" s="12" t="s">
        <v>24</v>
      </c>
      <c r="H304" s="15">
        <v>46042</v>
      </c>
      <c r="I304" s="16" t="s">
        <v>69</v>
      </c>
      <c r="J304" s="16" t="s">
        <v>9</v>
      </c>
      <c r="K304" s="17">
        <v>260</v>
      </c>
      <c r="O304" t="str" cm="1">
        <f t="array" ref="O304">_xlfn.LET(
_xlpm.corp,$I304,_xlpm.key,$M$2:$M$200,_xlpm.name,$N$2:$N$200,_xlpm.hits,_xlfn._xlws.FILTER(_xlpm.name,ISNUMBER(SEARCH(_xlpm.key,_xlpm.corp))),
IFERROR(INDEX(_xlpm.hits,1),_xlpm.corp))</f>
        <v>バリュエンス</v>
      </c>
      <c r="P304" t="str">
        <f t="shared" si="22"/>
        <v>2026-01-20</v>
      </c>
      <c r="Q304" t="str">
        <f t="shared" si="16"/>
        <v>バリュエンス</v>
      </c>
      <c r="R304" t="str">
        <f t="shared" si="23"/>
        <v>ベビーリーフ ロロロッサ</v>
      </c>
      <c r="S304">
        <f t="shared" si="24"/>
        <v>260</v>
      </c>
    </row>
    <row r="305" spans="1:19">
      <c r="A305" s="13">
        <v>72082</v>
      </c>
      <c r="B305" s="14" t="s">
        <v>23</v>
      </c>
      <c r="C305" s="15">
        <v>46042</v>
      </c>
      <c r="D305" s="16" t="s">
        <v>69</v>
      </c>
      <c r="E305" s="16" t="s">
        <v>9</v>
      </c>
      <c r="F305" s="17">
        <v>260</v>
      </c>
      <c r="G305" s="18" t="s">
        <v>24</v>
      </c>
      <c r="H305" s="9">
        <v>46042</v>
      </c>
      <c r="I305" s="10" t="s">
        <v>58</v>
      </c>
      <c r="J305" s="10" t="s">
        <v>4</v>
      </c>
      <c r="K305" s="11">
        <v>560</v>
      </c>
      <c r="O305" t="str" cm="1">
        <f t="array" ref="O305">_xlfn.LET(
_xlpm.corp,$I305,_xlpm.key,$M$2:$M$200,_xlpm.name,$N$2:$N$200,_xlpm.hits,_xlfn._xlws.FILTER(_xlpm.name,ISNUMBER(SEARCH(_xlpm.key,_xlpm.corp))),
IFERROR(INDEX(_xlpm.hits,1),_xlpm.corp))</f>
        <v>慈誠会</v>
      </c>
      <c r="P305" t="str">
        <f t="shared" si="22"/>
        <v>2026-01-20</v>
      </c>
      <c r="Q305" t="str">
        <f t="shared" si="16"/>
        <v>慈誠会</v>
      </c>
      <c r="R305" t="str">
        <f t="shared" si="23"/>
        <v>ベビーリーフ ピノグリーン</v>
      </c>
      <c r="S305">
        <f t="shared" si="24"/>
        <v>560</v>
      </c>
    </row>
    <row r="306" spans="1:19">
      <c r="A306" s="7">
        <v>72081</v>
      </c>
      <c r="B306" s="8" t="s">
        <v>23</v>
      </c>
      <c r="C306" s="9">
        <v>46042</v>
      </c>
      <c r="D306" s="10" t="s">
        <v>58</v>
      </c>
      <c r="E306" s="10" t="s">
        <v>4</v>
      </c>
      <c r="F306" s="11">
        <v>560</v>
      </c>
      <c r="G306" s="12" t="s">
        <v>24</v>
      </c>
      <c r="H306" s="15">
        <v>46042</v>
      </c>
      <c r="I306" s="16" t="s">
        <v>72</v>
      </c>
      <c r="J306" s="16" t="s">
        <v>2</v>
      </c>
      <c r="K306" s="19">
        <v>2460</v>
      </c>
      <c r="O306" t="str" cm="1">
        <f t="array" ref="O306">_xlfn.LET(
_xlpm.corp,$I306,_xlpm.key,$M$2:$M$200,_xlpm.name,$N$2:$N$200,_xlpm.hits,_xlfn._xlws.FILTER(_xlpm.name,ISNUMBER(SEARCH(_xlpm.key,_xlpm.corp))),
IFERROR(INDEX(_xlpm.hits,1),_xlpm.corp))</f>
        <v>岡部</v>
      </c>
      <c r="P306" t="str">
        <f t="shared" si="22"/>
        <v>2026-01-20</v>
      </c>
      <c r="Q306" t="str">
        <f t="shared" si="16"/>
        <v>岡部</v>
      </c>
      <c r="R306" t="str">
        <f t="shared" si="23"/>
        <v>ベビーリーフ グリーンオーク</v>
      </c>
      <c r="S306">
        <f t="shared" si="24"/>
        <v>2460</v>
      </c>
    </row>
    <row r="307" spans="1:19">
      <c r="A307" s="13">
        <v>72080</v>
      </c>
      <c r="B307" s="14" t="s">
        <v>23</v>
      </c>
      <c r="C307" s="15">
        <v>46042</v>
      </c>
      <c r="D307" s="16" t="s">
        <v>72</v>
      </c>
      <c r="E307" s="16" t="s">
        <v>2</v>
      </c>
      <c r="F307" s="19">
        <v>2460</v>
      </c>
      <c r="G307" s="18" t="s">
        <v>24</v>
      </c>
      <c r="H307" s="9">
        <v>46042</v>
      </c>
      <c r="I307" s="10" t="s">
        <v>61</v>
      </c>
      <c r="J307" s="10" t="s">
        <v>62</v>
      </c>
      <c r="K307" s="11">
        <v>960</v>
      </c>
      <c r="O307" t="str" cm="1">
        <f t="array" ref="O307">_xlfn.LET(
_xlpm.corp,$I307,_xlpm.key,$M$2:$M$200,_xlpm.name,$N$2:$N$200,_xlpm.hits,_xlfn._xlws.FILTER(_xlpm.name,ISNUMBER(SEARCH(_xlpm.key,_xlpm.corp))),
IFERROR(INDEX(_xlpm.hits,1),_xlpm.corp))</f>
        <v>Adobe</v>
      </c>
      <c r="P307" t="str">
        <f t="shared" si="22"/>
        <v>2026-01-20</v>
      </c>
      <c r="Q307" t="str">
        <f t="shared" si="16"/>
        <v>Adobe</v>
      </c>
      <c r="R307" t="str">
        <f t="shared" si="23"/>
        <v>ベビーリーフ ロログリーン</v>
      </c>
      <c r="S307">
        <f t="shared" si="24"/>
        <v>960</v>
      </c>
    </row>
    <row r="308" spans="1:19">
      <c r="A308" s="7">
        <v>72079</v>
      </c>
      <c r="B308" s="8" t="s">
        <v>23</v>
      </c>
      <c r="C308" s="9">
        <v>46042</v>
      </c>
      <c r="D308" s="10" t="s">
        <v>61</v>
      </c>
      <c r="E308" s="10" t="s">
        <v>62</v>
      </c>
      <c r="F308" s="11">
        <v>960</v>
      </c>
      <c r="G308" s="12" t="s">
        <v>24</v>
      </c>
      <c r="H308" s="15">
        <v>46042</v>
      </c>
      <c r="I308" s="16" t="s">
        <v>26</v>
      </c>
      <c r="J308" s="16" t="s">
        <v>9</v>
      </c>
      <c r="K308" s="17">
        <v>200</v>
      </c>
      <c r="O308" t="str" cm="1">
        <f t="array" ref="O308">_xlfn.LET(
_xlpm.corp,$I308,_xlpm.key,$M$2:$M$200,_xlpm.name,$N$2:$N$200,_xlpm.hits,_xlfn._xlws.FILTER(_xlpm.name,ISNUMBER(SEARCH(_xlpm.key,_xlpm.corp))),
IFERROR(INDEX(_xlpm.hits,1),_xlpm.corp))</f>
        <v>日建</v>
      </c>
      <c r="P308" t="str">
        <f t="shared" si="22"/>
        <v>2026-01-20</v>
      </c>
      <c r="Q308" t="str">
        <f t="shared" si="16"/>
        <v>日建</v>
      </c>
      <c r="R308" t="str">
        <f t="shared" si="23"/>
        <v>ベビーリーフ ロロロッサ</v>
      </c>
      <c r="S308">
        <f t="shared" si="24"/>
        <v>200</v>
      </c>
    </row>
    <row r="309" spans="1:19">
      <c r="A309" s="13">
        <v>72078</v>
      </c>
      <c r="B309" s="14" t="s">
        <v>23</v>
      </c>
      <c r="C309" s="15">
        <v>46042</v>
      </c>
      <c r="D309" s="16" t="s">
        <v>26</v>
      </c>
      <c r="E309" s="16" t="s">
        <v>9</v>
      </c>
      <c r="F309" s="17">
        <v>200</v>
      </c>
      <c r="G309" s="18" t="s">
        <v>24</v>
      </c>
      <c r="H309" s="9">
        <v>46042</v>
      </c>
      <c r="I309" s="10" t="s">
        <v>57</v>
      </c>
      <c r="J309" s="10" t="s">
        <v>3</v>
      </c>
      <c r="K309" s="11">
        <v>140</v>
      </c>
      <c r="O309" t="str" cm="1">
        <f t="array" ref="O309">_xlfn.LET(
_xlpm.corp,$I309,_xlpm.key,$M$2:$M$200,_xlpm.name,$N$2:$N$200,_xlpm.hits,_xlfn._xlws.FILTER(_xlpm.name,ISNUMBER(SEARCH(_xlpm.key,_xlpm.corp))),
IFERROR(INDEX(_xlpm.hits,1),_xlpm.corp))</f>
        <v>QB</v>
      </c>
      <c r="P309" t="str">
        <f t="shared" si="22"/>
        <v>2026-01-20</v>
      </c>
      <c r="Q309" t="str">
        <f t="shared" si="16"/>
        <v>QB/加工BL</v>
      </c>
      <c r="R309" t="str">
        <f t="shared" si="23"/>
        <v>加工BL</v>
      </c>
      <c r="S309">
        <f t="shared" si="24"/>
        <v>140</v>
      </c>
    </row>
    <row r="310" spans="1:19">
      <c r="A310" s="7">
        <v>72077</v>
      </c>
      <c r="B310" s="8" t="s">
        <v>23</v>
      </c>
      <c r="C310" s="9">
        <v>46042</v>
      </c>
      <c r="D310" s="10" t="s">
        <v>57</v>
      </c>
      <c r="E310" s="10" t="s">
        <v>3</v>
      </c>
      <c r="F310" s="11">
        <v>140</v>
      </c>
      <c r="G310" s="12" t="s">
        <v>24</v>
      </c>
      <c r="H310" s="15">
        <v>46042</v>
      </c>
      <c r="I310" s="16" t="s">
        <v>57</v>
      </c>
      <c r="J310" s="16" t="s">
        <v>4</v>
      </c>
      <c r="K310" s="17">
        <v>100</v>
      </c>
      <c r="O310" t="str" cm="1">
        <f t="array" ref="O310">_xlfn.LET(
_xlpm.corp,$I310,_xlpm.key,$M$2:$M$200,_xlpm.name,$N$2:$N$200,_xlpm.hits,_xlfn._xlws.FILTER(_xlpm.name,ISNUMBER(SEARCH(_xlpm.key,_xlpm.corp))),
IFERROR(INDEX(_xlpm.hits,1),_xlpm.corp))</f>
        <v>QB</v>
      </c>
      <c r="P310" t="str">
        <f t="shared" si="22"/>
        <v>2026-01-20</v>
      </c>
      <c r="Q310" t="str">
        <f t="shared" si="16"/>
        <v>QB</v>
      </c>
      <c r="R310" t="str">
        <f t="shared" si="23"/>
        <v>ベビーリーフ ピノグリーン</v>
      </c>
      <c r="S310">
        <f t="shared" si="24"/>
        <v>100</v>
      </c>
    </row>
    <row r="311" spans="1:19">
      <c r="A311" s="13">
        <v>72076</v>
      </c>
      <c r="B311" s="14" t="s">
        <v>23</v>
      </c>
      <c r="C311" s="15">
        <v>46042</v>
      </c>
      <c r="D311" s="16" t="s">
        <v>57</v>
      </c>
      <c r="E311" s="16" t="s">
        <v>4</v>
      </c>
      <c r="F311" s="17">
        <v>100</v>
      </c>
      <c r="G311" s="18" t="s">
        <v>24</v>
      </c>
      <c r="H311" s="9">
        <v>46042</v>
      </c>
      <c r="I311" s="10" t="s">
        <v>65</v>
      </c>
      <c r="J311" s="10" t="s">
        <v>2</v>
      </c>
      <c r="K311" s="11">
        <v>520</v>
      </c>
      <c r="O311" t="str" cm="1">
        <f t="array" ref="O311">_xlfn.LET(
_xlpm.corp,$I311,_xlpm.key,$M$2:$M$200,_xlpm.name,$N$2:$N$200,_xlpm.hits,_xlfn._xlws.FILTER(_xlpm.name,ISNUMBER(SEARCH(_xlpm.key,_xlpm.corp))),
IFERROR(INDEX(_xlpm.hits,1),_xlpm.corp))</f>
        <v>マルテー</v>
      </c>
      <c r="P311" t="str">
        <f t="shared" si="22"/>
        <v>2026-01-20</v>
      </c>
      <c r="Q311" t="str">
        <f t="shared" si="16"/>
        <v>マルテー</v>
      </c>
      <c r="R311" t="str">
        <f t="shared" si="23"/>
        <v>ベビーリーフ グリーンオーク</v>
      </c>
      <c r="S311">
        <f t="shared" si="24"/>
        <v>520</v>
      </c>
    </row>
    <row r="312" spans="1:19">
      <c r="A312" s="7">
        <v>72075</v>
      </c>
      <c r="B312" s="8" t="s">
        <v>23</v>
      </c>
      <c r="C312" s="9">
        <v>46042</v>
      </c>
      <c r="D312" s="10" t="s">
        <v>65</v>
      </c>
      <c r="E312" s="10" t="s">
        <v>2</v>
      </c>
      <c r="F312" s="11">
        <v>520</v>
      </c>
      <c r="G312" s="12" t="s">
        <v>24</v>
      </c>
      <c r="H312" s="15">
        <v>46042</v>
      </c>
      <c r="I312" s="16" t="s">
        <v>26</v>
      </c>
      <c r="J312" s="16" t="s">
        <v>2</v>
      </c>
      <c r="K312" s="17">
        <v>80</v>
      </c>
      <c r="O312" t="str" cm="1">
        <f t="array" ref="O312">_xlfn.LET(
_xlpm.corp,$I312,_xlpm.key,$M$2:$M$200,_xlpm.name,$N$2:$N$200,_xlpm.hits,_xlfn._xlws.FILTER(_xlpm.name,ISNUMBER(SEARCH(_xlpm.key,_xlpm.corp))),
IFERROR(INDEX(_xlpm.hits,1),_xlpm.corp))</f>
        <v>日建</v>
      </c>
      <c r="P312" t="str">
        <f t="shared" si="22"/>
        <v>2026-01-20</v>
      </c>
      <c r="Q312" t="str">
        <f t="shared" si="16"/>
        <v>日建</v>
      </c>
      <c r="R312" t="str">
        <f t="shared" si="23"/>
        <v>ベビーリーフ グリーンオーク</v>
      </c>
      <c r="S312">
        <f t="shared" si="24"/>
        <v>80</v>
      </c>
    </row>
    <row r="313" spans="1:19">
      <c r="A313" s="13">
        <v>72074</v>
      </c>
      <c r="B313" s="14" t="s">
        <v>23</v>
      </c>
      <c r="C313" s="15">
        <v>46042</v>
      </c>
      <c r="D313" s="16" t="s">
        <v>26</v>
      </c>
      <c r="E313" s="16" t="s">
        <v>2</v>
      </c>
      <c r="F313" s="17">
        <v>80</v>
      </c>
      <c r="G313" s="18" t="s">
        <v>24</v>
      </c>
      <c r="H313" s="9">
        <v>46042</v>
      </c>
      <c r="I313" s="10" t="s">
        <v>26</v>
      </c>
      <c r="J313" s="10" t="s">
        <v>11</v>
      </c>
      <c r="K313" s="11">
        <v>60</v>
      </c>
      <c r="O313" t="str" cm="1">
        <f t="array" ref="O313">_xlfn.LET(
_xlpm.corp,$I313,_xlpm.key,$M$2:$M$200,_xlpm.name,$N$2:$N$200,_xlpm.hits,_xlfn._xlws.FILTER(_xlpm.name,ISNUMBER(SEARCH(_xlpm.key,_xlpm.corp))),
IFERROR(INDEX(_xlpm.hits,1),_xlpm.corp))</f>
        <v>日建</v>
      </c>
      <c r="P313" t="str">
        <f t="shared" si="22"/>
        <v>2026-01-20</v>
      </c>
      <c r="Q313" t="str">
        <f t="shared" si="16"/>
        <v>日建</v>
      </c>
      <c r="R313" t="str">
        <f t="shared" si="23"/>
        <v>ベビーリーフ レッドオーク</v>
      </c>
      <c r="S313">
        <f t="shared" si="24"/>
        <v>60</v>
      </c>
    </row>
    <row r="314" spans="1:19">
      <c r="A314" s="7">
        <v>72073</v>
      </c>
      <c r="B314" s="8" t="s">
        <v>23</v>
      </c>
      <c r="C314" s="9">
        <v>46042</v>
      </c>
      <c r="D314" s="10" t="s">
        <v>26</v>
      </c>
      <c r="E314" s="10" t="s">
        <v>11</v>
      </c>
      <c r="F314" s="11">
        <v>60</v>
      </c>
      <c r="G314" s="12" t="s">
        <v>24</v>
      </c>
      <c r="H314" s="15">
        <v>46042</v>
      </c>
      <c r="I314" s="16" t="s">
        <v>27</v>
      </c>
      <c r="J314" s="16" t="s">
        <v>3</v>
      </c>
      <c r="K314" s="17">
        <v>320</v>
      </c>
      <c r="O314" t="str" cm="1">
        <f t="array" ref="O314">_xlfn.LET(
_xlpm.corp,$I314,_xlpm.key,$M$2:$M$200,_xlpm.name,$N$2:$N$200,_xlpm.hits,_xlfn._xlws.FILTER(_xlpm.name,ISNUMBER(SEARCH(_xlpm.key,_xlpm.corp))),
IFERROR(INDEX(_xlpm.hits,1),_xlpm.corp))</f>
        <v>東レ</v>
      </c>
      <c r="P314" t="str">
        <f t="shared" si="22"/>
        <v>2026-01-20</v>
      </c>
      <c r="Q314" t="str">
        <f t="shared" si="16"/>
        <v>東レ/加工BL</v>
      </c>
      <c r="R314" t="str">
        <f t="shared" si="23"/>
        <v>加工BL</v>
      </c>
      <c r="S314">
        <f t="shared" si="24"/>
        <v>320</v>
      </c>
    </row>
    <row r="315" spans="1:19">
      <c r="A315" s="13">
        <v>72072</v>
      </c>
      <c r="B315" s="14" t="s">
        <v>23</v>
      </c>
      <c r="C315" s="15">
        <v>46042</v>
      </c>
      <c r="D315" s="16" t="s">
        <v>27</v>
      </c>
      <c r="E315" s="16" t="s">
        <v>3</v>
      </c>
      <c r="F315" s="17">
        <v>320</v>
      </c>
      <c r="G315" s="18" t="s">
        <v>24</v>
      </c>
      <c r="H315" s="9">
        <v>46041</v>
      </c>
      <c r="I315" s="10" t="s">
        <v>71</v>
      </c>
      <c r="J315" s="10" t="s">
        <v>8</v>
      </c>
      <c r="K315" s="11">
        <v>70</v>
      </c>
      <c r="O315" t="str" cm="1">
        <f t="array" ref="O315">_xlfn.LET(
_xlpm.corp,$I315,_xlpm.key,$M$2:$M$200,_xlpm.name,$N$2:$N$200,_xlpm.hits,_xlfn._xlws.FILTER(_xlpm.name,ISNUMBER(SEARCH(_xlpm.key,_xlpm.corp))),
IFERROR(INDEX(_xlpm.hits,1),_xlpm.corp))</f>
        <v>ソリトン</v>
      </c>
      <c r="P315" t="str">
        <f t="shared" si="22"/>
        <v>2026-01-19</v>
      </c>
      <c r="Q315" t="str">
        <f t="shared" si="16"/>
        <v>ソリトン/イチゴ</v>
      </c>
      <c r="R315" t="str">
        <f t="shared" si="23"/>
        <v>イチゴ</v>
      </c>
      <c r="S315">
        <f t="shared" si="24"/>
        <v>70</v>
      </c>
    </row>
    <row r="316" spans="1:19">
      <c r="A316" s="7">
        <v>73383</v>
      </c>
      <c r="B316" s="8" t="s">
        <v>23</v>
      </c>
      <c r="C316" s="9">
        <v>46041</v>
      </c>
      <c r="D316" s="10" t="s">
        <v>71</v>
      </c>
      <c r="E316" s="10" t="s">
        <v>8</v>
      </c>
      <c r="F316" s="11">
        <v>70</v>
      </c>
      <c r="G316" s="12" t="s">
        <v>24</v>
      </c>
      <c r="H316" s="15">
        <v>46041</v>
      </c>
      <c r="I316" s="16" t="s">
        <v>59</v>
      </c>
      <c r="J316" s="16" t="s">
        <v>8</v>
      </c>
      <c r="K316" s="17">
        <v>220</v>
      </c>
      <c r="O316" t="str" cm="1">
        <f t="array" ref="O316">_xlfn.LET(
_xlpm.corp,$I316,_xlpm.key,$M$2:$M$200,_xlpm.name,$N$2:$N$200,_xlpm.hits,_xlfn._xlws.FILTER(_xlpm.name,ISNUMBER(SEARCH(_xlpm.key,_xlpm.corp))),
IFERROR(INDEX(_xlpm.hits,1),_xlpm.corp))</f>
        <v>三和</v>
      </c>
      <c r="P316" t="str">
        <f t="shared" si="22"/>
        <v>2026-01-19</v>
      </c>
      <c r="Q316" t="str">
        <f t="shared" si="16"/>
        <v>三和/イチゴ</v>
      </c>
      <c r="R316" t="str">
        <f t="shared" si="23"/>
        <v>イチゴ</v>
      </c>
      <c r="S316">
        <f t="shared" si="24"/>
        <v>220</v>
      </c>
    </row>
    <row r="317" spans="1:19">
      <c r="A317" s="13">
        <v>73382</v>
      </c>
      <c r="B317" s="14" t="s">
        <v>23</v>
      </c>
      <c r="C317" s="15">
        <v>46041</v>
      </c>
      <c r="D317" s="16" t="s">
        <v>59</v>
      </c>
      <c r="E317" s="16" t="s">
        <v>8</v>
      </c>
      <c r="F317" s="17">
        <v>220</v>
      </c>
      <c r="G317" s="18" t="s">
        <v>24</v>
      </c>
      <c r="H317" s="9">
        <v>46041</v>
      </c>
      <c r="I317" s="10" t="s">
        <v>27</v>
      </c>
      <c r="J317" s="10" t="s">
        <v>8</v>
      </c>
      <c r="K317" s="20">
        <v>1000</v>
      </c>
      <c r="O317" t="str" cm="1">
        <f t="array" ref="O317">_xlfn.LET(
_xlpm.corp,$I317,_xlpm.key,$M$2:$M$200,_xlpm.name,$N$2:$N$200,_xlpm.hits,_xlfn._xlws.FILTER(_xlpm.name,ISNUMBER(SEARCH(_xlpm.key,_xlpm.corp))),
IFERROR(INDEX(_xlpm.hits,1),_xlpm.corp))</f>
        <v>東レ</v>
      </c>
      <c r="P317" t="str">
        <f t="shared" si="22"/>
        <v>2026-01-19</v>
      </c>
      <c r="Q317" t="str">
        <f t="shared" si="16"/>
        <v>東レ/イチゴ</v>
      </c>
      <c r="R317" t="str">
        <f t="shared" si="23"/>
        <v>イチゴ</v>
      </c>
      <c r="S317">
        <f t="shared" si="24"/>
        <v>1000</v>
      </c>
    </row>
    <row r="318" spans="1:19">
      <c r="A318" s="7">
        <v>73381</v>
      </c>
      <c r="B318" s="8" t="s">
        <v>23</v>
      </c>
      <c r="C318" s="9">
        <v>46041</v>
      </c>
      <c r="D318" s="10" t="s">
        <v>27</v>
      </c>
      <c r="E318" s="10" t="s">
        <v>8</v>
      </c>
      <c r="F318" s="20">
        <v>1000</v>
      </c>
      <c r="G318" s="12" t="s">
        <v>24</v>
      </c>
      <c r="H318" s="15">
        <v>46041</v>
      </c>
      <c r="I318" s="16" t="s">
        <v>69</v>
      </c>
      <c r="J318" s="16" t="s">
        <v>8</v>
      </c>
      <c r="K318" s="17">
        <v>210</v>
      </c>
      <c r="O318" t="str" cm="1">
        <f t="array" ref="O318">_xlfn.LET(
_xlpm.corp,$I318,_xlpm.key,$M$2:$M$200,_xlpm.name,$N$2:$N$200,_xlpm.hits,_xlfn._xlws.FILTER(_xlpm.name,ISNUMBER(SEARCH(_xlpm.key,_xlpm.corp))),
IFERROR(INDEX(_xlpm.hits,1),_xlpm.corp))</f>
        <v>バリュエンス</v>
      </c>
      <c r="P318" t="str">
        <f t="shared" si="22"/>
        <v>2026-01-19</v>
      </c>
      <c r="Q318" t="str">
        <f t="shared" si="16"/>
        <v>バリュエンス/イチゴ</v>
      </c>
      <c r="R318" t="str">
        <f t="shared" si="23"/>
        <v>イチゴ</v>
      </c>
      <c r="S318">
        <f t="shared" si="24"/>
        <v>210</v>
      </c>
    </row>
    <row r="319" spans="1:19">
      <c r="A319" s="13">
        <v>73380</v>
      </c>
      <c r="B319" s="14" t="s">
        <v>23</v>
      </c>
      <c r="C319" s="15">
        <v>46041</v>
      </c>
      <c r="D319" s="16" t="s">
        <v>69</v>
      </c>
      <c r="E319" s="16" t="s">
        <v>8</v>
      </c>
      <c r="F319" s="17">
        <v>210</v>
      </c>
      <c r="G319" s="18" t="s">
        <v>24</v>
      </c>
      <c r="H319" s="9">
        <v>46041</v>
      </c>
      <c r="I319" s="10" t="s">
        <v>58</v>
      </c>
      <c r="J319" s="10" t="s">
        <v>8</v>
      </c>
      <c r="K319" s="11">
        <v>70</v>
      </c>
      <c r="O319" t="str" cm="1">
        <f t="array" ref="O319">_xlfn.LET(
_xlpm.corp,$I319,_xlpm.key,$M$2:$M$200,_xlpm.name,$N$2:$N$200,_xlpm.hits,_xlfn._xlws.FILTER(_xlpm.name,ISNUMBER(SEARCH(_xlpm.key,_xlpm.corp))),
IFERROR(INDEX(_xlpm.hits,1),_xlpm.corp))</f>
        <v>慈誠会</v>
      </c>
      <c r="P319" t="str">
        <f t="shared" si="22"/>
        <v>2026-01-19</v>
      </c>
      <c r="Q319" t="str">
        <f t="shared" si="16"/>
        <v>慈誠会/イチゴ</v>
      </c>
      <c r="R319" t="str">
        <f t="shared" si="23"/>
        <v>イチゴ</v>
      </c>
      <c r="S319">
        <f t="shared" si="24"/>
        <v>70</v>
      </c>
    </row>
    <row r="320" spans="1:19">
      <c r="A320" s="7">
        <v>73379</v>
      </c>
      <c r="B320" s="8" t="s">
        <v>23</v>
      </c>
      <c r="C320" s="9">
        <v>46041</v>
      </c>
      <c r="D320" s="10" t="s">
        <v>58</v>
      </c>
      <c r="E320" s="10" t="s">
        <v>8</v>
      </c>
      <c r="F320" s="11">
        <v>70</v>
      </c>
      <c r="G320" s="12" t="s">
        <v>24</v>
      </c>
      <c r="H320" s="15">
        <v>46041</v>
      </c>
      <c r="I320" s="16" t="s">
        <v>57</v>
      </c>
      <c r="J320" s="16" t="s">
        <v>8</v>
      </c>
      <c r="K320" s="17">
        <v>260</v>
      </c>
      <c r="O320" t="str" cm="1">
        <f t="array" ref="O320">_xlfn.LET(
_xlpm.corp,$I320,_xlpm.key,$M$2:$M$200,_xlpm.name,$N$2:$N$200,_xlpm.hits,_xlfn._xlws.FILTER(_xlpm.name,ISNUMBER(SEARCH(_xlpm.key,_xlpm.corp))),
IFERROR(INDEX(_xlpm.hits,1),_xlpm.corp))</f>
        <v>QB</v>
      </c>
      <c r="P320" t="str">
        <f t="shared" si="22"/>
        <v>2026-01-19</v>
      </c>
      <c r="Q320" t="str">
        <f t="shared" si="16"/>
        <v>QB/イチゴ</v>
      </c>
      <c r="R320" t="str">
        <f t="shared" si="23"/>
        <v>イチゴ</v>
      </c>
      <c r="S320">
        <f t="shared" si="24"/>
        <v>260</v>
      </c>
    </row>
    <row r="321" spans="1:19">
      <c r="A321" s="13">
        <v>73378</v>
      </c>
      <c r="B321" s="14" t="s">
        <v>23</v>
      </c>
      <c r="C321" s="15">
        <v>46041</v>
      </c>
      <c r="D321" s="16" t="s">
        <v>57</v>
      </c>
      <c r="E321" s="16" t="s">
        <v>8</v>
      </c>
      <c r="F321" s="17">
        <v>260</v>
      </c>
      <c r="G321" s="18" t="s">
        <v>24</v>
      </c>
      <c r="H321" s="9">
        <v>46041</v>
      </c>
      <c r="I321" s="10" t="s">
        <v>72</v>
      </c>
      <c r="J321" s="10" t="s">
        <v>8</v>
      </c>
      <c r="K321" s="11">
        <v>40</v>
      </c>
      <c r="O321" t="str" cm="1">
        <f t="array" ref="O321">_xlfn.LET(
_xlpm.corp,$I321,_xlpm.key,$M$2:$M$200,_xlpm.name,$N$2:$N$200,_xlpm.hits,_xlfn._xlws.FILTER(_xlpm.name,ISNUMBER(SEARCH(_xlpm.key,_xlpm.corp))),
IFERROR(INDEX(_xlpm.hits,1),_xlpm.corp))</f>
        <v>岡部</v>
      </c>
      <c r="P321" t="str">
        <f t="shared" si="22"/>
        <v>2026-01-19</v>
      </c>
      <c r="Q321" t="str">
        <f t="shared" si="16"/>
        <v>岡部/イチゴ</v>
      </c>
      <c r="R321" t="str">
        <f t="shared" si="23"/>
        <v>イチゴ</v>
      </c>
      <c r="S321">
        <f t="shared" si="24"/>
        <v>40</v>
      </c>
    </row>
    <row r="322" spans="1:19">
      <c r="A322" s="7">
        <v>73377</v>
      </c>
      <c r="B322" s="8" t="s">
        <v>23</v>
      </c>
      <c r="C322" s="9">
        <v>46041</v>
      </c>
      <c r="D322" s="10" t="s">
        <v>72</v>
      </c>
      <c r="E322" s="10" t="s">
        <v>8</v>
      </c>
      <c r="F322" s="11">
        <v>40</v>
      </c>
      <c r="G322" s="12" t="s">
        <v>24</v>
      </c>
      <c r="H322" s="15">
        <v>46041</v>
      </c>
      <c r="I322" s="16" t="s">
        <v>69</v>
      </c>
      <c r="J322" s="16" t="s">
        <v>8</v>
      </c>
      <c r="K322" s="17">
        <v>200</v>
      </c>
      <c r="O322" t="str" cm="1">
        <f t="array" ref="O322">_xlfn.LET(
_xlpm.corp,$I322,_xlpm.key,$M$2:$M$200,_xlpm.name,$N$2:$N$200,_xlpm.hits,_xlfn._xlws.FILTER(_xlpm.name,ISNUMBER(SEARCH(_xlpm.key,_xlpm.corp))),
IFERROR(INDEX(_xlpm.hits,1),_xlpm.corp))</f>
        <v>バリュエンス</v>
      </c>
      <c r="P322" t="str">
        <f t="shared" si="22"/>
        <v>2026-01-19</v>
      </c>
      <c r="Q322" t="str">
        <f t="shared" si="16"/>
        <v>バリュエンス/イチゴ</v>
      </c>
      <c r="R322" t="str">
        <f t="shared" si="23"/>
        <v>イチゴ</v>
      </c>
      <c r="S322">
        <f t="shared" si="24"/>
        <v>200</v>
      </c>
    </row>
    <row r="323" spans="1:19">
      <c r="A323" s="13">
        <v>73376</v>
      </c>
      <c r="B323" s="14" t="s">
        <v>23</v>
      </c>
      <c r="C323" s="15">
        <v>46041</v>
      </c>
      <c r="D323" s="16" t="s">
        <v>69</v>
      </c>
      <c r="E323" s="16" t="s">
        <v>8</v>
      </c>
      <c r="F323" s="17">
        <v>200</v>
      </c>
      <c r="G323" s="18" t="s">
        <v>24</v>
      </c>
      <c r="H323" s="9">
        <v>46041</v>
      </c>
      <c r="I323" s="10" t="s">
        <v>72</v>
      </c>
      <c r="J323" s="10" t="s">
        <v>2</v>
      </c>
      <c r="K323" s="20">
        <v>1400</v>
      </c>
      <c r="O323" t="str" cm="1">
        <f t="array" ref="O323">_xlfn.LET(
_xlpm.corp,$I323,_xlpm.key,$M$2:$M$200,_xlpm.name,$N$2:$N$200,_xlpm.hits,_xlfn._xlws.FILTER(_xlpm.name,ISNUMBER(SEARCH(_xlpm.key,_xlpm.corp))),
IFERROR(INDEX(_xlpm.hits,1),_xlpm.corp))</f>
        <v>岡部</v>
      </c>
      <c r="P323" t="str">
        <f t="shared" si="22"/>
        <v>2026-01-19</v>
      </c>
      <c r="Q323" t="str">
        <f t="shared" si="16"/>
        <v>岡部</v>
      </c>
      <c r="R323" t="str">
        <f t="shared" si="23"/>
        <v>ベビーリーフ グリーンオーク</v>
      </c>
      <c r="S323">
        <f t="shared" si="24"/>
        <v>1400</v>
      </c>
    </row>
    <row r="324" spans="1:19">
      <c r="A324" s="7">
        <v>72071</v>
      </c>
      <c r="B324" s="8" t="s">
        <v>23</v>
      </c>
      <c r="C324" s="9">
        <v>46041</v>
      </c>
      <c r="D324" s="10" t="s">
        <v>72</v>
      </c>
      <c r="E324" s="10" t="s">
        <v>2</v>
      </c>
      <c r="F324" s="20">
        <v>1400</v>
      </c>
      <c r="G324" s="12" t="s">
        <v>24</v>
      </c>
      <c r="H324" s="15">
        <v>46041</v>
      </c>
      <c r="I324" s="16" t="s">
        <v>56</v>
      </c>
      <c r="J324" s="16" t="s">
        <v>4</v>
      </c>
      <c r="K324" s="17">
        <v>220</v>
      </c>
      <c r="O324" t="str" cm="1">
        <f t="array" ref="O324">_xlfn.LET(
_xlpm.corp,$I324,_xlpm.key,$M$2:$M$200,_xlpm.name,$N$2:$N$200,_xlpm.hits,_xlfn._xlws.FILTER(_xlpm.name,ISNUMBER(SEARCH(_xlpm.key,_xlpm.corp))),
IFERROR(INDEX(_xlpm.hits,1),_xlpm.corp))</f>
        <v>サンセイランディック</v>
      </c>
      <c r="P324" t="str">
        <f t="shared" si="22"/>
        <v>2026-01-19</v>
      </c>
      <c r="Q324" t="str">
        <f t="shared" si="16"/>
        <v>サンセイランディック</v>
      </c>
      <c r="R324" t="str">
        <f t="shared" si="23"/>
        <v>ベビーリーフ ピノグリーン</v>
      </c>
      <c r="S324">
        <f t="shared" si="24"/>
        <v>220</v>
      </c>
    </row>
    <row r="325" spans="1:19">
      <c r="A325" s="13">
        <v>72070</v>
      </c>
      <c r="B325" s="14" t="s">
        <v>23</v>
      </c>
      <c r="C325" s="15">
        <v>46041</v>
      </c>
      <c r="D325" s="16" t="s">
        <v>56</v>
      </c>
      <c r="E325" s="16" t="s">
        <v>4</v>
      </c>
      <c r="F325" s="17">
        <v>220</v>
      </c>
      <c r="G325" s="18" t="s">
        <v>24</v>
      </c>
      <c r="H325" s="9">
        <v>46041</v>
      </c>
      <c r="I325" s="10" t="s">
        <v>58</v>
      </c>
      <c r="J325" s="10" t="s">
        <v>9</v>
      </c>
      <c r="K325" s="11">
        <v>640</v>
      </c>
      <c r="O325" t="str" cm="1">
        <f t="array" ref="O325">_xlfn.LET(
_xlpm.corp,$I325,_xlpm.key,$M$2:$M$200,_xlpm.name,$N$2:$N$200,_xlpm.hits,_xlfn._xlws.FILTER(_xlpm.name,ISNUMBER(SEARCH(_xlpm.key,_xlpm.corp))),
IFERROR(INDEX(_xlpm.hits,1),_xlpm.corp))</f>
        <v>慈誠会</v>
      </c>
      <c r="P325" t="str">
        <f t="shared" si="22"/>
        <v>2026-01-19</v>
      </c>
      <c r="Q325" t="str">
        <f t="shared" si="16"/>
        <v>慈誠会</v>
      </c>
      <c r="R325" t="str">
        <f t="shared" si="23"/>
        <v>ベビーリーフ ロロロッサ</v>
      </c>
      <c r="S325">
        <f t="shared" si="24"/>
        <v>640</v>
      </c>
    </row>
    <row r="326" spans="1:19">
      <c r="A326" s="7">
        <v>72069</v>
      </c>
      <c r="B326" s="8" t="s">
        <v>23</v>
      </c>
      <c r="C326" s="9">
        <v>46041</v>
      </c>
      <c r="D326" s="10" t="s">
        <v>58</v>
      </c>
      <c r="E326" s="10" t="s">
        <v>9</v>
      </c>
      <c r="F326" s="11">
        <v>640</v>
      </c>
      <c r="G326" s="12" t="s">
        <v>24</v>
      </c>
      <c r="H326" s="15">
        <v>46041</v>
      </c>
      <c r="I326" s="16" t="s">
        <v>71</v>
      </c>
      <c r="J326" s="16" t="s">
        <v>62</v>
      </c>
      <c r="K326" s="17">
        <v>640</v>
      </c>
      <c r="O326" t="str" cm="1">
        <f t="array" ref="O326">_xlfn.LET(
_xlpm.corp,$I326,_xlpm.key,$M$2:$M$200,_xlpm.name,$N$2:$N$200,_xlpm.hits,_xlfn._xlws.FILTER(_xlpm.name,ISNUMBER(SEARCH(_xlpm.key,_xlpm.corp))),
IFERROR(INDEX(_xlpm.hits,1),_xlpm.corp))</f>
        <v>ソリトン</v>
      </c>
      <c r="P326" t="str">
        <f t="shared" si="22"/>
        <v>2026-01-19</v>
      </c>
      <c r="Q326" t="str">
        <f t="shared" si="16"/>
        <v>ソリトン</v>
      </c>
      <c r="R326" t="str">
        <f t="shared" si="23"/>
        <v>ベビーリーフ ロログリーン</v>
      </c>
      <c r="S326">
        <f t="shared" si="24"/>
        <v>640</v>
      </c>
    </row>
    <row r="327" spans="1:19">
      <c r="A327" s="13">
        <v>72068</v>
      </c>
      <c r="B327" s="14" t="s">
        <v>23</v>
      </c>
      <c r="C327" s="15">
        <v>46041</v>
      </c>
      <c r="D327" s="16" t="s">
        <v>71</v>
      </c>
      <c r="E327" s="16" t="s">
        <v>62</v>
      </c>
      <c r="F327" s="17">
        <v>640</v>
      </c>
      <c r="G327" s="18" t="s">
        <v>24</v>
      </c>
      <c r="H327" s="9">
        <v>46041</v>
      </c>
      <c r="I327" s="10" t="s">
        <v>69</v>
      </c>
      <c r="J327" s="10" t="s">
        <v>9</v>
      </c>
      <c r="K327" s="11">
        <v>240</v>
      </c>
      <c r="O327" t="str" cm="1">
        <f t="array" ref="O327">_xlfn.LET(
_xlpm.corp,$I327,_xlpm.key,$M$2:$M$200,_xlpm.name,$N$2:$N$200,_xlpm.hits,_xlfn._xlws.FILTER(_xlpm.name,ISNUMBER(SEARCH(_xlpm.key,_xlpm.corp))),
IFERROR(INDEX(_xlpm.hits,1),_xlpm.corp))</f>
        <v>バリュエンス</v>
      </c>
      <c r="P327" t="str">
        <f t="shared" si="22"/>
        <v>2026-01-19</v>
      </c>
      <c r="Q327" t="str">
        <f t="shared" si="16"/>
        <v>バリュエンス</v>
      </c>
      <c r="R327" t="str">
        <f t="shared" si="23"/>
        <v>ベビーリーフ ロロロッサ</v>
      </c>
      <c r="S327">
        <f t="shared" si="24"/>
        <v>240</v>
      </c>
    </row>
    <row r="328" spans="1:19">
      <c r="A328" s="7">
        <v>72067</v>
      </c>
      <c r="B328" s="8" t="s">
        <v>23</v>
      </c>
      <c r="C328" s="9">
        <v>46041</v>
      </c>
      <c r="D328" s="10" t="s">
        <v>69</v>
      </c>
      <c r="E328" s="10" t="s">
        <v>9</v>
      </c>
      <c r="F328" s="11">
        <v>240</v>
      </c>
      <c r="G328" s="12" t="s">
        <v>24</v>
      </c>
      <c r="H328" s="15">
        <v>46041</v>
      </c>
      <c r="I328" s="16" t="s">
        <v>61</v>
      </c>
      <c r="J328" s="16" t="s">
        <v>62</v>
      </c>
      <c r="K328" s="19">
        <v>1420</v>
      </c>
      <c r="O328" t="str" cm="1">
        <f t="array" ref="O328">_xlfn.LET(
_xlpm.corp,$I328,_xlpm.key,$M$2:$M$200,_xlpm.name,$N$2:$N$200,_xlpm.hits,_xlfn._xlws.FILTER(_xlpm.name,ISNUMBER(SEARCH(_xlpm.key,_xlpm.corp))),
IFERROR(INDEX(_xlpm.hits,1),_xlpm.corp))</f>
        <v>Adobe</v>
      </c>
      <c r="P328" t="str">
        <f t="shared" si="22"/>
        <v>2026-01-19</v>
      </c>
      <c r="Q328" t="str">
        <f t="shared" si="16"/>
        <v>Adobe</v>
      </c>
      <c r="R328" t="str">
        <f t="shared" si="23"/>
        <v>ベビーリーフ ロログリーン</v>
      </c>
      <c r="S328">
        <f t="shared" si="24"/>
        <v>1420</v>
      </c>
    </row>
    <row r="329" spans="1:19">
      <c r="A329" s="13">
        <v>72066</v>
      </c>
      <c r="B329" s="14" t="s">
        <v>23</v>
      </c>
      <c r="C329" s="15">
        <v>46041</v>
      </c>
      <c r="D329" s="16" t="s">
        <v>61</v>
      </c>
      <c r="E329" s="16" t="s">
        <v>62</v>
      </c>
      <c r="F329" s="19">
        <v>1420</v>
      </c>
      <c r="G329" s="18" t="s">
        <v>24</v>
      </c>
      <c r="H329" s="9">
        <v>46041</v>
      </c>
      <c r="I329" s="10" t="s">
        <v>69</v>
      </c>
      <c r="J329" s="10" t="s">
        <v>9</v>
      </c>
      <c r="K329" s="11">
        <v>460</v>
      </c>
      <c r="O329" t="str" cm="1">
        <f t="array" ref="O329">_xlfn.LET(
_xlpm.corp,$I329,_xlpm.key,$M$2:$M$200,_xlpm.name,$N$2:$N$200,_xlpm.hits,_xlfn._xlws.FILTER(_xlpm.name,ISNUMBER(SEARCH(_xlpm.key,_xlpm.corp))),
IFERROR(INDEX(_xlpm.hits,1),_xlpm.corp))</f>
        <v>バリュエンス</v>
      </c>
      <c r="P329" t="str">
        <f t="shared" si="22"/>
        <v>2026-01-19</v>
      </c>
      <c r="Q329" t="str">
        <f t="shared" si="16"/>
        <v>バリュエンス</v>
      </c>
      <c r="R329" t="str">
        <f t="shared" si="23"/>
        <v>ベビーリーフ ロロロッサ</v>
      </c>
      <c r="S329">
        <f t="shared" si="24"/>
        <v>460</v>
      </c>
    </row>
    <row r="330" spans="1:19">
      <c r="A330" s="7">
        <v>72065</v>
      </c>
      <c r="B330" s="8" t="s">
        <v>23</v>
      </c>
      <c r="C330" s="9">
        <v>46041</v>
      </c>
      <c r="D330" s="10" t="s">
        <v>69</v>
      </c>
      <c r="E330" s="10" t="s">
        <v>9</v>
      </c>
      <c r="F330" s="11">
        <v>460</v>
      </c>
      <c r="G330" s="12" t="s">
        <v>24</v>
      </c>
      <c r="H330" s="15">
        <v>46041</v>
      </c>
      <c r="I330" s="16" t="s">
        <v>68</v>
      </c>
      <c r="J330" s="16" t="s">
        <v>2</v>
      </c>
      <c r="K330" s="17">
        <v>160</v>
      </c>
      <c r="O330" t="str" cm="1">
        <f t="array" ref="O330">_xlfn.LET(
_xlpm.corp,$I330,_xlpm.key,$M$2:$M$200,_xlpm.name,$N$2:$N$200,_xlpm.hits,_xlfn._xlws.FILTER(_xlpm.name,ISNUMBER(SEARCH(_xlpm.key,_xlpm.corp))),
IFERROR(INDEX(_xlpm.hits,1),_xlpm.corp))</f>
        <v>昭和女子</v>
      </c>
      <c r="P330" t="str">
        <f t="shared" si="22"/>
        <v>2026-01-19</v>
      </c>
      <c r="Q330" t="str">
        <f t="shared" si="16"/>
        <v>昭和女子</v>
      </c>
      <c r="R330" t="str">
        <f t="shared" si="23"/>
        <v>ベビーリーフ グリーンオーク</v>
      </c>
      <c r="S330">
        <f t="shared" si="24"/>
        <v>160</v>
      </c>
    </row>
    <row r="331" spans="1:19">
      <c r="A331" s="13">
        <v>72064</v>
      </c>
      <c r="B331" s="14" t="s">
        <v>23</v>
      </c>
      <c r="C331" s="15">
        <v>46041</v>
      </c>
      <c r="D331" s="16" t="s">
        <v>68</v>
      </c>
      <c r="E331" s="16" t="s">
        <v>2</v>
      </c>
      <c r="F331" s="17">
        <v>160</v>
      </c>
      <c r="G331" s="18" t="s">
        <v>24</v>
      </c>
      <c r="H331" s="9">
        <v>46041</v>
      </c>
      <c r="I331" s="10" t="s">
        <v>68</v>
      </c>
      <c r="J331" s="10" t="s">
        <v>3</v>
      </c>
      <c r="K331" s="11">
        <v>480</v>
      </c>
      <c r="O331" t="str" cm="1">
        <f t="array" ref="O331">_xlfn.LET(
_xlpm.corp,$I331,_xlpm.key,$M$2:$M$200,_xlpm.name,$N$2:$N$200,_xlpm.hits,_xlfn._xlws.FILTER(_xlpm.name,ISNUMBER(SEARCH(_xlpm.key,_xlpm.corp))),
IFERROR(INDEX(_xlpm.hits,1),_xlpm.corp))</f>
        <v>昭和女子</v>
      </c>
      <c r="P331" t="str">
        <f t="shared" si="22"/>
        <v>2026-01-19</v>
      </c>
      <c r="Q331" t="str">
        <f t="shared" si="16"/>
        <v>昭和女子/加工BL</v>
      </c>
      <c r="R331" t="str">
        <f t="shared" si="23"/>
        <v>加工BL</v>
      </c>
      <c r="S331">
        <f t="shared" si="24"/>
        <v>480</v>
      </c>
    </row>
    <row r="332" spans="1:19">
      <c r="A332" s="7">
        <v>72063</v>
      </c>
      <c r="B332" s="8" t="s">
        <v>23</v>
      </c>
      <c r="C332" s="9">
        <v>46041</v>
      </c>
      <c r="D332" s="10" t="s">
        <v>68</v>
      </c>
      <c r="E332" s="10" t="s">
        <v>3</v>
      </c>
      <c r="F332" s="11">
        <v>480</v>
      </c>
      <c r="G332" s="12" t="s">
        <v>24</v>
      </c>
      <c r="H332" s="15">
        <v>46041</v>
      </c>
      <c r="I332" s="16" t="s">
        <v>58</v>
      </c>
      <c r="J332" s="16" t="s">
        <v>9</v>
      </c>
      <c r="K332" s="19">
        <v>1100</v>
      </c>
      <c r="O332" t="str" cm="1">
        <f t="array" ref="O332">_xlfn.LET(
_xlpm.corp,$I332,_xlpm.key,$M$2:$M$200,_xlpm.name,$N$2:$N$200,_xlpm.hits,_xlfn._xlws.FILTER(_xlpm.name,ISNUMBER(SEARCH(_xlpm.key,_xlpm.corp))),
IFERROR(INDEX(_xlpm.hits,1),_xlpm.corp))</f>
        <v>慈誠会</v>
      </c>
      <c r="P332" t="str">
        <f t="shared" si="22"/>
        <v>2026-01-19</v>
      </c>
      <c r="Q332" t="str">
        <f t="shared" si="16"/>
        <v>慈誠会</v>
      </c>
      <c r="R332" t="str">
        <f t="shared" si="23"/>
        <v>ベビーリーフ ロロロッサ</v>
      </c>
      <c r="S332">
        <f t="shared" si="24"/>
        <v>1100</v>
      </c>
    </row>
    <row r="333" spans="1:19">
      <c r="A333" s="13">
        <v>72062</v>
      </c>
      <c r="B333" s="14" t="s">
        <v>23</v>
      </c>
      <c r="C333" s="15">
        <v>46041</v>
      </c>
      <c r="D333" s="16" t="s">
        <v>58</v>
      </c>
      <c r="E333" s="16" t="s">
        <v>9</v>
      </c>
      <c r="F333" s="19">
        <v>1100</v>
      </c>
      <c r="G333" s="18" t="s">
        <v>24</v>
      </c>
      <c r="H333" s="9">
        <v>46041</v>
      </c>
      <c r="I333" s="10" t="s">
        <v>70</v>
      </c>
      <c r="J333" s="10" t="s">
        <v>9</v>
      </c>
      <c r="K333" s="20">
        <v>1840</v>
      </c>
      <c r="O333" t="str" cm="1">
        <f t="array" ref="O333">_xlfn.LET(
_xlpm.corp,$I333,_xlpm.key,$M$2:$M$200,_xlpm.name,$N$2:$N$200,_xlpm.hits,_xlfn._xlws.FILTER(_xlpm.name,ISNUMBER(SEARCH(_xlpm.key,_xlpm.corp))),
IFERROR(INDEX(_xlpm.hits,1),_xlpm.corp))</f>
        <v>富士機械</v>
      </c>
      <c r="P333" t="str">
        <f t="shared" si="22"/>
        <v>2026-01-19</v>
      </c>
      <c r="Q333" t="str">
        <f t="shared" si="16"/>
        <v>富士機械</v>
      </c>
      <c r="R333" t="str">
        <f t="shared" si="23"/>
        <v>ベビーリーフ ロロロッサ</v>
      </c>
      <c r="S333">
        <f t="shared" si="24"/>
        <v>1840</v>
      </c>
    </row>
    <row r="334" spans="1:19">
      <c r="A334" s="7">
        <v>72061</v>
      </c>
      <c r="B334" s="8" t="s">
        <v>23</v>
      </c>
      <c r="C334" s="9">
        <v>46041</v>
      </c>
      <c r="D334" s="10" t="s">
        <v>70</v>
      </c>
      <c r="E334" s="10" t="s">
        <v>9</v>
      </c>
      <c r="F334" s="20">
        <v>1840</v>
      </c>
      <c r="G334" s="12" t="s">
        <v>24</v>
      </c>
      <c r="H334" s="15">
        <v>46041</v>
      </c>
      <c r="I334" s="16" t="s">
        <v>59</v>
      </c>
      <c r="J334" s="16" t="s">
        <v>2</v>
      </c>
      <c r="K334" s="17">
        <v>600</v>
      </c>
      <c r="O334" t="str" cm="1">
        <f t="array" ref="O334">_xlfn.LET(
_xlpm.corp,$I334,_xlpm.key,$M$2:$M$200,_xlpm.name,$N$2:$N$200,_xlpm.hits,_xlfn._xlws.FILTER(_xlpm.name,ISNUMBER(SEARCH(_xlpm.key,_xlpm.corp))),
IFERROR(INDEX(_xlpm.hits,1),_xlpm.corp))</f>
        <v>三和</v>
      </c>
      <c r="P334" t="str">
        <f t="shared" si="22"/>
        <v>2026-01-19</v>
      </c>
      <c r="Q334" t="str">
        <f t="shared" si="16"/>
        <v>三和</v>
      </c>
      <c r="R334" t="str">
        <f t="shared" si="23"/>
        <v>ベビーリーフ グリーンオーク</v>
      </c>
      <c r="S334">
        <f t="shared" si="24"/>
        <v>600</v>
      </c>
    </row>
    <row r="335" spans="1:19">
      <c r="A335" s="13">
        <v>72060</v>
      </c>
      <c r="B335" s="14" t="s">
        <v>23</v>
      </c>
      <c r="C335" s="15">
        <v>46041</v>
      </c>
      <c r="D335" s="16" t="s">
        <v>59</v>
      </c>
      <c r="E335" s="16" t="s">
        <v>2</v>
      </c>
      <c r="F335" s="17">
        <v>600</v>
      </c>
      <c r="G335" s="18" t="s">
        <v>24</v>
      </c>
      <c r="H335" s="9">
        <v>46041</v>
      </c>
      <c r="I335" s="10" t="s">
        <v>70</v>
      </c>
      <c r="J335" s="10" t="s">
        <v>62</v>
      </c>
      <c r="K335" s="11">
        <v>480</v>
      </c>
      <c r="O335" t="str" cm="1">
        <f t="array" ref="O335">_xlfn.LET(
_xlpm.corp,$I335,_xlpm.key,$M$2:$M$200,_xlpm.name,$N$2:$N$200,_xlpm.hits,_xlfn._xlws.FILTER(_xlpm.name,ISNUMBER(SEARCH(_xlpm.key,_xlpm.corp))),
IFERROR(INDEX(_xlpm.hits,1),_xlpm.corp))</f>
        <v>富士機械</v>
      </c>
      <c r="P335" t="str">
        <f t="shared" si="22"/>
        <v>2026-01-19</v>
      </c>
      <c r="Q335" t="str">
        <f t="shared" si="16"/>
        <v>富士機械</v>
      </c>
      <c r="R335" t="str">
        <f t="shared" si="23"/>
        <v>ベビーリーフ ロログリーン</v>
      </c>
      <c r="S335">
        <f t="shared" si="24"/>
        <v>480</v>
      </c>
    </row>
    <row r="336" spans="1:19">
      <c r="A336" s="7">
        <v>72059</v>
      </c>
      <c r="B336" s="8" t="s">
        <v>23</v>
      </c>
      <c r="C336" s="9">
        <v>46041</v>
      </c>
      <c r="D336" s="10" t="s">
        <v>70</v>
      </c>
      <c r="E336" s="10" t="s">
        <v>62</v>
      </c>
      <c r="F336" s="11">
        <v>480</v>
      </c>
      <c r="G336" s="12" t="s">
        <v>24</v>
      </c>
      <c r="H336" s="15">
        <v>46041</v>
      </c>
      <c r="I336" s="16" t="s">
        <v>63</v>
      </c>
      <c r="J336" s="16" t="s">
        <v>62</v>
      </c>
      <c r="K336" s="17">
        <v>780</v>
      </c>
      <c r="O336" t="str" cm="1">
        <f t="array" ref="O336">_xlfn.LET(
_xlpm.corp,$I336,_xlpm.key,$M$2:$M$200,_xlpm.name,$N$2:$N$200,_xlpm.hits,_xlfn._xlws.FILTER(_xlpm.name,ISNUMBER(SEARCH(_xlpm.key,_xlpm.corp))),
IFERROR(INDEX(_xlpm.hits,1),_xlpm.corp))</f>
        <v>富士機材</v>
      </c>
      <c r="P336" t="str">
        <f t="shared" ref="P336:P399" si="25">IFERROR(TEXT(DATEVALUE(SUBSTITUTE(SUBSTITUTE(H336,".","/"),"-","/")),"yyyy-mm-dd"),
TEXT(H336,"yyyy-mm-dd"))</f>
        <v>2026-01-19</v>
      </c>
      <c r="Q336" t="str">
        <f t="shared" si="16"/>
        <v>富士機材</v>
      </c>
      <c r="R336" t="str">
        <f t="shared" ref="R336:R399" si="26">IF(
  AND(ISNUMBER(SEARCH("加工品",SUBSTITUTE(J336,"　"," "))),ISNUMBER(SEARCH("ベビーリーフ",SUBSTITUTE(J336,"　"," ")))),
  "加工BL",
  IF(LEFT(TRIM(SUBSTITUTE(J336,"　"," ")),5)="ベビーリーフ",
     "BL"&amp;TRIM(MID(TRIM(SUBSTITUTE(J336,"　"," ")),FIND(" ",TRIM(SUBSTITUTE(J336,"　"," "))&amp;" ")+1,255)),
     TRIM(SUBSTITUTE(J336,"　"," "))
  )
)</f>
        <v>ベビーリーフ ロログリーン</v>
      </c>
      <c r="S336">
        <f t="shared" ref="S336:S399" si="27">IF(K336="", "", --SUBSTITUTE(K336, ",", ""))</f>
        <v>780</v>
      </c>
    </row>
    <row r="337" spans="1:19">
      <c r="A337" s="13">
        <v>72058</v>
      </c>
      <c r="B337" s="14" t="s">
        <v>23</v>
      </c>
      <c r="C337" s="15">
        <v>46041</v>
      </c>
      <c r="D337" s="16" t="s">
        <v>63</v>
      </c>
      <c r="E337" s="16" t="s">
        <v>62</v>
      </c>
      <c r="F337" s="17">
        <v>780</v>
      </c>
      <c r="G337" s="18" t="s">
        <v>24</v>
      </c>
      <c r="H337" s="9">
        <v>46041</v>
      </c>
      <c r="I337" s="10" t="s">
        <v>60</v>
      </c>
      <c r="J337" s="10" t="s">
        <v>3</v>
      </c>
      <c r="K337" s="11">
        <v>220</v>
      </c>
      <c r="O337" t="str" cm="1">
        <f t="array" ref="O337">_xlfn.LET(
_xlpm.corp,$I337,_xlpm.key,$M$2:$M$200,_xlpm.name,$N$2:$N$200,_xlpm.hits,_xlfn._xlws.FILTER(_xlpm.name,ISNUMBER(SEARCH(_xlpm.key,_xlpm.corp))),
IFERROR(INDEX(_xlpm.hits,1),_xlpm.corp))</f>
        <v>サンテレホン</v>
      </c>
      <c r="P337" t="str">
        <f t="shared" si="25"/>
        <v>2026-01-19</v>
      </c>
      <c r="Q337" t="str">
        <f t="shared" si="16"/>
        <v>サンテレホン/加工BL</v>
      </c>
      <c r="R337" t="str">
        <f t="shared" si="26"/>
        <v>加工BL</v>
      </c>
      <c r="S337">
        <f t="shared" si="27"/>
        <v>220</v>
      </c>
    </row>
    <row r="338" spans="1:19">
      <c r="A338" s="7">
        <v>72057</v>
      </c>
      <c r="B338" s="8" t="s">
        <v>23</v>
      </c>
      <c r="C338" s="9">
        <v>46041</v>
      </c>
      <c r="D338" s="10" t="s">
        <v>60</v>
      </c>
      <c r="E338" s="10" t="s">
        <v>3</v>
      </c>
      <c r="F338" s="11">
        <v>220</v>
      </c>
      <c r="G338" s="12" t="s">
        <v>24</v>
      </c>
      <c r="H338" s="15">
        <v>46041</v>
      </c>
      <c r="I338" s="16" t="s">
        <v>26</v>
      </c>
      <c r="J338" s="16" t="s">
        <v>3</v>
      </c>
      <c r="K338" s="17">
        <v>300</v>
      </c>
      <c r="O338" t="str" cm="1">
        <f t="array" ref="O338">_xlfn.LET(
_xlpm.corp,$I338,_xlpm.key,$M$2:$M$200,_xlpm.name,$N$2:$N$200,_xlpm.hits,_xlfn._xlws.FILTER(_xlpm.name,ISNUMBER(SEARCH(_xlpm.key,_xlpm.corp))),
IFERROR(INDEX(_xlpm.hits,1),_xlpm.corp))</f>
        <v>日建</v>
      </c>
      <c r="P338" t="str">
        <f t="shared" si="25"/>
        <v>2026-01-19</v>
      </c>
      <c r="Q338" t="str">
        <f t="shared" si="16"/>
        <v>日建/加工BL</v>
      </c>
      <c r="R338" t="str">
        <f t="shared" si="26"/>
        <v>加工BL</v>
      </c>
      <c r="S338">
        <f t="shared" si="27"/>
        <v>300</v>
      </c>
    </row>
    <row r="339" spans="1:19">
      <c r="A339" s="13">
        <v>72056</v>
      </c>
      <c r="B339" s="14" t="s">
        <v>23</v>
      </c>
      <c r="C339" s="15">
        <v>46041</v>
      </c>
      <c r="D339" s="16" t="s">
        <v>26</v>
      </c>
      <c r="E339" s="16" t="s">
        <v>3</v>
      </c>
      <c r="F339" s="17">
        <v>300</v>
      </c>
      <c r="G339" s="18" t="s">
        <v>24</v>
      </c>
      <c r="H339" s="9">
        <v>46041</v>
      </c>
      <c r="I339" s="10" t="s">
        <v>26</v>
      </c>
      <c r="J339" s="10" t="s">
        <v>2</v>
      </c>
      <c r="K339" s="11">
        <v>160</v>
      </c>
      <c r="O339" t="str" cm="1">
        <f t="array" ref="O339">_xlfn.LET(
_xlpm.corp,$I339,_xlpm.key,$M$2:$M$200,_xlpm.name,$N$2:$N$200,_xlpm.hits,_xlfn._xlws.FILTER(_xlpm.name,ISNUMBER(SEARCH(_xlpm.key,_xlpm.corp))),
IFERROR(INDEX(_xlpm.hits,1),_xlpm.corp))</f>
        <v>日建</v>
      </c>
      <c r="P339" t="str">
        <f t="shared" si="25"/>
        <v>2026-01-19</v>
      </c>
      <c r="Q339" t="str">
        <f t="shared" si="16"/>
        <v>日建</v>
      </c>
      <c r="R339" t="str">
        <f t="shared" si="26"/>
        <v>ベビーリーフ グリーンオーク</v>
      </c>
      <c r="S339">
        <f t="shared" si="27"/>
        <v>160</v>
      </c>
    </row>
    <row r="340" spans="1:19">
      <c r="A340" s="7">
        <v>72055</v>
      </c>
      <c r="B340" s="8" t="s">
        <v>23</v>
      </c>
      <c r="C340" s="9">
        <v>46041</v>
      </c>
      <c r="D340" s="10" t="s">
        <v>26</v>
      </c>
      <c r="E340" s="10" t="s">
        <v>2</v>
      </c>
      <c r="F340" s="11">
        <v>160</v>
      </c>
      <c r="G340" s="12" t="s">
        <v>24</v>
      </c>
      <c r="H340" s="15">
        <v>46041</v>
      </c>
      <c r="I340" s="16" t="s">
        <v>67</v>
      </c>
      <c r="J340" s="16" t="s">
        <v>3</v>
      </c>
      <c r="K340" s="17">
        <v>340</v>
      </c>
      <c r="O340" t="str" cm="1">
        <f t="array" ref="O340">_xlfn.LET(
_xlpm.corp,$I340,_xlpm.key,$M$2:$M$200,_xlpm.name,$N$2:$N$200,_xlpm.hits,_xlfn._xlws.FILTER(_xlpm.name,ISNUMBER(SEARCH(_xlpm.key,_xlpm.corp))),
IFERROR(INDEX(_xlpm.hits,1),_xlpm.corp))</f>
        <v>日本ロレアル</v>
      </c>
      <c r="P340" t="str">
        <f t="shared" si="25"/>
        <v>2026-01-19</v>
      </c>
      <c r="Q340" t="str">
        <f t="shared" si="16"/>
        <v>日本ロレアル/加工BL</v>
      </c>
      <c r="R340" t="str">
        <f t="shared" si="26"/>
        <v>加工BL</v>
      </c>
      <c r="S340">
        <f t="shared" si="27"/>
        <v>340</v>
      </c>
    </row>
    <row r="341" spans="1:19">
      <c r="A341" s="13">
        <v>72054</v>
      </c>
      <c r="B341" s="14" t="s">
        <v>23</v>
      </c>
      <c r="C341" s="15">
        <v>46041</v>
      </c>
      <c r="D341" s="16" t="s">
        <v>67</v>
      </c>
      <c r="E341" s="16" t="s">
        <v>3</v>
      </c>
      <c r="F341" s="17">
        <v>340</v>
      </c>
      <c r="G341" s="18" t="s">
        <v>24</v>
      </c>
      <c r="H341" s="9">
        <v>46041</v>
      </c>
      <c r="I341" s="10" t="s">
        <v>67</v>
      </c>
      <c r="J341" s="10" t="s">
        <v>2</v>
      </c>
      <c r="K341" s="11">
        <v>20</v>
      </c>
      <c r="O341" t="str" cm="1">
        <f t="array" ref="O341">_xlfn.LET(
_xlpm.corp,$I341,_xlpm.key,$M$2:$M$200,_xlpm.name,$N$2:$N$200,_xlpm.hits,_xlfn._xlws.FILTER(_xlpm.name,ISNUMBER(SEARCH(_xlpm.key,_xlpm.corp))),
IFERROR(INDEX(_xlpm.hits,1),_xlpm.corp))</f>
        <v>日本ロレアル</v>
      </c>
      <c r="P341" t="str">
        <f t="shared" si="25"/>
        <v>2026-01-19</v>
      </c>
      <c r="Q341" t="str">
        <f t="shared" si="16"/>
        <v>日本ロレアル</v>
      </c>
      <c r="R341" t="str">
        <f t="shared" si="26"/>
        <v>ベビーリーフ グリーンオーク</v>
      </c>
      <c r="S341">
        <f t="shared" si="27"/>
        <v>20</v>
      </c>
    </row>
    <row r="342" spans="1:19">
      <c r="A342" s="7">
        <v>72053</v>
      </c>
      <c r="B342" s="8" t="s">
        <v>23</v>
      </c>
      <c r="C342" s="9">
        <v>46041</v>
      </c>
      <c r="D342" s="10" t="s">
        <v>67</v>
      </c>
      <c r="E342" s="10" t="s">
        <v>2</v>
      </c>
      <c r="F342" s="11">
        <v>20</v>
      </c>
      <c r="G342" s="12" t="s">
        <v>24</v>
      </c>
      <c r="H342" s="15">
        <v>46041</v>
      </c>
      <c r="I342" s="16" t="s">
        <v>27</v>
      </c>
      <c r="J342" s="16" t="s">
        <v>11</v>
      </c>
      <c r="K342" s="17">
        <v>500</v>
      </c>
      <c r="O342" t="str" cm="1">
        <f t="array" ref="O342">_xlfn.LET(
_xlpm.corp,$I342,_xlpm.key,$M$2:$M$200,_xlpm.name,$N$2:$N$200,_xlpm.hits,_xlfn._xlws.FILTER(_xlpm.name,ISNUMBER(SEARCH(_xlpm.key,_xlpm.corp))),
IFERROR(INDEX(_xlpm.hits,1),_xlpm.corp))</f>
        <v>東レ</v>
      </c>
      <c r="P342" t="str">
        <f t="shared" si="25"/>
        <v>2026-01-19</v>
      </c>
      <c r="Q342" t="str">
        <f t="shared" si="16"/>
        <v>東レ</v>
      </c>
      <c r="R342" t="str">
        <f t="shared" si="26"/>
        <v>ベビーリーフ レッドオーク</v>
      </c>
      <c r="S342">
        <f t="shared" si="27"/>
        <v>500</v>
      </c>
    </row>
    <row r="343" spans="1:19">
      <c r="A343" s="13">
        <v>72052</v>
      </c>
      <c r="B343" s="14" t="s">
        <v>23</v>
      </c>
      <c r="C343" s="15">
        <v>46041</v>
      </c>
      <c r="D343" s="16" t="s">
        <v>27</v>
      </c>
      <c r="E343" s="16" t="s">
        <v>11</v>
      </c>
      <c r="F343" s="17">
        <v>500</v>
      </c>
      <c r="G343" s="18" t="s">
        <v>24</v>
      </c>
      <c r="H343" s="9">
        <v>46041</v>
      </c>
      <c r="I343" s="10" t="s">
        <v>69</v>
      </c>
      <c r="J343" s="10" t="s">
        <v>9</v>
      </c>
      <c r="K343" s="11">
        <v>420</v>
      </c>
      <c r="O343" t="str" cm="1">
        <f t="array" ref="O343">_xlfn.LET(
_xlpm.corp,$I343,_xlpm.key,$M$2:$M$200,_xlpm.name,$N$2:$N$200,_xlpm.hits,_xlfn._xlws.FILTER(_xlpm.name,ISNUMBER(SEARCH(_xlpm.key,_xlpm.corp))),
IFERROR(INDEX(_xlpm.hits,1),_xlpm.corp))</f>
        <v>バリュエンス</v>
      </c>
      <c r="P343" t="str">
        <f t="shared" si="25"/>
        <v>2026-01-19</v>
      </c>
      <c r="Q343" t="str">
        <f t="shared" si="16"/>
        <v>バリュエンス</v>
      </c>
      <c r="R343" t="str">
        <f t="shared" si="26"/>
        <v>ベビーリーフ ロロロッサ</v>
      </c>
      <c r="S343">
        <f t="shared" si="27"/>
        <v>420</v>
      </c>
    </row>
    <row r="344" spans="1:19">
      <c r="A344" s="7">
        <v>72051</v>
      </c>
      <c r="B344" s="8" t="s">
        <v>23</v>
      </c>
      <c r="C344" s="9">
        <v>46041</v>
      </c>
      <c r="D344" s="10" t="s">
        <v>69</v>
      </c>
      <c r="E344" s="10" t="s">
        <v>9</v>
      </c>
      <c r="F344" s="11">
        <v>420</v>
      </c>
      <c r="G344" s="12" t="s">
        <v>24</v>
      </c>
      <c r="H344" s="15">
        <v>46041</v>
      </c>
      <c r="I344" s="16" t="s">
        <v>61</v>
      </c>
      <c r="J344" s="16" t="s">
        <v>62</v>
      </c>
      <c r="K344" s="17">
        <v>600</v>
      </c>
      <c r="O344" t="str" cm="1">
        <f t="array" ref="O344">_xlfn.LET(
_xlpm.corp,$I344,_xlpm.key,$M$2:$M$200,_xlpm.name,$N$2:$N$200,_xlpm.hits,_xlfn._xlws.FILTER(_xlpm.name,ISNUMBER(SEARCH(_xlpm.key,_xlpm.corp))),
IFERROR(INDEX(_xlpm.hits,1),_xlpm.corp))</f>
        <v>Adobe</v>
      </c>
      <c r="P344" t="str">
        <f t="shared" si="25"/>
        <v>2026-01-19</v>
      </c>
      <c r="Q344" t="str">
        <f t="shared" si="16"/>
        <v>Adobe</v>
      </c>
      <c r="R344" t="str">
        <f t="shared" si="26"/>
        <v>ベビーリーフ ロログリーン</v>
      </c>
      <c r="S344">
        <f t="shared" si="27"/>
        <v>600</v>
      </c>
    </row>
    <row r="345" spans="1:19">
      <c r="A345" s="13">
        <v>72050</v>
      </c>
      <c r="B345" s="14" t="s">
        <v>23</v>
      </c>
      <c r="C345" s="15">
        <v>46041</v>
      </c>
      <c r="D345" s="16" t="s">
        <v>61</v>
      </c>
      <c r="E345" s="16" t="s">
        <v>62</v>
      </c>
      <c r="F345" s="17">
        <v>600</v>
      </c>
      <c r="G345" s="18" t="s">
        <v>24</v>
      </c>
      <c r="H345" s="9">
        <v>46041</v>
      </c>
      <c r="I345" s="10" t="s">
        <v>64</v>
      </c>
      <c r="J345" s="10" t="s">
        <v>7</v>
      </c>
      <c r="K345" s="11">
        <v>960</v>
      </c>
      <c r="O345" t="str" cm="1">
        <f t="array" ref="O345">_xlfn.LET(
_xlpm.corp,$I345,_xlpm.key,$M$2:$M$200,_xlpm.name,$N$2:$N$200,_xlpm.hits,_xlfn._xlws.FILTER(_xlpm.name,ISNUMBER(SEARCH(_xlpm.key,_xlpm.corp))),
IFERROR(INDEX(_xlpm.hits,1),_xlpm.corp))</f>
        <v>NaITO</v>
      </c>
      <c r="P345" t="str">
        <f t="shared" si="25"/>
        <v>2026-01-19</v>
      </c>
      <c r="Q345" t="str">
        <f t="shared" si="16"/>
        <v>NaITO/葉物野菜</v>
      </c>
      <c r="R345" t="str">
        <f t="shared" si="26"/>
        <v>レッドオーク</v>
      </c>
      <c r="S345">
        <f t="shared" si="27"/>
        <v>960</v>
      </c>
    </row>
    <row r="346" spans="1:19">
      <c r="A346" s="7">
        <v>72049</v>
      </c>
      <c r="B346" s="8" t="s">
        <v>23</v>
      </c>
      <c r="C346" s="9">
        <v>46041</v>
      </c>
      <c r="D346" s="10" t="s">
        <v>64</v>
      </c>
      <c r="E346" s="10" t="s">
        <v>7</v>
      </c>
      <c r="F346" s="11">
        <v>960</v>
      </c>
      <c r="G346" s="12" t="s">
        <v>24</v>
      </c>
      <c r="H346" s="15">
        <v>46041</v>
      </c>
      <c r="I346" s="16" t="s">
        <v>59</v>
      </c>
      <c r="J346" s="16" t="s">
        <v>7</v>
      </c>
      <c r="K346" s="19">
        <v>1560</v>
      </c>
      <c r="O346" t="str" cm="1">
        <f t="array" ref="O346">_xlfn.LET(
_xlpm.corp,$I346,_xlpm.key,$M$2:$M$200,_xlpm.name,$N$2:$N$200,_xlpm.hits,_xlfn._xlws.FILTER(_xlpm.name,ISNUMBER(SEARCH(_xlpm.key,_xlpm.corp))),
IFERROR(INDEX(_xlpm.hits,1),_xlpm.corp))</f>
        <v>三和</v>
      </c>
      <c r="P346" t="str">
        <f t="shared" si="25"/>
        <v>2026-01-19</v>
      </c>
      <c r="Q346" t="str">
        <f t="shared" si="16"/>
        <v>三和/葉物野菜</v>
      </c>
      <c r="R346" t="str">
        <f t="shared" si="26"/>
        <v>レッドオーク</v>
      </c>
      <c r="S346">
        <f t="shared" si="27"/>
        <v>1560</v>
      </c>
    </row>
    <row r="347" spans="1:19">
      <c r="A347" s="13">
        <v>72048</v>
      </c>
      <c r="B347" s="14" t="s">
        <v>23</v>
      </c>
      <c r="C347" s="15">
        <v>46041</v>
      </c>
      <c r="D347" s="16" t="s">
        <v>59</v>
      </c>
      <c r="E347" s="16" t="s">
        <v>7</v>
      </c>
      <c r="F347" s="19">
        <v>1560</v>
      </c>
      <c r="G347" s="18" t="s">
        <v>24</v>
      </c>
      <c r="H347" s="9">
        <v>46041</v>
      </c>
      <c r="I347" s="10" t="s">
        <v>61</v>
      </c>
      <c r="J347" s="10" t="s">
        <v>62</v>
      </c>
      <c r="K347" s="11">
        <v>280</v>
      </c>
      <c r="O347" t="str" cm="1">
        <f t="array" ref="O347">_xlfn.LET(
_xlpm.corp,$I347,_xlpm.key,$M$2:$M$200,_xlpm.name,$N$2:$N$200,_xlpm.hits,_xlfn._xlws.FILTER(_xlpm.name,ISNUMBER(SEARCH(_xlpm.key,_xlpm.corp))),
IFERROR(INDEX(_xlpm.hits,1),_xlpm.corp))</f>
        <v>Adobe</v>
      </c>
      <c r="P347" t="str">
        <f t="shared" si="25"/>
        <v>2026-01-19</v>
      </c>
      <c r="Q347" t="str">
        <f t="shared" si="16"/>
        <v>Adobe</v>
      </c>
      <c r="R347" t="str">
        <f t="shared" si="26"/>
        <v>ベビーリーフ ロログリーン</v>
      </c>
      <c r="S347">
        <f t="shared" si="27"/>
        <v>280</v>
      </c>
    </row>
    <row r="348" spans="1:19">
      <c r="A348" s="7">
        <v>72042</v>
      </c>
      <c r="B348" s="8" t="s">
        <v>23</v>
      </c>
      <c r="C348" s="9">
        <v>46041</v>
      </c>
      <c r="D348" s="10" t="s">
        <v>61</v>
      </c>
      <c r="E348" s="10" t="s">
        <v>62</v>
      </c>
      <c r="F348" s="11">
        <v>280</v>
      </c>
      <c r="G348" s="12" t="s">
        <v>24</v>
      </c>
      <c r="H348" s="15">
        <v>46041</v>
      </c>
      <c r="I348" s="16" t="s">
        <v>69</v>
      </c>
      <c r="J348" s="16" t="s">
        <v>9</v>
      </c>
      <c r="K348" s="17">
        <v>280</v>
      </c>
      <c r="O348" t="str" cm="1">
        <f t="array" ref="O348">_xlfn.LET(
_xlpm.corp,$I348,_xlpm.key,$M$2:$M$200,_xlpm.name,$N$2:$N$200,_xlpm.hits,_xlfn._xlws.FILTER(_xlpm.name,ISNUMBER(SEARCH(_xlpm.key,_xlpm.corp))),
IFERROR(INDEX(_xlpm.hits,1),_xlpm.corp))</f>
        <v>バリュエンス</v>
      </c>
      <c r="P348" t="str">
        <f t="shared" si="25"/>
        <v>2026-01-19</v>
      </c>
      <c r="Q348" t="str">
        <f t="shared" si="16"/>
        <v>バリュエンス</v>
      </c>
      <c r="R348" t="str">
        <f t="shared" si="26"/>
        <v>ベビーリーフ ロロロッサ</v>
      </c>
      <c r="S348">
        <f t="shared" si="27"/>
        <v>280</v>
      </c>
    </row>
    <row r="349" spans="1:19">
      <c r="A349" s="13">
        <v>72041</v>
      </c>
      <c r="B349" s="14" t="s">
        <v>23</v>
      </c>
      <c r="C349" s="15">
        <v>46041</v>
      </c>
      <c r="D349" s="16" t="s">
        <v>69</v>
      </c>
      <c r="E349" s="16" t="s">
        <v>9</v>
      </c>
      <c r="F349" s="17">
        <v>280</v>
      </c>
      <c r="G349" s="18" t="s">
        <v>24</v>
      </c>
      <c r="H349" s="9">
        <v>46041</v>
      </c>
      <c r="I349" s="10" t="s">
        <v>59</v>
      </c>
      <c r="J349" s="10" t="s">
        <v>2</v>
      </c>
      <c r="K349" s="11">
        <v>740</v>
      </c>
      <c r="O349" t="str" cm="1">
        <f t="array" ref="O349">_xlfn.LET(
_xlpm.corp,$I349,_xlpm.key,$M$2:$M$200,_xlpm.name,$N$2:$N$200,_xlpm.hits,_xlfn._xlws.FILTER(_xlpm.name,ISNUMBER(SEARCH(_xlpm.key,_xlpm.corp))),
IFERROR(INDEX(_xlpm.hits,1),_xlpm.corp))</f>
        <v>三和</v>
      </c>
      <c r="P349" t="str">
        <f t="shared" si="25"/>
        <v>2026-01-19</v>
      </c>
      <c r="Q349" t="str">
        <f t="shared" si="16"/>
        <v>三和</v>
      </c>
      <c r="R349" t="str">
        <f t="shared" si="26"/>
        <v>ベビーリーフ グリーンオーク</v>
      </c>
      <c r="S349">
        <f t="shared" si="27"/>
        <v>740</v>
      </c>
    </row>
    <row r="350" spans="1:19">
      <c r="A350" s="7">
        <v>72040</v>
      </c>
      <c r="B350" s="8" t="s">
        <v>23</v>
      </c>
      <c r="C350" s="9">
        <v>46041</v>
      </c>
      <c r="D350" s="10" t="s">
        <v>59</v>
      </c>
      <c r="E350" s="10" t="s">
        <v>2</v>
      </c>
      <c r="F350" s="11">
        <v>740</v>
      </c>
      <c r="G350" s="12" t="s">
        <v>24</v>
      </c>
      <c r="H350" s="15">
        <v>46041</v>
      </c>
      <c r="I350" s="16" t="s">
        <v>59</v>
      </c>
      <c r="J350" s="16" t="s">
        <v>2</v>
      </c>
      <c r="K350" s="17">
        <v>940</v>
      </c>
      <c r="O350" t="str" cm="1">
        <f t="array" ref="O350">_xlfn.LET(
_xlpm.corp,$I350,_xlpm.key,$M$2:$M$200,_xlpm.name,$N$2:$N$200,_xlpm.hits,_xlfn._xlws.FILTER(_xlpm.name,ISNUMBER(SEARCH(_xlpm.key,_xlpm.corp))),
IFERROR(INDEX(_xlpm.hits,1),_xlpm.corp))</f>
        <v>三和</v>
      </c>
      <c r="P350" t="str">
        <f t="shared" si="25"/>
        <v>2026-01-19</v>
      </c>
      <c r="Q350" t="str">
        <f t="shared" si="16"/>
        <v>三和</v>
      </c>
      <c r="R350" t="str">
        <f t="shared" si="26"/>
        <v>ベビーリーフ グリーンオーク</v>
      </c>
      <c r="S350">
        <f t="shared" si="27"/>
        <v>940</v>
      </c>
    </row>
    <row r="351" spans="1:19">
      <c r="A351" s="13">
        <v>72039</v>
      </c>
      <c r="B351" s="14" t="s">
        <v>23</v>
      </c>
      <c r="C351" s="15">
        <v>46041</v>
      </c>
      <c r="D351" s="16" t="s">
        <v>59</v>
      </c>
      <c r="E351" s="16" t="s">
        <v>2</v>
      </c>
      <c r="F351" s="17">
        <v>940</v>
      </c>
      <c r="G351" s="18" t="s">
        <v>24</v>
      </c>
      <c r="H351" s="9">
        <v>46041</v>
      </c>
      <c r="I351" s="10" t="s">
        <v>57</v>
      </c>
      <c r="J351" s="10" t="s">
        <v>4</v>
      </c>
      <c r="K351" s="11">
        <v>140</v>
      </c>
      <c r="O351" t="str" cm="1">
        <f t="array" ref="O351">_xlfn.LET(
_xlpm.corp,$I351,_xlpm.key,$M$2:$M$200,_xlpm.name,$N$2:$N$200,_xlpm.hits,_xlfn._xlws.FILTER(_xlpm.name,ISNUMBER(SEARCH(_xlpm.key,_xlpm.corp))),
IFERROR(INDEX(_xlpm.hits,1),_xlpm.corp))</f>
        <v>QB</v>
      </c>
      <c r="P351" t="str">
        <f t="shared" si="25"/>
        <v>2026-01-19</v>
      </c>
      <c r="Q351" t="str">
        <f t="shared" si="16"/>
        <v>QB</v>
      </c>
      <c r="R351" t="str">
        <f t="shared" si="26"/>
        <v>ベビーリーフ ピノグリーン</v>
      </c>
      <c r="S351">
        <f t="shared" si="27"/>
        <v>140</v>
      </c>
    </row>
    <row r="352" spans="1:19">
      <c r="A352" s="7">
        <v>72038</v>
      </c>
      <c r="B352" s="8" t="s">
        <v>23</v>
      </c>
      <c r="C352" s="9">
        <v>46041</v>
      </c>
      <c r="D352" s="10" t="s">
        <v>57</v>
      </c>
      <c r="E352" s="10" t="s">
        <v>4</v>
      </c>
      <c r="F352" s="11">
        <v>140</v>
      </c>
      <c r="G352" s="12" t="s">
        <v>24</v>
      </c>
      <c r="H352" s="15">
        <v>46041</v>
      </c>
      <c r="I352" s="16" t="s">
        <v>57</v>
      </c>
      <c r="J352" s="16" t="s">
        <v>3</v>
      </c>
      <c r="K352" s="17">
        <v>80</v>
      </c>
      <c r="O352" t="str" cm="1">
        <f t="array" ref="O352">_xlfn.LET(
_xlpm.corp,$I352,_xlpm.key,$M$2:$M$200,_xlpm.name,$N$2:$N$200,_xlpm.hits,_xlfn._xlws.FILTER(_xlpm.name,ISNUMBER(SEARCH(_xlpm.key,_xlpm.corp))),
IFERROR(INDEX(_xlpm.hits,1),_xlpm.corp))</f>
        <v>QB</v>
      </c>
      <c r="P352" t="str">
        <f t="shared" si="25"/>
        <v>2026-01-19</v>
      </c>
      <c r="Q352" t="str">
        <f t="shared" si="16"/>
        <v>QB/加工BL</v>
      </c>
      <c r="R352" t="str">
        <f t="shared" si="26"/>
        <v>加工BL</v>
      </c>
      <c r="S352">
        <f t="shared" si="27"/>
        <v>80</v>
      </c>
    </row>
    <row r="353" spans="1:19">
      <c r="A353" s="13">
        <v>72037</v>
      </c>
      <c r="B353" s="14" t="s">
        <v>23</v>
      </c>
      <c r="C353" s="15">
        <v>46041</v>
      </c>
      <c r="D353" s="16" t="s">
        <v>57</v>
      </c>
      <c r="E353" s="16" t="s">
        <v>3</v>
      </c>
      <c r="F353" s="17">
        <v>80</v>
      </c>
      <c r="G353" s="18" t="s">
        <v>24</v>
      </c>
      <c r="H353" s="9">
        <v>46041</v>
      </c>
      <c r="I353" s="10" t="s">
        <v>57</v>
      </c>
      <c r="J353" s="10" t="s">
        <v>2</v>
      </c>
      <c r="K353" s="11">
        <v>100</v>
      </c>
      <c r="O353" t="str" cm="1">
        <f t="array" ref="O353">_xlfn.LET(
_xlpm.corp,$I353,_xlpm.key,$M$2:$M$200,_xlpm.name,$N$2:$N$200,_xlpm.hits,_xlfn._xlws.FILTER(_xlpm.name,ISNUMBER(SEARCH(_xlpm.key,_xlpm.corp))),
IFERROR(INDEX(_xlpm.hits,1),_xlpm.corp))</f>
        <v>QB</v>
      </c>
      <c r="P353" t="str">
        <f t="shared" si="25"/>
        <v>2026-01-19</v>
      </c>
      <c r="Q353" t="str">
        <f t="shared" si="16"/>
        <v>QB</v>
      </c>
      <c r="R353" t="str">
        <f t="shared" si="26"/>
        <v>ベビーリーフ グリーンオーク</v>
      </c>
      <c r="S353">
        <f t="shared" si="27"/>
        <v>100</v>
      </c>
    </row>
    <row r="354" spans="1:19">
      <c r="A354" s="7">
        <v>72036</v>
      </c>
      <c r="B354" s="8" t="s">
        <v>23</v>
      </c>
      <c r="C354" s="9">
        <v>46041</v>
      </c>
      <c r="D354" s="10" t="s">
        <v>57</v>
      </c>
      <c r="E354" s="10" t="s">
        <v>2</v>
      </c>
      <c r="F354" s="11">
        <v>100</v>
      </c>
      <c r="G354" s="12" t="s">
        <v>24</v>
      </c>
      <c r="H354" s="15">
        <v>46041</v>
      </c>
      <c r="I354" s="16" t="s">
        <v>27</v>
      </c>
      <c r="J354" s="16" t="s">
        <v>9</v>
      </c>
      <c r="K354" s="17">
        <v>300</v>
      </c>
      <c r="O354" t="str" cm="1">
        <f t="array" ref="O354">_xlfn.LET(
_xlpm.corp,$I354,_xlpm.key,$M$2:$M$200,_xlpm.name,$N$2:$N$200,_xlpm.hits,_xlfn._xlws.FILTER(_xlpm.name,ISNUMBER(SEARCH(_xlpm.key,_xlpm.corp))),
IFERROR(INDEX(_xlpm.hits,1),_xlpm.corp))</f>
        <v>東レ</v>
      </c>
      <c r="P354" t="str">
        <f t="shared" si="25"/>
        <v>2026-01-19</v>
      </c>
      <c r="Q354" t="str">
        <f t="shared" si="16"/>
        <v>東レ</v>
      </c>
      <c r="R354" t="str">
        <f t="shared" si="26"/>
        <v>ベビーリーフ ロロロッサ</v>
      </c>
      <c r="S354">
        <f t="shared" si="27"/>
        <v>300</v>
      </c>
    </row>
    <row r="355" spans="1:19">
      <c r="A355" s="13">
        <v>72035</v>
      </c>
      <c r="B355" s="14" t="s">
        <v>23</v>
      </c>
      <c r="C355" s="15">
        <v>46041</v>
      </c>
      <c r="D355" s="16" t="s">
        <v>27</v>
      </c>
      <c r="E355" s="16" t="s">
        <v>9</v>
      </c>
      <c r="F355" s="17">
        <v>300</v>
      </c>
      <c r="G355" s="18" t="s">
        <v>24</v>
      </c>
      <c r="H355" s="9">
        <v>46041</v>
      </c>
      <c r="I355" s="10" t="s">
        <v>27</v>
      </c>
      <c r="J355" s="10" t="s">
        <v>2</v>
      </c>
      <c r="K355" s="11">
        <v>500</v>
      </c>
      <c r="O355" t="str" cm="1">
        <f t="array" ref="O355">_xlfn.LET(
_xlpm.corp,$I355,_xlpm.key,$M$2:$M$200,_xlpm.name,$N$2:$N$200,_xlpm.hits,_xlfn._xlws.FILTER(_xlpm.name,ISNUMBER(SEARCH(_xlpm.key,_xlpm.corp))),
IFERROR(INDEX(_xlpm.hits,1),_xlpm.corp))</f>
        <v>東レ</v>
      </c>
      <c r="P355" t="str">
        <f t="shared" si="25"/>
        <v>2026-01-19</v>
      </c>
      <c r="Q355" t="str">
        <f t="shared" si="16"/>
        <v>東レ</v>
      </c>
      <c r="R355" t="str">
        <f t="shared" si="26"/>
        <v>ベビーリーフ グリーンオーク</v>
      </c>
      <c r="S355">
        <f t="shared" si="27"/>
        <v>500</v>
      </c>
    </row>
    <row r="356" spans="1:19">
      <c r="A356" s="7">
        <v>72034</v>
      </c>
      <c r="B356" s="8" t="s">
        <v>23</v>
      </c>
      <c r="C356" s="9">
        <v>46041</v>
      </c>
      <c r="D356" s="10" t="s">
        <v>27</v>
      </c>
      <c r="E356" s="10" t="s">
        <v>2</v>
      </c>
      <c r="F356" s="11">
        <v>500</v>
      </c>
      <c r="G356" s="12" t="s">
        <v>24</v>
      </c>
      <c r="H356" s="15">
        <v>46041</v>
      </c>
      <c r="I356" s="16" t="s">
        <v>27</v>
      </c>
      <c r="J356" s="16" t="s">
        <v>11</v>
      </c>
      <c r="K356" s="17">
        <v>460</v>
      </c>
      <c r="O356" t="str" cm="1">
        <f t="array" ref="O356">_xlfn.LET(
_xlpm.corp,$I356,_xlpm.key,$M$2:$M$200,_xlpm.name,$N$2:$N$200,_xlpm.hits,_xlfn._xlws.FILTER(_xlpm.name,ISNUMBER(SEARCH(_xlpm.key,_xlpm.corp))),
IFERROR(INDEX(_xlpm.hits,1),_xlpm.corp))</f>
        <v>東レ</v>
      </c>
      <c r="P356" t="str">
        <f t="shared" si="25"/>
        <v>2026-01-19</v>
      </c>
      <c r="Q356" t="str">
        <f t="shared" si="16"/>
        <v>東レ</v>
      </c>
      <c r="R356" t="str">
        <f t="shared" si="26"/>
        <v>ベビーリーフ レッドオーク</v>
      </c>
      <c r="S356">
        <f t="shared" si="27"/>
        <v>460</v>
      </c>
    </row>
    <row r="357" spans="1:19">
      <c r="A357" s="13">
        <v>72033</v>
      </c>
      <c r="B357" s="14" t="s">
        <v>23</v>
      </c>
      <c r="C357" s="15">
        <v>46041</v>
      </c>
      <c r="D357" s="16" t="s">
        <v>27</v>
      </c>
      <c r="E357" s="16" t="s">
        <v>11</v>
      </c>
      <c r="F357" s="17">
        <v>460</v>
      </c>
      <c r="G357" s="18" t="s">
        <v>24</v>
      </c>
      <c r="H357" s="9">
        <v>46041</v>
      </c>
      <c r="I357" s="10" t="s">
        <v>27</v>
      </c>
      <c r="J357" s="10" t="s">
        <v>3</v>
      </c>
      <c r="K357" s="11">
        <v>200</v>
      </c>
      <c r="O357" t="str" cm="1">
        <f t="array" ref="O357">_xlfn.LET(
_xlpm.corp,$I357,_xlpm.key,$M$2:$M$200,_xlpm.name,$N$2:$N$200,_xlpm.hits,_xlfn._xlws.FILTER(_xlpm.name,ISNUMBER(SEARCH(_xlpm.key,_xlpm.corp))),
IFERROR(INDEX(_xlpm.hits,1),_xlpm.corp))</f>
        <v>東レ</v>
      </c>
      <c r="P357" t="str">
        <f t="shared" si="25"/>
        <v>2026-01-19</v>
      </c>
      <c r="Q357" t="str">
        <f t="shared" si="16"/>
        <v>東レ/加工BL</v>
      </c>
      <c r="R357" t="str">
        <f t="shared" si="26"/>
        <v>加工BL</v>
      </c>
      <c r="S357">
        <f t="shared" si="27"/>
        <v>200</v>
      </c>
    </row>
    <row r="358" spans="1:19">
      <c r="A358" s="7">
        <v>72032</v>
      </c>
      <c r="B358" s="8" t="s">
        <v>23</v>
      </c>
      <c r="C358" s="9">
        <v>46041</v>
      </c>
      <c r="D358" s="10" t="s">
        <v>27</v>
      </c>
      <c r="E358" s="10" t="s">
        <v>3</v>
      </c>
      <c r="F358" s="11">
        <v>200</v>
      </c>
      <c r="G358" s="12" t="s">
        <v>24</v>
      </c>
      <c r="H358" s="15">
        <v>46041</v>
      </c>
      <c r="I358" s="16" t="s">
        <v>26</v>
      </c>
      <c r="J358" s="16" t="s">
        <v>3</v>
      </c>
      <c r="K358" s="17">
        <v>60</v>
      </c>
      <c r="O358" t="str" cm="1">
        <f t="array" ref="O358">_xlfn.LET(
_xlpm.corp,$I358,_xlpm.key,$M$2:$M$200,_xlpm.name,$N$2:$N$200,_xlpm.hits,_xlfn._xlws.FILTER(_xlpm.name,ISNUMBER(SEARCH(_xlpm.key,_xlpm.corp))),
IFERROR(INDEX(_xlpm.hits,1),_xlpm.corp))</f>
        <v>日建</v>
      </c>
      <c r="P358" t="str">
        <f t="shared" si="25"/>
        <v>2026-01-19</v>
      </c>
      <c r="Q358" t="str">
        <f t="shared" si="16"/>
        <v>日建/加工BL</v>
      </c>
      <c r="R358" t="str">
        <f t="shared" si="26"/>
        <v>加工BL</v>
      </c>
      <c r="S358">
        <f t="shared" si="27"/>
        <v>60</v>
      </c>
    </row>
    <row r="359" spans="1:19">
      <c r="A359" s="13">
        <v>72031</v>
      </c>
      <c r="B359" s="14" t="s">
        <v>23</v>
      </c>
      <c r="C359" s="15">
        <v>46041</v>
      </c>
      <c r="D359" s="16" t="s">
        <v>26</v>
      </c>
      <c r="E359" s="16" t="s">
        <v>3</v>
      </c>
      <c r="F359" s="17">
        <v>60</v>
      </c>
      <c r="G359" s="18" t="s">
        <v>24</v>
      </c>
      <c r="H359" s="9">
        <v>46041</v>
      </c>
      <c r="I359" s="10" t="s">
        <v>26</v>
      </c>
      <c r="J359" s="10" t="s">
        <v>3</v>
      </c>
      <c r="K359" s="11">
        <v>420</v>
      </c>
      <c r="O359" t="str" cm="1">
        <f t="array" ref="O359">_xlfn.LET(
_xlpm.corp,$I359,_xlpm.key,$M$2:$M$200,_xlpm.name,$N$2:$N$200,_xlpm.hits,_xlfn._xlws.FILTER(_xlpm.name,ISNUMBER(SEARCH(_xlpm.key,_xlpm.corp))),
IFERROR(INDEX(_xlpm.hits,1),_xlpm.corp))</f>
        <v>日建</v>
      </c>
      <c r="P359" t="str">
        <f t="shared" si="25"/>
        <v>2026-01-19</v>
      </c>
      <c r="Q359" t="str">
        <f t="shared" si="16"/>
        <v>日建/加工BL</v>
      </c>
      <c r="R359" t="str">
        <f t="shared" si="26"/>
        <v>加工BL</v>
      </c>
      <c r="S359">
        <f t="shared" si="27"/>
        <v>420</v>
      </c>
    </row>
    <row r="360" spans="1:19">
      <c r="A360" s="7">
        <v>72030</v>
      </c>
      <c r="B360" s="8" t="s">
        <v>23</v>
      </c>
      <c r="C360" s="9">
        <v>46041</v>
      </c>
      <c r="D360" s="10" t="s">
        <v>26</v>
      </c>
      <c r="E360" s="10" t="s">
        <v>3</v>
      </c>
      <c r="F360" s="11">
        <v>420</v>
      </c>
      <c r="G360" s="12" t="s">
        <v>24</v>
      </c>
      <c r="H360" s="15">
        <v>46041</v>
      </c>
      <c r="I360" s="16" t="s">
        <v>67</v>
      </c>
      <c r="J360" s="16" t="s">
        <v>2</v>
      </c>
      <c r="K360" s="17">
        <v>160</v>
      </c>
      <c r="O360" t="str" cm="1">
        <f t="array" ref="O360">_xlfn.LET(
_xlpm.corp,$I360,_xlpm.key,$M$2:$M$200,_xlpm.name,$N$2:$N$200,_xlpm.hits,_xlfn._xlws.FILTER(_xlpm.name,ISNUMBER(SEARCH(_xlpm.key,_xlpm.corp))),
IFERROR(INDEX(_xlpm.hits,1),_xlpm.corp))</f>
        <v>日本ロレアル</v>
      </c>
      <c r="P360" t="str">
        <f t="shared" si="25"/>
        <v>2026-01-19</v>
      </c>
      <c r="Q360" t="str">
        <f t="shared" si="16"/>
        <v>日本ロレアル</v>
      </c>
      <c r="R360" t="str">
        <f t="shared" si="26"/>
        <v>ベビーリーフ グリーンオーク</v>
      </c>
      <c r="S360">
        <f t="shared" si="27"/>
        <v>160</v>
      </c>
    </row>
    <row r="361" spans="1:19">
      <c r="A361" s="13">
        <v>72029</v>
      </c>
      <c r="B361" s="14" t="s">
        <v>23</v>
      </c>
      <c r="C361" s="15">
        <v>46041</v>
      </c>
      <c r="D361" s="16" t="s">
        <v>67</v>
      </c>
      <c r="E361" s="16" t="s">
        <v>2</v>
      </c>
      <c r="F361" s="17">
        <v>160</v>
      </c>
      <c r="G361" s="18" t="s">
        <v>24</v>
      </c>
      <c r="H361" s="9">
        <v>46041</v>
      </c>
      <c r="I361" s="10" t="s">
        <v>67</v>
      </c>
      <c r="J361" s="10" t="s">
        <v>4</v>
      </c>
      <c r="K361" s="11">
        <v>120</v>
      </c>
      <c r="O361" t="str" cm="1">
        <f t="array" ref="O361">_xlfn.LET(
_xlpm.corp,$I361,_xlpm.key,$M$2:$M$200,_xlpm.name,$N$2:$N$200,_xlpm.hits,_xlfn._xlws.FILTER(_xlpm.name,ISNUMBER(SEARCH(_xlpm.key,_xlpm.corp))),
IFERROR(INDEX(_xlpm.hits,1),_xlpm.corp))</f>
        <v>日本ロレアル</v>
      </c>
      <c r="P361" t="str">
        <f t="shared" si="25"/>
        <v>2026-01-19</v>
      </c>
      <c r="Q361" t="str">
        <f t="shared" si="16"/>
        <v>日本ロレアル</v>
      </c>
      <c r="R361" t="str">
        <f t="shared" si="26"/>
        <v>ベビーリーフ ピノグリーン</v>
      </c>
      <c r="S361">
        <f t="shared" si="27"/>
        <v>120</v>
      </c>
    </row>
    <row r="362" spans="1:19">
      <c r="A362" s="7">
        <v>72028</v>
      </c>
      <c r="B362" s="8" t="s">
        <v>23</v>
      </c>
      <c r="C362" s="9">
        <v>46041</v>
      </c>
      <c r="D362" s="10" t="s">
        <v>67</v>
      </c>
      <c r="E362" s="10" t="s">
        <v>4</v>
      </c>
      <c r="F362" s="11">
        <v>120</v>
      </c>
      <c r="G362" s="12" t="s">
        <v>24</v>
      </c>
      <c r="H362" s="15">
        <v>46041</v>
      </c>
      <c r="I362" s="16" t="s">
        <v>72</v>
      </c>
      <c r="J362" s="16" t="s">
        <v>3</v>
      </c>
      <c r="K362" s="17">
        <v>100</v>
      </c>
      <c r="O362" t="str" cm="1">
        <f t="array" ref="O362">_xlfn.LET(
_xlpm.corp,$I362,_xlpm.key,$M$2:$M$200,_xlpm.name,$N$2:$N$200,_xlpm.hits,_xlfn._xlws.FILTER(_xlpm.name,ISNUMBER(SEARCH(_xlpm.key,_xlpm.corp))),
IFERROR(INDEX(_xlpm.hits,1),_xlpm.corp))</f>
        <v>岡部</v>
      </c>
      <c r="P362" t="str">
        <f t="shared" si="25"/>
        <v>2026-01-19</v>
      </c>
      <c r="Q362" t="str">
        <f t="shared" si="16"/>
        <v>岡部/加工BL</v>
      </c>
      <c r="R362" t="str">
        <f t="shared" si="26"/>
        <v>加工BL</v>
      </c>
      <c r="S362">
        <f t="shared" si="27"/>
        <v>100</v>
      </c>
    </row>
    <row r="363" spans="1:19">
      <c r="A363" s="13">
        <v>72027</v>
      </c>
      <c r="B363" s="14" t="s">
        <v>23</v>
      </c>
      <c r="C363" s="15">
        <v>46041</v>
      </c>
      <c r="D363" s="16" t="s">
        <v>72</v>
      </c>
      <c r="E363" s="16" t="s">
        <v>3</v>
      </c>
      <c r="F363" s="17">
        <v>100</v>
      </c>
      <c r="G363" s="18" t="s">
        <v>24</v>
      </c>
      <c r="H363" s="9">
        <v>46041</v>
      </c>
      <c r="I363" s="10" t="s">
        <v>72</v>
      </c>
      <c r="J363" s="10" t="s">
        <v>11</v>
      </c>
      <c r="K363" s="11">
        <v>460</v>
      </c>
      <c r="O363" t="str" cm="1">
        <f t="array" ref="O363">_xlfn.LET(
_xlpm.corp,$I363,_xlpm.key,$M$2:$M$200,_xlpm.name,$N$2:$N$200,_xlpm.hits,_xlfn._xlws.FILTER(_xlpm.name,ISNUMBER(SEARCH(_xlpm.key,_xlpm.corp))),
IFERROR(INDEX(_xlpm.hits,1),_xlpm.corp))</f>
        <v>岡部</v>
      </c>
      <c r="P363" t="str">
        <f t="shared" si="25"/>
        <v>2026-01-19</v>
      </c>
      <c r="Q363" t="str">
        <f t="shared" si="16"/>
        <v>岡部</v>
      </c>
      <c r="R363" t="str">
        <f t="shared" si="26"/>
        <v>ベビーリーフ レッドオーク</v>
      </c>
      <c r="S363">
        <f t="shared" si="27"/>
        <v>460</v>
      </c>
    </row>
    <row r="364" spans="1:19">
      <c r="A364" s="7">
        <v>72026</v>
      </c>
      <c r="B364" s="8" t="s">
        <v>23</v>
      </c>
      <c r="C364" s="9">
        <v>46041</v>
      </c>
      <c r="D364" s="10" t="s">
        <v>72</v>
      </c>
      <c r="E364" s="10" t="s">
        <v>11</v>
      </c>
      <c r="F364" s="11">
        <v>460</v>
      </c>
      <c r="G364" s="12" t="s">
        <v>24</v>
      </c>
      <c r="H364" s="15">
        <v>46041</v>
      </c>
      <c r="I364" s="16" t="s">
        <v>66</v>
      </c>
      <c r="J364" s="16" t="s">
        <v>11</v>
      </c>
      <c r="K364" s="19">
        <v>2040</v>
      </c>
      <c r="O364" t="str" cm="1">
        <f t="array" ref="O364">_xlfn.LET(
_xlpm.corp,$I364,_xlpm.key,$M$2:$M$200,_xlpm.name,$N$2:$N$200,_xlpm.hits,_xlfn._xlws.FILTER(_xlpm.name,ISNUMBER(SEARCH(_xlpm.key,_xlpm.corp))),
IFERROR(INDEX(_xlpm.hits,1),_xlpm.corp))</f>
        <v>ケイアイ</v>
      </c>
      <c r="P364" t="str">
        <f t="shared" si="25"/>
        <v>2026-01-19</v>
      </c>
      <c r="Q364" t="str">
        <f t="shared" si="16"/>
        <v>ケイアイ</v>
      </c>
      <c r="R364" t="str">
        <f t="shared" si="26"/>
        <v>ベビーリーフ レッドオーク</v>
      </c>
      <c r="S364">
        <f t="shared" si="27"/>
        <v>2040</v>
      </c>
    </row>
    <row r="365" spans="1:19">
      <c r="A365" s="13">
        <v>72025</v>
      </c>
      <c r="B365" s="14" t="s">
        <v>23</v>
      </c>
      <c r="C365" s="15">
        <v>46041</v>
      </c>
      <c r="D365" s="16" t="s">
        <v>66</v>
      </c>
      <c r="E365" s="16" t="s">
        <v>11</v>
      </c>
      <c r="F365" s="19">
        <v>2040</v>
      </c>
      <c r="G365" s="18" t="s">
        <v>24</v>
      </c>
      <c r="H365" s="9">
        <v>46041</v>
      </c>
      <c r="I365" s="10" t="s">
        <v>56</v>
      </c>
      <c r="J365" s="10" t="s">
        <v>3</v>
      </c>
      <c r="K365" s="11">
        <v>20</v>
      </c>
      <c r="O365" t="str" cm="1">
        <f t="array" ref="O365">_xlfn.LET(
_xlpm.corp,$I365,_xlpm.key,$M$2:$M$200,_xlpm.name,$N$2:$N$200,_xlpm.hits,_xlfn._xlws.FILTER(_xlpm.name,ISNUMBER(SEARCH(_xlpm.key,_xlpm.corp))),
IFERROR(INDEX(_xlpm.hits,1),_xlpm.corp))</f>
        <v>サンセイランディック</v>
      </c>
      <c r="P365" t="str">
        <f t="shared" si="25"/>
        <v>2026-01-19</v>
      </c>
      <c r="Q365" t="str">
        <f t="shared" si="16"/>
        <v>サンセイランディック/加工BL</v>
      </c>
      <c r="R365" t="str">
        <f t="shared" si="26"/>
        <v>加工BL</v>
      </c>
      <c r="S365">
        <f t="shared" si="27"/>
        <v>20</v>
      </c>
    </row>
    <row r="366" spans="1:19">
      <c r="A366" s="7">
        <v>72024</v>
      </c>
      <c r="B366" s="8" t="s">
        <v>23</v>
      </c>
      <c r="C366" s="9">
        <v>46041</v>
      </c>
      <c r="D366" s="10" t="s">
        <v>56</v>
      </c>
      <c r="E366" s="10" t="s">
        <v>3</v>
      </c>
      <c r="F366" s="11">
        <v>20</v>
      </c>
      <c r="G366" s="12" t="s">
        <v>24</v>
      </c>
      <c r="H366" s="15">
        <v>46041</v>
      </c>
      <c r="I366" s="16" t="s">
        <v>57</v>
      </c>
      <c r="J366" s="16" t="s">
        <v>4</v>
      </c>
      <c r="K366" s="17">
        <v>120</v>
      </c>
      <c r="O366" t="str" cm="1">
        <f t="array" ref="O366">_xlfn.LET(
_xlpm.corp,$I366,_xlpm.key,$M$2:$M$200,_xlpm.name,$N$2:$N$200,_xlpm.hits,_xlfn._xlws.FILTER(_xlpm.name,ISNUMBER(SEARCH(_xlpm.key,_xlpm.corp))),
IFERROR(INDEX(_xlpm.hits,1),_xlpm.corp))</f>
        <v>QB</v>
      </c>
      <c r="P366" t="str">
        <f t="shared" si="25"/>
        <v>2026-01-19</v>
      </c>
      <c r="Q366" t="str">
        <f t="shared" si="16"/>
        <v>QB</v>
      </c>
      <c r="R366" t="str">
        <f t="shared" si="26"/>
        <v>ベビーリーフ ピノグリーン</v>
      </c>
      <c r="S366">
        <f t="shared" si="27"/>
        <v>120</v>
      </c>
    </row>
    <row r="367" spans="1:19">
      <c r="A367" s="13">
        <v>71932</v>
      </c>
      <c r="B367" s="14" t="s">
        <v>23</v>
      </c>
      <c r="C367" s="15">
        <v>46041</v>
      </c>
      <c r="D367" s="16" t="s">
        <v>57</v>
      </c>
      <c r="E367" s="16" t="s">
        <v>4</v>
      </c>
      <c r="F367" s="17">
        <v>120</v>
      </c>
      <c r="G367" s="18" t="s">
        <v>24</v>
      </c>
      <c r="H367" s="9">
        <v>46041</v>
      </c>
      <c r="I367" s="10" t="s">
        <v>27</v>
      </c>
      <c r="J367" s="10" t="s">
        <v>3</v>
      </c>
      <c r="K367" s="11">
        <v>260</v>
      </c>
      <c r="O367" t="str" cm="1">
        <f t="array" ref="O367">_xlfn.LET(
_xlpm.corp,$I367,_xlpm.key,$M$2:$M$200,_xlpm.name,$N$2:$N$200,_xlpm.hits,_xlfn._xlws.FILTER(_xlpm.name,ISNUMBER(SEARCH(_xlpm.key,_xlpm.corp))),
IFERROR(INDEX(_xlpm.hits,1),_xlpm.corp))</f>
        <v>東レ</v>
      </c>
      <c r="P367" t="str">
        <f t="shared" si="25"/>
        <v>2026-01-19</v>
      </c>
      <c r="Q367" t="str">
        <f t="shared" si="16"/>
        <v>東レ/加工BL</v>
      </c>
      <c r="R367" t="str">
        <f t="shared" si="26"/>
        <v>加工BL</v>
      </c>
      <c r="S367">
        <f t="shared" si="27"/>
        <v>260</v>
      </c>
    </row>
    <row r="368" spans="1:19">
      <c r="A368" s="7">
        <v>71931</v>
      </c>
      <c r="B368" s="8" t="s">
        <v>23</v>
      </c>
      <c r="C368" s="9">
        <v>46041</v>
      </c>
      <c r="D368" s="10" t="s">
        <v>27</v>
      </c>
      <c r="E368" s="10" t="s">
        <v>3</v>
      </c>
      <c r="F368" s="11">
        <v>260</v>
      </c>
      <c r="G368" s="12" t="s">
        <v>24</v>
      </c>
      <c r="H368" s="15">
        <v>46041</v>
      </c>
      <c r="I368" s="16" t="s">
        <v>57</v>
      </c>
      <c r="J368" s="16" t="s">
        <v>2</v>
      </c>
      <c r="K368" s="17">
        <v>140</v>
      </c>
      <c r="O368" t="str" cm="1">
        <f t="array" ref="O368">_xlfn.LET(
_xlpm.corp,$I368,_xlpm.key,$M$2:$M$200,_xlpm.name,$N$2:$N$200,_xlpm.hits,_xlfn._xlws.FILTER(_xlpm.name,ISNUMBER(SEARCH(_xlpm.key,_xlpm.corp))),
IFERROR(INDEX(_xlpm.hits,1),_xlpm.corp))</f>
        <v>QB</v>
      </c>
      <c r="P368" t="str">
        <f t="shared" si="25"/>
        <v>2026-01-19</v>
      </c>
      <c r="Q368" t="str">
        <f t="shared" si="16"/>
        <v>QB</v>
      </c>
      <c r="R368" t="str">
        <f t="shared" si="26"/>
        <v>ベビーリーフ グリーンオーク</v>
      </c>
      <c r="S368">
        <f t="shared" si="27"/>
        <v>140</v>
      </c>
    </row>
    <row r="369" spans="1:19">
      <c r="A369" s="13">
        <v>71930</v>
      </c>
      <c r="B369" s="14" t="s">
        <v>23</v>
      </c>
      <c r="C369" s="15">
        <v>46041</v>
      </c>
      <c r="D369" s="16" t="s">
        <v>57</v>
      </c>
      <c r="E369" s="16" t="s">
        <v>2</v>
      </c>
      <c r="F369" s="17">
        <v>140</v>
      </c>
      <c r="G369" s="18" t="s">
        <v>24</v>
      </c>
      <c r="H369" s="9">
        <v>46041</v>
      </c>
      <c r="I369" s="10" t="s">
        <v>27</v>
      </c>
      <c r="J369" s="10" t="s">
        <v>9</v>
      </c>
      <c r="K369" s="11">
        <v>460</v>
      </c>
      <c r="O369" t="str" cm="1">
        <f t="array" ref="O369">_xlfn.LET(
_xlpm.corp,$I369,_xlpm.key,$M$2:$M$200,_xlpm.name,$N$2:$N$200,_xlpm.hits,_xlfn._xlws.FILTER(_xlpm.name,ISNUMBER(SEARCH(_xlpm.key,_xlpm.corp))),
IFERROR(INDEX(_xlpm.hits,1),_xlpm.corp))</f>
        <v>東レ</v>
      </c>
      <c r="P369" t="str">
        <f t="shared" si="25"/>
        <v>2026-01-19</v>
      </c>
      <c r="Q369" t="str">
        <f t="shared" si="16"/>
        <v>東レ</v>
      </c>
      <c r="R369" t="str">
        <f t="shared" si="26"/>
        <v>ベビーリーフ ロロロッサ</v>
      </c>
      <c r="S369">
        <f t="shared" si="27"/>
        <v>460</v>
      </c>
    </row>
    <row r="370" spans="1:19">
      <c r="A370" s="7">
        <v>71929</v>
      </c>
      <c r="B370" s="8" t="s">
        <v>23</v>
      </c>
      <c r="C370" s="9">
        <v>46041</v>
      </c>
      <c r="D370" s="10" t="s">
        <v>27</v>
      </c>
      <c r="E370" s="10" t="s">
        <v>9</v>
      </c>
      <c r="F370" s="11">
        <v>460</v>
      </c>
      <c r="G370" s="12" t="s">
        <v>24</v>
      </c>
      <c r="H370" s="15">
        <v>46041</v>
      </c>
      <c r="I370" s="16" t="s">
        <v>65</v>
      </c>
      <c r="J370" s="16" t="s">
        <v>2</v>
      </c>
      <c r="K370" s="17">
        <v>740</v>
      </c>
      <c r="O370" t="str" cm="1">
        <f t="array" ref="O370">_xlfn.LET(
_xlpm.corp,$I370,_xlpm.key,$M$2:$M$200,_xlpm.name,$N$2:$N$200,_xlpm.hits,_xlfn._xlws.FILTER(_xlpm.name,ISNUMBER(SEARCH(_xlpm.key,_xlpm.corp))),
IFERROR(INDEX(_xlpm.hits,1),_xlpm.corp))</f>
        <v>マルテー</v>
      </c>
      <c r="P370" t="str">
        <f t="shared" si="25"/>
        <v>2026-01-19</v>
      </c>
      <c r="Q370" t="str">
        <f t="shared" si="16"/>
        <v>マルテー</v>
      </c>
      <c r="R370" t="str">
        <f t="shared" si="26"/>
        <v>ベビーリーフ グリーンオーク</v>
      </c>
      <c r="S370">
        <f t="shared" si="27"/>
        <v>740</v>
      </c>
    </row>
    <row r="371" spans="1:19">
      <c r="A371" s="13">
        <v>71928</v>
      </c>
      <c r="B371" s="14" t="s">
        <v>23</v>
      </c>
      <c r="C371" s="15">
        <v>46041</v>
      </c>
      <c r="D371" s="16" t="s">
        <v>65</v>
      </c>
      <c r="E371" s="16" t="s">
        <v>2</v>
      </c>
      <c r="F371" s="17">
        <v>740</v>
      </c>
      <c r="G371" s="18" t="s">
        <v>24</v>
      </c>
      <c r="H371" s="9">
        <v>46041</v>
      </c>
      <c r="I371" s="10" t="s">
        <v>56</v>
      </c>
      <c r="J371" s="10" t="s">
        <v>3</v>
      </c>
      <c r="K371" s="11">
        <v>40</v>
      </c>
      <c r="O371" t="str" cm="1">
        <f t="array" ref="O371">_xlfn.LET(
_xlpm.corp,$I371,_xlpm.key,$M$2:$M$200,_xlpm.name,$N$2:$N$200,_xlpm.hits,_xlfn._xlws.FILTER(_xlpm.name,ISNUMBER(SEARCH(_xlpm.key,_xlpm.corp))),
IFERROR(INDEX(_xlpm.hits,1),_xlpm.corp))</f>
        <v>サンセイランディック</v>
      </c>
      <c r="P371" t="str">
        <f t="shared" si="25"/>
        <v>2026-01-19</v>
      </c>
      <c r="Q371" t="str">
        <f t="shared" si="16"/>
        <v>サンセイランディック/加工BL</v>
      </c>
      <c r="R371" t="str">
        <f t="shared" si="26"/>
        <v>加工BL</v>
      </c>
      <c r="S371">
        <f t="shared" si="27"/>
        <v>40</v>
      </c>
    </row>
    <row r="372" spans="1:19">
      <c r="A372" s="7">
        <v>71927</v>
      </c>
      <c r="B372" s="8" t="s">
        <v>23</v>
      </c>
      <c r="C372" s="9">
        <v>46041</v>
      </c>
      <c r="D372" s="10" t="s">
        <v>56</v>
      </c>
      <c r="E372" s="10" t="s">
        <v>3</v>
      </c>
      <c r="F372" s="11">
        <v>40</v>
      </c>
      <c r="G372" s="12" t="s">
        <v>24</v>
      </c>
      <c r="H372" s="15">
        <v>46041</v>
      </c>
      <c r="I372" s="16" t="s">
        <v>72</v>
      </c>
      <c r="J372" s="16" t="s">
        <v>11</v>
      </c>
      <c r="K372" s="17">
        <v>600</v>
      </c>
      <c r="O372" t="str" cm="1">
        <f t="array" ref="O372">_xlfn.LET(
_xlpm.corp,$I372,_xlpm.key,$M$2:$M$200,_xlpm.name,$N$2:$N$200,_xlpm.hits,_xlfn._xlws.FILTER(_xlpm.name,ISNUMBER(SEARCH(_xlpm.key,_xlpm.corp))),
IFERROR(INDEX(_xlpm.hits,1),_xlpm.corp))</f>
        <v>岡部</v>
      </c>
      <c r="P372" t="str">
        <f t="shared" si="25"/>
        <v>2026-01-19</v>
      </c>
      <c r="Q372" t="str">
        <f t="shared" si="16"/>
        <v>岡部</v>
      </c>
      <c r="R372" t="str">
        <f t="shared" si="26"/>
        <v>ベビーリーフ レッドオーク</v>
      </c>
      <c r="S372">
        <f t="shared" si="27"/>
        <v>600</v>
      </c>
    </row>
    <row r="373" spans="1:19">
      <c r="A373" s="13">
        <v>71926</v>
      </c>
      <c r="B373" s="14" t="s">
        <v>23</v>
      </c>
      <c r="C373" s="15">
        <v>46041</v>
      </c>
      <c r="D373" s="16" t="s">
        <v>72</v>
      </c>
      <c r="E373" s="16" t="s">
        <v>11</v>
      </c>
      <c r="F373" s="17">
        <v>600</v>
      </c>
      <c r="G373" s="18" t="s">
        <v>24</v>
      </c>
      <c r="H373" s="9">
        <v>46041</v>
      </c>
      <c r="I373" s="10" t="s">
        <v>28</v>
      </c>
      <c r="J373" s="10" t="s">
        <v>3</v>
      </c>
      <c r="K373" s="11">
        <v>100</v>
      </c>
      <c r="O373" t="str" cm="1">
        <f t="array" ref="O373">_xlfn.LET(
_xlpm.corp,$I373,_xlpm.key,$M$2:$M$200,_xlpm.name,$N$2:$N$200,_xlpm.hits,_xlfn._xlws.FILTER(_xlpm.name,ISNUMBER(SEARCH(_xlpm.key,_xlpm.corp))),
IFERROR(INDEX(_xlpm.hits,1),_xlpm.corp))</f>
        <v>牧野フライス</v>
      </c>
      <c r="P373" t="str">
        <f t="shared" si="25"/>
        <v>2026-01-19</v>
      </c>
      <c r="Q373" t="str">
        <f t="shared" si="16"/>
        <v>牧野フライス/加工BL</v>
      </c>
      <c r="R373" t="str">
        <f t="shared" si="26"/>
        <v>加工BL</v>
      </c>
      <c r="S373">
        <f t="shared" si="27"/>
        <v>100</v>
      </c>
    </row>
    <row r="374" spans="1:19">
      <c r="A374" s="7">
        <v>71925</v>
      </c>
      <c r="B374" s="8" t="s">
        <v>23</v>
      </c>
      <c r="C374" s="9">
        <v>46041</v>
      </c>
      <c r="D374" s="10" t="s">
        <v>28</v>
      </c>
      <c r="E374" s="10" t="s">
        <v>3</v>
      </c>
      <c r="F374" s="11">
        <v>100</v>
      </c>
      <c r="G374" s="12" t="s">
        <v>24</v>
      </c>
      <c r="H374" s="15">
        <v>46041</v>
      </c>
      <c r="I374" s="16" t="s">
        <v>28</v>
      </c>
      <c r="J374" s="16" t="s">
        <v>2</v>
      </c>
      <c r="K374" s="17">
        <v>220</v>
      </c>
      <c r="O374" t="str" cm="1">
        <f t="array" ref="O374">_xlfn.LET(
_xlpm.corp,$I374,_xlpm.key,$M$2:$M$200,_xlpm.name,$N$2:$N$200,_xlpm.hits,_xlfn._xlws.FILTER(_xlpm.name,ISNUMBER(SEARCH(_xlpm.key,_xlpm.corp))),
IFERROR(INDEX(_xlpm.hits,1),_xlpm.corp))</f>
        <v>牧野フライス</v>
      </c>
      <c r="P374" t="str">
        <f t="shared" si="25"/>
        <v>2026-01-19</v>
      </c>
      <c r="Q374" t="str">
        <f t="shared" si="16"/>
        <v>牧野フライス</v>
      </c>
      <c r="R374" t="str">
        <f t="shared" si="26"/>
        <v>ベビーリーフ グリーンオーク</v>
      </c>
      <c r="S374">
        <f t="shared" si="27"/>
        <v>220</v>
      </c>
    </row>
    <row r="375" spans="1:19">
      <c r="A375" s="13">
        <v>71924</v>
      </c>
      <c r="B375" s="14" t="s">
        <v>23</v>
      </c>
      <c r="C375" s="15">
        <v>46041</v>
      </c>
      <c r="D375" s="16" t="s">
        <v>28</v>
      </c>
      <c r="E375" s="16" t="s">
        <v>2</v>
      </c>
      <c r="F375" s="17">
        <v>220</v>
      </c>
      <c r="G375" s="18" t="s">
        <v>24</v>
      </c>
      <c r="H375" s="9">
        <v>46041</v>
      </c>
      <c r="I375" s="10" t="s">
        <v>69</v>
      </c>
      <c r="J375" s="10" t="s">
        <v>3</v>
      </c>
      <c r="K375" s="11">
        <v>520</v>
      </c>
      <c r="O375" t="str" cm="1">
        <f t="array" ref="O375">_xlfn.LET(
_xlpm.corp,$I375,_xlpm.key,$M$2:$M$200,_xlpm.name,$N$2:$N$200,_xlpm.hits,_xlfn._xlws.FILTER(_xlpm.name,ISNUMBER(SEARCH(_xlpm.key,_xlpm.corp))),
IFERROR(INDEX(_xlpm.hits,1),_xlpm.corp))</f>
        <v>バリュエンス</v>
      </c>
      <c r="P375" t="str">
        <f t="shared" si="25"/>
        <v>2026-01-19</v>
      </c>
      <c r="Q375" t="str">
        <f t="shared" si="16"/>
        <v>バリュエンス/加工BL</v>
      </c>
      <c r="R375" t="str">
        <f t="shared" si="26"/>
        <v>加工BL</v>
      </c>
      <c r="S375">
        <f t="shared" si="27"/>
        <v>520</v>
      </c>
    </row>
    <row r="376" spans="1:19">
      <c r="A376" s="7">
        <v>71923</v>
      </c>
      <c r="B376" s="8" t="s">
        <v>23</v>
      </c>
      <c r="C376" s="9">
        <v>46041</v>
      </c>
      <c r="D376" s="10" t="s">
        <v>69</v>
      </c>
      <c r="E376" s="10" t="s">
        <v>3</v>
      </c>
      <c r="F376" s="11">
        <v>520</v>
      </c>
      <c r="G376" s="12" t="s">
        <v>24</v>
      </c>
      <c r="H376" s="15">
        <v>46041</v>
      </c>
      <c r="I376" s="16" t="s">
        <v>56</v>
      </c>
      <c r="J376" s="16" t="s">
        <v>2</v>
      </c>
      <c r="K376" s="17">
        <v>260</v>
      </c>
      <c r="O376" t="str" cm="1">
        <f t="array" ref="O376">_xlfn.LET(
_xlpm.corp,$I376,_xlpm.key,$M$2:$M$200,_xlpm.name,$N$2:$N$200,_xlpm.hits,_xlfn._xlws.FILTER(_xlpm.name,ISNUMBER(SEARCH(_xlpm.key,_xlpm.corp))),
IFERROR(INDEX(_xlpm.hits,1),_xlpm.corp))</f>
        <v>サンセイランディック</v>
      </c>
      <c r="P376" t="str">
        <f t="shared" si="25"/>
        <v>2026-01-19</v>
      </c>
      <c r="Q376" t="str">
        <f t="shared" si="16"/>
        <v>サンセイランディック</v>
      </c>
      <c r="R376" t="str">
        <f t="shared" si="26"/>
        <v>ベビーリーフ グリーンオーク</v>
      </c>
      <c r="S376">
        <f t="shared" si="27"/>
        <v>260</v>
      </c>
    </row>
    <row r="377" spans="1:19">
      <c r="A377" s="13">
        <v>71922</v>
      </c>
      <c r="B377" s="14" t="s">
        <v>23</v>
      </c>
      <c r="C377" s="15">
        <v>46041</v>
      </c>
      <c r="D377" s="16" t="s">
        <v>56</v>
      </c>
      <c r="E377" s="16" t="s">
        <v>2</v>
      </c>
      <c r="F377" s="17">
        <v>260</v>
      </c>
      <c r="G377" s="18" t="s">
        <v>24</v>
      </c>
      <c r="H377" s="9">
        <v>46041</v>
      </c>
      <c r="I377" s="10" t="s">
        <v>68</v>
      </c>
      <c r="J377" s="10" t="s">
        <v>2</v>
      </c>
      <c r="K377" s="11">
        <v>460</v>
      </c>
      <c r="O377" t="str" cm="1">
        <f t="array" ref="O377">_xlfn.LET(
_xlpm.corp,$I377,_xlpm.key,$M$2:$M$200,_xlpm.name,$N$2:$N$200,_xlpm.hits,_xlfn._xlws.FILTER(_xlpm.name,ISNUMBER(SEARCH(_xlpm.key,_xlpm.corp))),
IFERROR(INDEX(_xlpm.hits,1),_xlpm.corp))</f>
        <v>昭和女子</v>
      </c>
      <c r="P377" t="str">
        <f t="shared" si="25"/>
        <v>2026-01-19</v>
      </c>
      <c r="Q377" t="str">
        <f t="shared" si="16"/>
        <v>昭和女子</v>
      </c>
      <c r="R377" t="str">
        <f t="shared" si="26"/>
        <v>ベビーリーフ グリーンオーク</v>
      </c>
      <c r="S377">
        <f t="shared" si="27"/>
        <v>460</v>
      </c>
    </row>
    <row r="378" spans="1:19">
      <c r="A378" s="7">
        <v>71921</v>
      </c>
      <c r="B378" s="8" t="s">
        <v>23</v>
      </c>
      <c r="C378" s="9">
        <v>46041</v>
      </c>
      <c r="D378" s="10" t="s">
        <v>68</v>
      </c>
      <c r="E378" s="10" t="s">
        <v>2</v>
      </c>
      <c r="F378" s="11">
        <v>460</v>
      </c>
      <c r="G378" s="12" t="s">
        <v>24</v>
      </c>
      <c r="H378" s="15">
        <v>46041</v>
      </c>
      <c r="I378" s="16" t="s">
        <v>68</v>
      </c>
      <c r="J378" s="16" t="s">
        <v>2</v>
      </c>
      <c r="K378" s="17">
        <v>300</v>
      </c>
      <c r="O378" t="str" cm="1">
        <f t="array" ref="O378">_xlfn.LET(
_xlpm.corp,$I378,_xlpm.key,$M$2:$M$200,_xlpm.name,$N$2:$N$200,_xlpm.hits,_xlfn._xlws.FILTER(_xlpm.name,ISNUMBER(SEARCH(_xlpm.key,_xlpm.corp))),
IFERROR(INDEX(_xlpm.hits,1),_xlpm.corp))</f>
        <v>昭和女子</v>
      </c>
      <c r="P378" t="str">
        <f t="shared" si="25"/>
        <v>2026-01-19</v>
      </c>
      <c r="Q378" t="str">
        <f t="shared" si="16"/>
        <v>昭和女子</v>
      </c>
      <c r="R378" t="str">
        <f t="shared" si="26"/>
        <v>ベビーリーフ グリーンオーク</v>
      </c>
      <c r="S378">
        <f t="shared" si="27"/>
        <v>300</v>
      </c>
    </row>
    <row r="379" spans="1:19">
      <c r="A379" s="13">
        <v>71920</v>
      </c>
      <c r="B379" s="14" t="s">
        <v>23</v>
      </c>
      <c r="C379" s="15">
        <v>46041</v>
      </c>
      <c r="D379" s="16" t="s">
        <v>68</v>
      </c>
      <c r="E379" s="16" t="s">
        <v>2</v>
      </c>
      <c r="F379" s="17">
        <v>300</v>
      </c>
      <c r="G379" s="18" t="s">
        <v>24</v>
      </c>
      <c r="H379" s="9">
        <v>46041</v>
      </c>
      <c r="I379" s="10" t="s">
        <v>25</v>
      </c>
      <c r="J379" s="10" t="s">
        <v>2</v>
      </c>
      <c r="K379" s="11">
        <v>240</v>
      </c>
      <c r="O379" t="str" cm="1">
        <f t="array" ref="O379">_xlfn.LET(
_xlpm.corp,$I379,_xlpm.key,$M$2:$M$200,_xlpm.name,$N$2:$N$200,_xlpm.hits,_xlfn._xlws.FILTER(_xlpm.name,ISNUMBER(SEARCH(_xlpm.key,_xlpm.corp))),
IFERROR(INDEX(_xlpm.hits,1),_xlpm.corp))</f>
        <v>日本ファブテック</v>
      </c>
      <c r="P379" t="str">
        <f t="shared" si="25"/>
        <v>2026-01-19</v>
      </c>
      <c r="Q379" t="str">
        <f t="shared" si="16"/>
        <v>日本ファブテック</v>
      </c>
      <c r="R379" t="str">
        <f t="shared" si="26"/>
        <v>ベビーリーフ グリーンオーク</v>
      </c>
      <c r="S379">
        <f t="shared" si="27"/>
        <v>240</v>
      </c>
    </row>
    <row r="380" spans="1:19">
      <c r="A380" s="7">
        <v>71919</v>
      </c>
      <c r="B380" s="8" t="s">
        <v>23</v>
      </c>
      <c r="C380" s="9">
        <v>46041</v>
      </c>
      <c r="D380" s="10" t="s">
        <v>25</v>
      </c>
      <c r="E380" s="10" t="s">
        <v>2</v>
      </c>
      <c r="F380" s="11">
        <v>240</v>
      </c>
      <c r="G380" s="12" t="s">
        <v>24</v>
      </c>
      <c r="H380" s="15">
        <v>46041</v>
      </c>
      <c r="I380" s="16" t="s">
        <v>27</v>
      </c>
      <c r="J380" s="16" t="s">
        <v>9</v>
      </c>
      <c r="K380" s="17">
        <v>880</v>
      </c>
      <c r="O380" t="str" cm="1">
        <f t="array" ref="O380">_xlfn.LET(
_xlpm.corp,$I380,_xlpm.key,$M$2:$M$200,_xlpm.name,$N$2:$N$200,_xlpm.hits,_xlfn._xlws.FILTER(_xlpm.name,ISNUMBER(SEARCH(_xlpm.key,_xlpm.corp))),
IFERROR(INDEX(_xlpm.hits,1),_xlpm.corp))</f>
        <v>東レ</v>
      </c>
      <c r="P380" t="str">
        <f t="shared" si="25"/>
        <v>2026-01-19</v>
      </c>
      <c r="Q380" t="str">
        <f t="shared" si="16"/>
        <v>東レ</v>
      </c>
      <c r="R380" t="str">
        <f t="shared" si="26"/>
        <v>ベビーリーフ ロロロッサ</v>
      </c>
      <c r="S380">
        <f t="shared" si="27"/>
        <v>880</v>
      </c>
    </row>
    <row r="381" spans="1:19">
      <c r="A381" s="13">
        <v>71918</v>
      </c>
      <c r="B381" s="14" t="s">
        <v>23</v>
      </c>
      <c r="C381" s="15">
        <v>46041</v>
      </c>
      <c r="D381" s="16" t="s">
        <v>27</v>
      </c>
      <c r="E381" s="16" t="s">
        <v>9</v>
      </c>
      <c r="F381" s="17">
        <v>880</v>
      </c>
      <c r="G381" s="18" t="s">
        <v>24</v>
      </c>
      <c r="H381" s="9">
        <v>46041</v>
      </c>
      <c r="I381" s="10" t="s">
        <v>60</v>
      </c>
      <c r="J381" s="10" t="s">
        <v>4</v>
      </c>
      <c r="K381" s="11">
        <v>280</v>
      </c>
      <c r="O381" t="str" cm="1">
        <f t="array" ref="O381">_xlfn.LET(
_xlpm.corp,$I381,_xlpm.key,$M$2:$M$200,_xlpm.name,$N$2:$N$200,_xlpm.hits,_xlfn._xlws.FILTER(_xlpm.name,ISNUMBER(SEARCH(_xlpm.key,_xlpm.corp))),
IFERROR(INDEX(_xlpm.hits,1),_xlpm.corp))</f>
        <v>サンテレホン</v>
      </c>
      <c r="P381" t="str">
        <f t="shared" si="25"/>
        <v>2026-01-19</v>
      </c>
      <c r="Q381" t="str">
        <f t="shared" si="16"/>
        <v>サンテレホン</v>
      </c>
      <c r="R381" t="str">
        <f t="shared" si="26"/>
        <v>ベビーリーフ ピノグリーン</v>
      </c>
      <c r="S381">
        <f t="shared" si="27"/>
        <v>280</v>
      </c>
    </row>
    <row r="382" spans="1:19">
      <c r="A382" s="7">
        <v>71917</v>
      </c>
      <c r="B382" s="8" t="s">
        <v>23</v>
      </c>
      <c r="C382" s="9">
        <v>46041</v>
      </c>
      <c r="D382" s="10" t="s">
        <v>60</v>
      </c>
      <c r="E382" s="10" t="s">
        <v>4</v>
      </c>
      <c r="F382" s="11">
        <v>280</v>
      </c>
      <c r="G382" s="12" t="s">
        <v>24</v>
      </c>
      <c r="H382" s="15">
        <v>46041</v>
      </c>
      <c r="I382" s="16" t="s">
        <v>58</v>
      </c>
      <c r="J382" s="16" t="s">
        <v>9</v>
      </c>
      <c r="K382" s="17">
        <v>920</v>
      </c>
      <c r="O382" t="str" cm="1">
        <f t="array" ref="O382">_xlfn.LET(
_xlpm.corp,$I382,_xlpm.key,$M$2:$M$200,_xlpm.name,$N$2:$N$200,_xlpm.hits,_xlfn._xlws.FILTER(_xlpm.name,ISNUMBER(SEARCH(_xlpm.key,_xlpm.corp))),
IFERROR(INDEX(_xlpm.hits,1),_xlpm.corp))</f>
        <v>慈誠会</v>
      </c>
      <c r="P382" t="str">
        <f t="shared" si="25"/>
        <v>2026-01-19</v>
      </c>
      <c r="Q382" t="str">
        <f t="shared" si="16"/>
        <v>慈誠会</v>
      </c>
      <c r="R382" t="str">
        <f t="shared" si="26"/>
        <v>ベビーリーフ ロロロッサ</v>
      </c>
      <c r="S382">
        <f t="shared" si="27"/>
        <v>920</v>
      </c>
    </row>
    <row r="383" spans="1:19">
      <c r="A383" s="13">
        <v>71916</v>
      </c>
      <c r="B383" s="14" t="s">
        <v>23</v>
      </c>
      <c r="C383" s="15">
        <v>46041</v>
      </c>
      <c r="D383" s="16" t="s">
        <v>58</v>
      </c>
      <c r="E383" s="16" t="s">
        <v>9</v>
      </c>
      <c r="F383" s="17">
        <v>920</v>
      </c>
      <c r="G383" s="18" t="s">
        <v>24</v>
      </c>
      <c r="H383" s="9">
        <v>46041</v>
      </c>
      <c r="I383" s="10" t="s">
        <v>72</v>
      </c>
      <c r="J383" s="10" t="s">
        <v>11</v>
      </c>
      <c r="K383" s="11">
        <v>840</v>
      </c>
      <c r="O383" t="str" cm="1">
        <f t="array" ref="O383">_xlfn.LET(
_xlpm.corp,$I383,_xlpm.key,$M$2:$M$200,_xlpm.name,$N$2:$N$200,_xlpm.hits,_xlfn._xlws.FILTER(_xlpm.name,ISNUMBER(SEARCH(_xlpm.key,_xlpm.corp))),
IFERROR(INDEX(_xlpm.hits,1),_xlpm.corp))</f>
        <v>岡部</v>
      </c>
      <c r="P383" t="str">
        <f t="shared" si="25"/>
        <v>2026-01-19</v>
      </c>
      <c r="Q383" t="str">
        <f t="shared" si="16"/>
        <v>岡部</v>
      </c>
      <c r="R383" t="str">
        <f t="shared" si="26"/>
        <v>ベビーリーフ レッドオーク</v>
      </c>
      <c r="S383">
        <f t="shared" si="27"/>
        <v>840</v>
      </c>
    </row>
    <row r="384" spans="1:19">
      <c r="A384" s="7">
        <v>71915</v>
      </c>
      <c r="B384" s="8" t="s">
        <v>23</v>
      </c>
      <c r="C384" s="9">
        <v>46041</v>
      </c>
      <c r="D384" s="10" t="s">
        <v>72</v>
      </c>
      <c r="E384" s="10" t="s">
        <v>11</v>
      </c>
      <c r="F384" s="11">
        <v>840</v>
      </c>
      <c r="G384" s="12" t="s">
        <v>24</v>
      </c>
      <c r="H384" s="15">
        <v>46041</v>
      </c>
      <c r="I384" s="16" t="s">
        <v>27</v>
      </c>
      <c r="J384" s="16" t="s">
        <v>3</v>
      </c>
      <c r="K384" s="17">
        <v>20</v>
      </c>
      <c r="O384" t="str" cm="1">
        <f t="array" ref="O384">_xlfn.LET(
_xlpm.corp,$I384,_xlpm.key,$M$2:$M$200,_xlpm.name,$N$2:$N$200,_xlpm.hits,_xlfn._xlws.FILTER(_xlpm.name,ISNUMBER(SEARCH(_xlpm.key,_xlpm.corp))),
IFERROR(INDEX(_xlpm.hits,1),_xlpm.corp))</f>
        <v>東レ</v>
      </c>
      <c r="P384" t="str">
        <f t="shared" si="25"/>
        <v>2026-01-19</v>
      </c>
      <c r="Q384" t="str">
        <f t="shared" si="16"/>
        <v>東レ/加工BL</v>
      </c>
      <c r="R384" t="str">
        <f t="shared" si="26"/>
        <v>加工BL</v>
      </c>
      <c r="S384">
        <f t="shared" si="27"/>
        <v>20</v>
      </c>
    </row>
    <row r="385" spans="1:19">
      <c r="A385" s="13">
        <v>71914</v>
      </c>
      <c r="B385" s="14" t="s">
        <v>23</v>
      </c>
      <c r="C385" s="15">
        <v>46041</v>
      </c>
      <c r="D385" s="16" t="s">
        <v>27</v>
      </c>
      <c r="E385" s="16" t="s">
        <v>3</v>
      </c>
      <c r="F385" s="17">
        <v>20</v>
      </c>
      <c r="G385" s="18" t="s">
        <v>24</v>
      </c>
      <c r="H385" s="9">
        <v>46041</v>
      </c>
      <c r="I385" s="10" t="s">
        <v>57</v>
      </c>
      <c r="J385" s="10" t="s">
        <v>3</v>
      </c>
      <c r="K385" s="11">
        <v>100</v>
      </c>
      <c r="O385" t="str" cm="1">
        <f t="array" ref="O385">_xlfn.LET(
_xlpm.corp,$I385,_xlpm.key,$M$2:$M$200,_xlpm.name,$N$2:$N$200,_xlpm.hits,_xlfn._xlws.FILTER(_xlpm.name,ISNUMBER(SEARCH(_xlpm.key,_xlpm.corp))),
IFERROR(INDEX(_xlpm.hits,1),_xlpm.corp))</f>
        <v>QB</v>
      </c>
      <c r="P385" t="str">
        <f t="shared" si="25"/>
        <v>2026-01-19</v>
      </c>
      <c r="Q385" t="str">
        <f t="shared" si="16"/>
        <v>QB/加工BL</v>
      </c>
      <c r="R385" t="str">
        <f t="shared" si="26"/>
        <v>加工BL</v>
      </c>
      <c r="S385">
        <f t="shared" si="27"/>
        <v>100</v>
      </c>
    </row>
    <row r="386" spans="1:19">
      <c r="A386" s="7">
        <v>71913</v>
      </c>
      <c r="B386" s="8" t="s">
        <v>23</v>
      </c>
      <c r="C386" s="9">
        <v>46041</v>
      </c>
      <c r="D386" s="10" t="s">
        <v>57</v>
      </c>
      <c r="E386" s="10" t="s">
        <v>3</v>
      </c>
      <c r="F386" s="11">
        <v>100</v>
      </c>
      <c r="G386" s="12" t="s">
        <v>24</v>
      </c>
      <c r="H386" s="15">
        <v>46041</v>
      </c>
      <c r="I386" s="16" t="s">
        <v>26</v>
      </c>
      <c r="J386" s="16" t="s">
        <v>3</v>
      </c>
      <c r="K386" s="17">
        <v>220</v>
      </c>
      <c r="O386" t="str" cm="1">
        <f t="array" ref="O386">_xlfn.LET(
_xlpm.corp,$I386,_xlpm.key,$M$2:$M$200,_xlpm.name,$N$2:$N$200,_xlpm.hits,_xlfn._xlws.FILTER(_xlpm.name,ISNUMBER(SEARCH(_xlpm.key,_xlpm.corp))),
IFERROR(INDEX(_xlpm.hits,1),_xlpm.corp))</f>
        <v>日建</v>
      </c>
      <c r="P386" t="str">
        <f t="shared" si="25"/>
        <v>2026-01-19</v>
      </c>
      <c r="Q386" t="str">
        <f t="shared" si="16"/>
        <v>日建/加工BL</v>
      </c>
      <c r="R386" t="str">
        <f t="shared" si="26"/>
        <v>加工BL</v>
      </c>
      <c r="S386">
        <f t="shared" si="27"/>
        <v>220</v>
      </c>
    </row>
    <row r="387" spans="1:19">
      <c r="A387" s="13">
        <v>71912</v>
      </c>
      <c r="B387" s="14" t="s">
        <v>23</v>
      </c>
      <c r="C387" s="15">
        <v>46041</v>
      </c>
      <c r="D387" s="16" t="s">
        <v>26</v>
      </c>
      <c r="E387" s="16" t="s">
        <v>3</v>
      </c>
      <c r="F387" s="17">
        <v>220</v>
      </c>
      <c r="G387" s="18" t="s">
        <v>24</v>
      </c>
      <c r="H387" s="9">
        <v>46038</v>
      </c>
      <c r="I387" s="10" t="s">
        <v>26</v>
      </c>
      <c r="J387" s="10" t="s">
        <v>3</v>
      </c>
      <c r="K387" s="11">
        <v>200</v>
      </c>
      <c r="O387" t="str" cm="1">
        <f t="array" ref="O387">_xlfn.LET(
_xlpm.corp,$I387,_xlpm.key,$M$2:$M$200,_xlpm.name,$N$2:$N$200,_xlpm.hits,_xlfn._xlws.FILTER(_xlpm.name,ISNUMBER(SEARCH(_xlpm.key,_xlpm.corp))),
IFERROR(INDEX(_xlpm.hits,1),_xlpm.corp))</f>
        <v>日建</v>
      </c>
      <c r="P387" t="str">
        <f t="shared" si="25"/>
        <v>2026-01-16</v>
      </c>
      <c r="Q387" t="str">
        <f t="shared" si="16"/>
        <v>日建/加工BL</v>
      </c>
      <c r="R387" t="str">
        <f t="shared" si="26"/>
        <v>加工BL</v>
      </c>
      <c r="S387">
        <f t="shared" si="27"/>
        <v>200</v>
      </c>
    </row>
    <row r="388" spans="1:19">
      <c r="A388" s="7">
        <v>71880</v>
      </c>
      <c r="B388" s="8" t="s">
        <v>23</v>
      </c>
      <c r="C388" s="9">
        <v>46038</v>
      </c>
      <c r="D388" s="10" t="s">
        <v>26</v>
      </c>
      <c r="E388" s="10" t="s">
        <v>3</v>
      </c>
      <c r="F388" s="11">
        <v>200</v>
      </c>
      <c r="G388" s="12" t="s">
        <v>24</v>
      </c>
      <c r="H388" s="15">
        <v>46038</v>
      </c>
      <c r="I388" s="16" t="s">
        <v>27</v>
      </c>
      <c r="J388" s="16" t="s">
        <v>3</v>
      </c>
      <c r="K388" s="19">
        <v>1400</v>
      </c>
      <c r="O388" t="str" cm="1">
        <f t="array" ref="O388">_xlfn.LET(
_xlpm.corp,$I388,_xlpm.key,$M$2:$M$200,_xlpm.name,$N$2:$N$200,_xlpm.hits,_xlfn._xlws.FILTER(_xlpm.name,ISNUMBER(SEARCH(_xlpm.key,_xlpm.corp))),
IFERROR(INDEX(_xlpm.hits,1),_xlpm.corp))</f>
        <v>東レ</v>
      </c>
      <c r="P388" t="str">
        <f t="shared" si="25"/>
        <v>2026-01-16</v>
      </c>
      <c r="Q388" t="str">
        <f t="shared" si="16"/>
        <v>東レ/加工BL</v>
      </c>
      <c r="R388" t="str">
        <f t="shared" si="26"/>
        <v>加工BL</v>
      </c>
      <c r="S388">
        <f t="shared" si="27"/>
        <v>1400</v>
      </c>
    </row>
    <row r="389" spans="1:19">
      <c r="A389" s="13">
        <v>71879</v>
      </c>
      <c r="B389" s="14" t="s">
        <v>23</v>
      </c>
      <c r="C389" s="15">
        <v>46038</v>
      </c>
      <c r="D389" s="16" t="s">
        <v>27</v>
      </c>
      <c r="E389" s="16" t="s">
        <v>3</v>
      </c>
      <c r="F389" s="19">
        <v>1400</v>
      </c>
      <c r="G389" s="18" t="s">
        <v>24</v>
      </c>
      <c r="H389" s="9">
        <v>46038</v>
      </c>
      <c r="I389" s="10" t="s">
        <v>68</v>
      </c>
      <c r="J389" s="10" t="s">
        <v>3</v>
      </c>
      <c r="K389" s="11">
        <v>20</v>
      </c>
      <c r="O389" t="str" cm="1">
        <f t="array" ref="O389">_xlfn.LET(
_xlpm.corp,$I389,_xlpm.key,$M$2:$M$200,_xlpm.name,$N$2:$N$200,_xlpm.hits,_xlfn._xlws.FILTER(_xlpm.name,ISNUMBER(SEARCH(_xlpm.key,_xlpm.corp))),
IFERROR(INDEX(_xlpm.hits,1),_xlpm.corp))</f>
        <v>昭和女子</v>
      </c>
      <c r="P389" t="str">
        <f t="shared" si="25"/>
        <v>2026-01-16</v>
      </c>
      <c r="Q389" t="str">
        <f t="shared" si="16"/>
        <v>昭和女子/加工BL</v>
      </c>
      <c r="R389" t="str">
        <f t="shared" si="26"/>
        <v>加工BL</v>
      </c>
      <c r="S389">
        <f t="shared" si="27"/>
        <v>20</v>
      </c>
    </row>
    <row r="390" spans="1:19">
      <c r="A390" s="7">
        <v>71878</v>
      </c>
      <c r="B390" s="8" t="s">
        <v>23</v>
      </c>
      <c r="C390" s="9">
        <v>46038</v>
      </c>
      <c r="D390" s="10" t="s">
        <v>68</v>
      </c>
      <c r="E390" s="10" t="s">
        <v>3</v>
      </c>
      <c r="F390" s="11">
        <v>20</v>
      </c>
      <c r="G390" s="12" t="s">
        <v>24</v>
      </c>
      <c r="H390" s="15">
        <v>46038</v>
      </c>
      <c r="I390" s="16" t="s">
        <v>69</v>
      </c>
      <c r="J390" s="16" t="s">
        <v>9</v>
      </c>
      <c r="K390" s="17">
        <v>400</v>
      </c>
      <c r="O390" t="str" cm="1">
        <f t="array" ref="O390">_xlfn.LET(
_xlpm.corp,$I390,_xlpm.key,$M$2:$M$200,_xlpm.name,$N$2:$N$200,_xlpm.hits,_xlfn._xlws.FILTER(_xlpm.name,ISNUMBER(SEARCH(_xlpm.key,_xlpm.corp))),
IFERROR(INDEX(_xlpm.hits,1),_xlpm.corp))</f>
        <v>バリュエンス</v>
      </c>
      <c r="P390" t="str">
        <f t="shared" si="25"/>
        <v>2026-01-16</v>
      </c>
      <c r="Q390" t="str">
        <f t="shared" si="16"/>
        <v>バリュエンス</v>
      </c>
      <c r="R390" t="str">
        <f t="shared" si="26"/>
        <v>ベビーリーフ ロロロッサ</v>
      </c>
      <c r="S390">
        <f t="shared" si="27"/>
        <v>400</v>
      </c>
    </row>
    <row r="391" spans="1:19">
      <c r="A391" s="13">
        <v>71877</v>
      </c>
      <c r="B391" s="14" t="s">
        <v>23</v>
      </c>
      <c r="C391" s="15">
        <v>46038</v>
      </c>
      <c r="D391" s="16" t="s">
        <v>69</v>
      </c>
      <c r="E391" s="16" t="s">
        <v>9</v>
      </c>
      <c r="F391" s="17">
        <v>400</v>
      </c>
      <c r="G391" s="18" t="s">
        <v>24</v>
      </c>
      <c r="H391" s="9">
        <v>46038</v>
      </c>
      <c r="I391" s="10" t="s">
        <v>72</v>
      </c>
      <c r="J391" s="10" t="s">
        <v>3</v>
      </c>
      <c r="K391" s="11">
        <v>200</v>
      </c>
      <c r="O391" t="str" cm="1">
        <f t="array" ref="O391">_xlfn.LET(
_xlpm.corp,$I391,_xlpm.key,$M$2:$M$200,_xlpm.name,$N$2:$N$200,_xlpm.hits,_xlfn._xlws.FILTER(_xlpm.name,ISNUMBER(SEARCH(_xlpm.key,_xlpm.corp))),
IFERROR(INDEX(_xlpm.hits,1),_xlpm.corp))</f>
        <v>岡部</v>
      </c>
      <c r="P391" t="str">
        <f t="shared" si="25"/>
        <v>2026-01-16</v>
      </c>
      <c r="Q391" t="str">
        <f t="shared" si="16"/>
        <v>岡部/加工BL</v>
      </c>
      <c r="R391" t="str">
        <f t="shared" si="26"/>
        <v>加工BL</v>
      </c>
      <c r="S391">
        <f t="shared" si="27"/>
        <v>200</v>
      </c>
    </row>
    <row r="392" spans="1:19">
      <c r="A392" s="7">
        <v>71876</v>
      </c>
      <c r="B392" s="8" t="s">
        <v>23</v>
      </c>
      <c r="C392" s="9">
        <v>46038</v>
      </c>
      <c r="D392" s="10" t="s">
        <v>72</v>
      </c>
      <c r="E392" s="10" t="s">
        <v>3</v>
      </c>
      <c r="F392" s="11">
        <v>200</v>
      </c>
      <c r="G392" s="12" t="s">
        <v>24</v>
      </c>
      <c r="H392" s="15">
        <v>46038</v>
      </c>
      <c r="I392" s="16" t="s">
        <v>58</v>
      </c>
      <c r="J392" s="16" t="s">
        <v>4</v>
      </c>
      <c r="K392" s="17">
        <v>160</v>
      </c>
      <c r="O392" t="str" cm="1">
        <f t="array" ref="O392">_xlfn.LET(
_xlpm.corp,$I392,_xlpm.key,$M$2:$M$200,_xlpm.name,$N$2:$N$200,_xlpm.hits,_xlfn._xlws.FILTER(_xlpm.name,ISNUMBER(SEARCH(_xlpm.key,_xlpm.corp))),
IFERROR(INDEX(_xlpm.hits,1),_xlpm.corp))</f>
        <v>慈誠会</v>
      </c>
      <c r="P392" t="str">
        <f t="shared" si="25"/>
        <v>2026-01-16</v>
      </c>
      <c r="Q392" t="str">
        <f t="shared" si="16"/>
        <v>慈誠会</v>
      </c>
      <c r="R392" t="str">
        <f t="shared" si="26"/>
        <v>ベビーリーフ ピノグリーン</v>
      </c>
      <c r="S392">
        <f t="shared" si="27"/>
        <v>160</v>
      </c>
    </row>
    <row r="393" spans="1:19">
      <c r="A393" s="13">
        <v>71875</v>
      </c>
      <c r="B393" s="14" t="s">
        <v>23</v>
      </c>
      <c r="C393" s="15">
        <v>46038</v>
      </c>
      <c r="D393" s="16" t="s">
        <v>58</v>
      </c>
      <c r="E393" s="16" t="s">
        <v>4</v>
      </c>
      <c r="F393" s="17">
        <v>160</v>
      </c>
      <c r="G393" s="18" t="s">
        <v>24</v>
      </c>
      <c r="H393" s="9">
        <v>46038</v>
      </c>
      <c r="I393" s="10" t="s">
        <v>57</v>
      </c>
      <c r="J393" s="10" t="s">
        <v>3</v>
      </c>
      <c r="K393" s="11">
        <v>310</v>
      </c>
      <c r="O393" t="str" cm="1">
        <f t="array" ref="O393">_xlfn.LET(
_xlpm.corp,$I393,_xlpm.key,$M$2:$M$200,_xlpm.name,$N$2:$N$200,_xlpm.hits,_xlfn._xlws.FILTER(_xlpm.name,ISNUMBER(SEARCH(_xlpm.key,_xlpm.corp))),
IFERROR(INDEX(_xlpm.hits,1),_xlpm.corp))</f>
        <v>QB</v>
      </c>
      <c r="P393" t="str">
        <f t="shared" si="25"/>
        <v>2026-01-16</v>
      </c>
      <c r="Q393" t="str">
        <f t="shared" si="16"/>
        <v>QB/加工BL</v>
      </c>
      <c r="R393" t="str">
        <f t="shared" si="26"/>
        <v>加工BL</v>
      </c>
      <c r="S393">
        <f t="shared" si="27"/>
        <v>310</v>
      </c>
    </row>
    <row r="394" spans="1:19">
      <c r="A394" s="7">
        <v>71874</v>
      </c>
      <c r="B394" s="8" t="s">
        <v>23</v>
      </c>
      <c r="C394" s="9">
        <v>46038</v>
      </c>
      <c r="D394" s="10" t="s">
        <v>57</v>
      </c>
      <c r="E394" s="10" t="s">
        <v>3</v>
      </c>
      <c r="F394" s="11">
        <v>310</v>
      </c>
      <c r="G394" s="12" t="s">
        <v>24</v>
      </c>
      <c r="H394" s="15">
        <v>46038</v>
      </c>
      <c r="I394" s="16" t="s">
        <v>57</v>
      </c>
      <c r="J394" s="16" t="s">
        <v>2</v>
      </c>
      <c r="K394" s="17">
        <v>520</v>
      </c>
      <c r="O394" t="str" cm="1">
        <f t="array" ref="O394">_xlfn.LET(
_xlpm.corp,$I394,_xlpm.key,$M$2:$M$200,_xlpm.name,$N$2:$N$200,_xlpm.hits,_xlfn._xlws.FILTER(_xlpm.name,ISNUMBER(SEARCH(_xlpm.key,_xlpm.corp))),
IFERROR(INDEX(_xlpm.hits,1),_xlpm.corp))</f>
        <v>QB</v>
      </c>
      <c r="P394" t="str">
        <f t="shared" si="25"/>
        <v>2026-01-16</v>
      </c>
      <c r="Q394" t="str">
        <f t="shared" si="16"/>
        <v>QB</v>
      </c>
      <c r="R394" t="str">
        <f t="shared" si="26"/>
        <v>ベビーリーフ グリーンオーク</v>
      </c>
      <c r="S394">
        <f t="shared" si="27"/>
        <v>520</v>
      </c>
    </row>
    <row r="395" spans="1:19">
      <c r="A395" s="13">
        <v>71873</v>
      </c>
      <c r="B395" s="14" t="s">
        <v>23</v>
      </c>
      <c r="C395" s="15">
        <v>46038</v>
      </c>
      <c r="D395" s="16" t="s">
        <v>57</v>
      </c>
      <c r="E395" s="16" t="s">
        <v>2</v>
      </c>
      <c r="F395" s="17">
        <v>520</v>
      </c>
      <c r="G395" s="18" t="s">
        <v>24</v>
      </c>
      <c r="H395" s="9">
        <v>46038</v>
      </c>
      <c r="I395" s="10" t="s">
        <v>26</v>
      </c>
      <c r="J395" s="10" t="s">
        <v>3</v>
      </c>
      <c r="K395" s="11">
        <v>240</v>
      </c>
      <c r="O395" t="str" cm="1">
        <f t="array" ref="O395">_xlfn.LET(
_xlpm.corp,$I395,_xlpm.key,$M$2:$M$200,_xlpm.name,$N$2:$N$200,_xlpm.hits,_xlfn._xlws.FILTER(_xlpm.name,ISNUMBER(SEARCH(_xlpm.key,_xlpm.corp))),
IFERROR(INDEX(_xlpm.hits,1),_xlpm.corp))</f>
        <v>日建</v>
      </c>
      <c r="P395" t="str">
        <f t="shared" si="25"/>
        <v>2026-01-16</v>
      </c>
      <c r="Q395" t="str">
        <f t="shared" si="16"/>
        <v>日建/加工BL</v>
      </c>
      <c r="R395" t="str">
        <f t="shared" si="26"/>
        <v>加工BL</v>
      </c>
      <c r="S395">
        <f t="shared" si="27"/>
        <v>240</v>
      </c>
    </row>
    <row r="396" spans="1:19">
      <c r="A396" s="7">
        <v>71872</v>
      </c>
      <c r="B396" s="8" t="s">
        <v>23</v>
      </c>
      <c r="C396" s="9">
        <v>46038</v>
      </c>
      <c r="D396" s="10" t="s">
        <v>26</v>
      </c>
      <c r="E396" s="10" t="s">
        <v>3</v>
      </c>
      <c r="F396" s="11">
        <v>240</v>
      </c>
      <c r="G396" s="12" t="s">
        <v>24</v>
      </c>
      <c r="H396" s="15">
        <v>46038</v>
      </c>
      <c r="I396" s="16" t="s">
        <v>67</v>
      </c>
      <c r="J396" s="16" t="s">
        <v>3</v>
      </c>
      <c r="K396" s="17">
        <v>40</v>
      </c>
      <c r="O396" t="str" cm="1">
        <f t="array" ref="O396">_xlfn.LET(
_xlpm.corp,$I396,_xlpm.key,$M$2:$M$200,_xlpm.name,$N$2:$N$200,_xlpm.hits,_xlfn._xlws.FILTER(_xlpm.name,ISNUMBER(SEARCH(_xlpm.key,_xlpm.corp))),
IFERROR(INDEX(_xlpm.hits,1),_xlpm.corp))</f>
        <v>日本ロレアル</v>
      </c>
      <c r="P396" t="str">
        <f t="shared" si="25"/>
        <v>2026-01-16</v>
      </c>
      <c r="Q396" t="str">
        <f t="shared" si="16"/>
        <v>日本ロレアル/加工BL</v>
      </c>
      <c r="R396" t="str">
        <f t="shared" si="26"/>
        <v>加工BL</v>
      </c>
      <c r="S396">
        <f t="shared" si="27"/>
        <v>40</v>
      </c>
    </row>
    <row r="397" spans="1:19">
      <c r="A397" s="13">
        <v>71871</v>
      </c>
      <c r="B397" s="14" t="s">
        <v>23</v>
      </c>
      <c r="C397" s="15">
        <v>46038</v>
      </c>
      <c r="D397" s="16" t="s">
        <v>67</v>
      </c>
      <c r="E397" s="16" t="s">
        <v>3</v>
      </c>
      <c r="F397" s="17">
        <v>40</v>
      </c>
      <c r="G397" s="18" t="s">
        <v>24</v>
      </c>
      <c r="H397" s="9">
        <v>46038</v>
      </c>
      <c r="I397" s="10" t="s">
        <v>26</v>
      </c>
      <c r="J397" s="10" t="s">
        <v>2</v>
      </c>
      <c r="K397" s="11">
        <v>380</v>
      </c>
      <c r="O397" t="str" cm="1">
        <f t="array" ref="O397">_xlfn.LET(
_xlpm.corp,$I397,_xlpm.key,$M$2:$M$200,_xlpm.name,$N$2:$N$200,_xlpm.hits,_xlfn._xlws.FILTER(_xlpm.name,ISNUMBER(SEARCH(_xlpm.key,_xlpm.corp))),
IFERROR(INDEX(_xlpm.hits,1),_xlpm.corp))</f>
        <v>日建</v>
      </c>
      <c r="P397" t="str">
        <f t="shared" si="25"/>
        <v>2026-01-16</v>
      </c>
      <c r="Q397" t="str">
        <f t="shared" si="16"/>
        <v>日建</v>
      </c>
      <c r="R397" t="str">
        <f t="shared" si="26"/>
        <v>ベビーリーフ グリーンオーク</v>
      </c>
      <c r="S397">
        <f t="shared" si="27"/>
        <v>380</v>
      </c>
    </row>
    <row r="398" spans="1:19">
      <c r="A398" s="7">
        <v>71870</v>
      </c>
      <c r="B398" s="8" t="s">
        <v>23</v>
      </c>
      <c r="C398" s="9">
        <v>46038</v>
      </c>
      <c r="D398" s="10" t="s">
        <v>26</v>
      </c>
      <c r="E398" s="10" t="s">
        <v>2</v>
      </c>
      <c r="F398" s="11">
        <v>380</v>
      </c>
      <c r="G398" s="12" t="s">
        <v>24</v>
      </c>
      <c r="H398" s="15">
        <v>46038</v>
      </c>
      <c r="I398" s="16" t="s">
        <v>67</v>
      </c>
      <c r="J398" s="16" t="s">
        <v>4</v>
      </c>
      <c r="K398" s="17">
        <v>80</v>
      </c>
      <c r="O398" t="str" cm="1">
        <f t="array" ref="O398">_xlfn.LET(
_xlpm.corp,$I398,_xlpm.key,$M$2:$M$200,_xlpm.name,$N$2:$N$200,_xlpm.hits,_xlfn._xlws.FILTER(_xlpm.name,ISNUMBER(SEARCH(_xlpm.key,_xlpm.corp))),
IFERROR(INDEX(_xlpm.hits,1),_xlpm.corp))</f>
        <v>日本ロレアル</v>
      </c>
      <c r="P398" t="str">
        <f t="shared" si="25"/>
        <v>2026-01-16</v>
      </c>
      <c r="Q398" t="str">
        <f t="shared" si="16"/>
        <v>日本ロレアル</v>
      </c>
      <c r="R398" t="str">
        <f t="shared" si="26"/>
        <v>ベビーリーフ ピノグリーン</v>
      </c>
      <c r="S398">
        <f t="shared" si="27"/>
        <v>80</v>
      </c>
    </row>
    <row r="399" spans="1:19">
      <c r="A399" s="13">
        <v>71869</v>
      </c>
      <c r="B399" s="14" t="s">
        <v>23</v>
      </c>
      <c r="C399" s="15">
        <v>46038</v>
      </c>
      <c r="D399" s="16" t="s">
        <v>67</v>
      </c>
      <c r="E399" s="16" t="s">
        <v>4</v>
      </c>
      <c r="F399" s="17">
        <v>80</v>
      </c>
      <c r="G399" s="18" t="s">
        <v>24</v>
      </c>
      <c r="H399" s="9">
        <v>46038</v>
      </c>
      <c r="I399" s="10" t="s">
        <v>27</v>
      </c>
      <c r="J399" s="10" t="s">
        <v>3</v>
      </c>
      <c r="K399" s="20">
        <v>1180</v>
      </c>
      <c r="O399" t="str" cm="1">
        <f t="array" ref="O399">_xlfn.LET(
_xlpm.corp,$I399,_xlpm.key,$M$2:$M$200,_xlpm.name,$N$2:$N$200,_xlpm.hits,_xlfn._xlws.FILTER(_xlpm.name,ISNUMBER(SEARCH(_xlpm.key,_xlpm.corp))),
IFERROR(INDEX(_xlpm.hits,1),_xlpm.corp))</f>
        <v>東レ</v>
      </c>
      <c r="P399" t="str">
        <f t="shared" si="25"/>
        <v>2026-01-16</v>
      </c>
      <c r="Q399" t="str">
        <f t="shared" si="16"/>
        <v>東レ/加工BL</v>
      </c>
      <c r="R399" t="str">
        <f t="shared" si="26"/>
        <v>加工BL</v>
      </c>
      <c r="S399">
        <f t="shared" si="27"/>
        <v>1180</v>
      </c>
    </row>
    <row r="400" spans="1:19">
      <c r="A400" s="7">
        <v>71868</v>
      </c>
      <c r="B400" s="8" t="s">
        <v>23</v>
      </c>
      <c r="C400" s="9">
        <v>46038</v>
      </c>
      <c r="D400" s="10" t="s">
        <v>27</v>
      </c>
      <c r="E400" s="10" t="s">
        <v>3</v>
      </c>
      <c r="F400" s="20">
        <v>1180</v>
      </c>
      <c r="G400" s="12" t="s">
        <v>24</v>
      </c>
      <c r="H400" s="15">
        <v>46038</v>
      </c>
      <c r="I400" s="16" t="s">
        <v>66</v>
      </c>
      <c r="J400" s="16" t="s">
        <v>3</v>
      </c>
      <c r="K400" s="17">
        <v>700</v>
      </c>
      <c r="O400" t="str" cm="1">
        <f t="array" ref="O400">_xlfn.LET(
_xlpm.corp,$I400,_xlpm.key,$M$2:$M$200,_xlpm.name,$N$2:$N$200,_xlpm.hits,_xlfn._xlws.FILTER(_xlpm.name,ISNUMBER(SEARCH(_xlpm.key,_xlpm.corp))),
IFERROR(INDEX(_xlpm.hits,1),_xlpm.corp))</f>
        <v>ケイアイ</v>
      </c>
      <c r="P400" t="str">
        <f t="shared" ref="P400:P463" si="28">IFERROR(TEXT(DATEVALUE(SUBSTITUTE(SUBSTITUTE(H400,".","/"),"-","/")),"yyyy-mm-dd"),
TEXT(H400,"yyyy-mm-dd"))</f>
        <v>2026-01-16</v>
      </c>
      <c r="Q400" t="str">
        <f t="shared" si="16"/>
        <v>ケイアイ/加工BL</v>
      </c>
      <c r="R400" t="str">
        <f t="shared" ref="R400:R463" si="29">IF(
  AND(ISNUMBER(SEARCH("加工品",SUBSTITUTE(J400,"　"," "))),ISNUMBER(SEARCH("ベビーリーフ",SUBSTITUTE(J400,"　"," ")))),
  "加工BL",
  IF(LEFT(TRIM(SUBSTITUTE(J400,"　"," ")),5)="ベビーリーフ",
     "BL"&amp;TRIM(MID(TRIM(SUBSTITUTE(J400,"　"," ")),FIND(" ",TRIM(SUBSTITUTE(J400,"　"," "))&amp;" ")+1,255)),
     TRIM(SUBSTITUTE(J400,"　"," "))
  )
)</f>
        <v>加工BL</v>
      </c>
      <c r="S400">
        <f t="shared" ref="S400:S463" si="30">IF(K400="", "", --SUBSTITUTE(K400, ",", ""))</f>
        <v>700</v>
      </c>
    </row>
    <row r="401" spans="1:19">
      <c r="A401" s="13">
        <v>71867</v>
      </c>
      <c r="B401" s="14" t="s">
        <v>23</v>
      </c>
      <c r="C401" s="15">
        <v>46038</v>
      </c>
      <c r="D401" s="16" t="s">
        <v>66</v>
      </c>
      <c r="E401" s="16" t="s">
        <v>3</v>
      </c>
      <c r="F401" s="17">
        <v>700</v>
      </c>
      <c r="G401" s="18" t="s">
        <v>24</v>
      </c>
      <c r="H401" s="9">
        <v>46038</v>
      </c>
      <c r="I401" s="10" t="s">
        <v>28</v>
      </c>
      <c r="J401" s="10" t="s">
        <v>2</v>
      </c>
      <c r="K401" s="11">
        <v>160</v>
      </c>
      <c r="O401" t="str" cm="1">
        <f t="array" ref="O401">_xlfn.LET(
_xlpm.corp,$I401,_xlpm.key,$M$2:$M$200,_xlpm.name,$N$2:$N$200,_xlpm.hits,_xlfn._xlws.FILTER(_xlpm.name,ISNUMBER(SEARCH(_xlpm.key,_xlpm.corp))),
IFERROR(INDEX(_xlpm.hits,1),_xlpm.corp))</f>
        <v>牧野フライス</v>
      </c>
      <c r="P401" t="str">
        <f t="shared" si="28"/>
        <v>2026-01-16</v>
      </c>
      <c r="Q401" t="str">
        <f t="shared" si="16"/>
        <v>牧野フライス</v>
      </c>
      <c r="R401" t="str">
        <f t="shared" si="29"/>
        <v>ベビーリーフ グリーンオーク</v>
      </c>
      <c r="S401">
        <f t="shared" si="30"/>
        <v>160</v>
      </c>
    </row>
    <row r="402" spans="1:19">
      <c r="A402" s="7">
        <v>71866</v>
      </c>
      <c r="B402" s="8" t="s">
        <v>23</v>
      </c>
      <c r="C402" s="9">
        <v>46038</v>
      </c>
      <c r="D402" s="10" t="s">
        <v>28</v>
      </c>
      <c r="E402" s="10" t="s">
        <v>2</v>
      </c>
      <c r="F402" s="11">
        <v>160</v>
      </c>
      <c r="G402" s="12" t="s">
        <v>24</v>
      </c>
      <c r="H402" s="15">
        <v>46038</v>
      </c>
      <c r="I402" s="16" t="s">
        <v>25</v>
      </c>
      <c r="J402" s="16" t="s">
        <v>2</v>
      </c>
      <c r="K402" s="17">
        <v>260</v>
      </c>
      <c r="O402" t="str" cm="1">
        <f t="array" ref="O402">_xlfn.LET(
_xlpm.corp,$I402,_xlpm.key,$M$2:$M$200,_xlpm.name,$N$2:$N$200,_xlpm.hits,_xlfn._xlws.FILTER(_xlpm.name,ISNUMBER(SEARCH(_xlpm.key,_xlpm.corp))),
IFERROR(INDEX(_xlpm.hits,1),_xlpm.corp))</f>
        <v>日本ファブテック</v>
      </c>
      <c r="P402" t="str">
        <f t="shared" si="28"/>
        <v>2026-01-16</v>
      </c>
      <c r="Q402" t="str">
        <f t="shared" si="16"/>
        <v>日本ファブテック</v>
      </c>
      <c r="R402" t="str">
        <f t="shared" si="29"/>
        <v>ベビーリーフ グリーンオーク</v>
      </c>
      <c r="S402">
        <f t="shared" si="30"/>
        <v>260</v>
      </c>
    </row>
    <row r="403" spans="1:19">
      <c r="A403" s="13">
        <v>71865</v>
      </c>
      <c r="B403" s="14" t="s">
        <v>23</v>
      </c>
      <c r="C403" s="15">
        <v>46038</v>
      </c>
      <c r="D403" s="16" t="s">
        <v>25</v>
      </c>
      <c r="E403" s="16" t="s">
        <v>2</v>
      </c>
      <c r="F403" s="17">
        <v>260</v>
      </c>
      <c r="G403" s="18" t="s">
        <v>24</v>
      </c>
      <c r="H403" s="9">
        <v>46038</v>
      </c>
      <c r="I403" s="10" t="s">
        <v>59</v>
      </c>
      <c r="J403" s="10" t="s">
        <v>2</v>
      </c>
      <c r="K403" s="11">
        <v>420</v>
      </c>
      <c r="O403" t="str" cm="1">
        <f t="array" ref="O403">_xlfn.LET(
_xlpm.corp,$I403,_xlpm.key,$M$2:$M$200,_xlpm.name,$N$2:$N$200,_xlpm.hits,_xlfn._xlws.FILTER(_xlpm.name,ISNUMBER(SEARCH(_xlpm.key,_xlpm.corp))),
IFERROR(INDEX(_xlpm.hits,1),_xlpm.corp))</f>
        <v>三和</v>
      </c>
      <c r="P403" t="str">
        <f t="shared" si="28"/>
        <v>2026-01-16</v>
      </c>
      <c r="Q403" t="str">
        <f t="shared" si="16"/>
        <v>三和</v>
      </c>
      <c r="R403" t="str">
        <f t="shared" si="29"/>
        <v>ベビーリーフ グリーンオーク</v>
      </c>
      <c r="S403">
        <f t="shared" si="30"/>
        <v>420</v>
      </c>
    </row>
    <row r="404" spans="1:19">
      <c r="A404" s="7">
        <v>71864</v>
      </c>
      <c r="B404" s="8" t="s">
        <v>23</v>
      </c>
      <c r="C404" s="9">
        <v>46038</v>
      </c>
      <c r="D404" s="10" t="s">
        <v>59</v>
      </c>
      <c r="E404" s="10" t="s">
        <v>2</v>
      </c>
      <c r="F404" s="11">
        <v>420</v>
      </c>
      <c r="G404" s="12" t="s">
        <v>24</v>
      </c>
      <c r="H404" s="15">
        <v>46038</v>
      </c>
      <c r="I404" s="16" t="s">
        <v>57</v>
      </c>
      <c r="J404" s="16" t="s">
        <v>3</v>
      </c>
      <c r="K404" s="17">
        <v>180</v>
      </c>
      <c r="O404" t="str" cm="1">
        <f t="array" ref="O404">_xlfn.LET(
_xlpm.corp,$I404,_xlpm.key,$M$2:$M$200,_xlpm.name,$N$2:$N$200,_xlpm.hits,_xlfn._xlws.FILTER(_xlpm.name,ISNUMBER(SEARCH(_xlpm.key,_xlpm.corp))),
IFERROR(INDEX(_xlpm.hits,1),_xlpm.corp))</f>
        <v>QB</v>
      </c>
      <c r="P404" t="str">
        <f t="shared" si="28"/>
        <v>2026-01-16</v>
      </c>
      <c r="Q404" t="str">
        <f t="shared" si="16"/>
        <v>QB/加工BL</v>
      </c>
      <c r="R404" t="str">
        <f t="shared" si="29"/>
        <v>加工BL</v>
      </c>
      <c r="S404">
        <f t="shared" si="30"/>
        <v>180</v>
      </c>
    </row>
    <row r="405" spans="1:19">
      <c r="A405" s="13">
        <v>71863</v>
      </c>
      <c r="B405" s="14" t="s">
        <v>23</v>
      </c>
      <c r="C405" s="15">
        <v>46038</v>
      </c>
      <c r="D405" s="16" t="s">
        <v>57</v>
      </c>
      <c r="E405" s="16" t="s">
        <v>3</v>
      </c>
      <c r="F405" s="17">
        <v>180</v>
      </c>
      <c r="G405" s="18" t="s">
        <v>24</v>
      </c>
      <c r="H405" s="9">
        <v>46038</v>
      </c>
      <c r="I405" s="10" t="s">
        <v>26</v>
      </c>
      <c r="J405" s="10" t="s">
        <v>3</v>
      </c>
      <c r="K405" s="11">
        <v>140</v>
      </c>
      <c r="O405" t="str" cm="1">
        <f t="array" ref="O405">_xlfn.LET(
_xlpm.corp,$I405,_xlpm.key,$M$2:$M$200,_xlpm.name,$N$2:$N$200,_xlpm.hits,_xlfn._xlws.FILTER(_xlpm.name,ISNUMBER(SEARCH(_xlpm.key,_xlpm.corp))),
IFERROR(INDEX(_xlpm.hits,1),_xlpm.corp))</f>
        <v>日建</v>
      </c>
      <c r="P405" t="str">
        <f t="shared" si="28"/>
        <v>2026-01-16</v>
      </c>
      <c r="Q405" t="str">
        <f t="shared" si="16"/>
        <v>日建/加工BL</v>
      </c>
      <c r="R405" t="str">
        <f t="shared" si="29"/>
        <v>加工BL</v>
      </c>
      <c r="S405">
        <f t="shared" si="30"/>
        <v>140</v>
      </c>
    </row>
    <row r="406" spans="1:19">
      <c r="A406" s="7">
        <v>71862</v>
      </c>
      <c r="B406" s="8" t="s">
        <v>23</v>
      </c>
      <c r="C406" s="9">
        <v>46038</v>
      </c>
      <c r="D406" s="10" t="s">
        <v>26</v>
      </c>
      <c r="E406" s="10" t="s">
        <v>3</v>
      </c>
      <c r="F406" s="11">
        <v>140</v>
      </c>
      <c r="G406" s="12" t="s">
        <v>24</v>
      </c>
      <c r="H406" s="15">
        <v>46038</v>
      </c>
      <c r="I406" s="16" t="s">
        <v>26</v>
      </c>
      <c r="J406" s="16" t="s">
        <v>2</v>
      </c>
      <c r="K406" s="17">
        <v>60</v>
      </c>
      <c r="O406" t="str" cm="1">
        <f t="array" ref="O406">_xlfn.LET(
_xlpm.corp,$I406,_xlpm.key,$M$2:$M$200,_xlpm.name,$N$2:$N$200,_xlpm.hits,_xlfn._xlws.FILTER(_xlpm.name,ISNUMBER(SEARCH(_xlpm.key,_xlpm.corp))),
IFERROR(INDEX(_xlpm.hits,1),_xlpm.corp))</f>
        <v>日建</v>
      </c>
      <c r="P406" t="str">
        <f t="shared" si="28"/>
        <v>2026-01-16</v>
      </c>
      <c r="Q406" t="str">
        <f t="shared" si="16"/>
        <v>日建</v>
      </c>
      <c r="R406" t="str">
        <f t="shared" si="29"/>
        <v>ベビーリーフ グリーンオーク</v>
      </c>
      <c r="S406">
        <f t="shared" si="30"/>
        <v>60</v>
      </c>
    </row>
    <row r="407" spans="1:19">
      <c r="A407" s="13">
        <v>71861</v>
      </c>
      <c r="B407" s="14" t="s">
        <v>23</v>
      </c>
      <c r="C407" s="15">
        <v>46038</v>
      </c>
      <c r="D407" s="16" t="s">
        <v>26</v>
      </c>
      <c r="E407" s="16" t="s">
        <v>2</v>
      </c>
      <c r="F407" s="17">
        <v>60</v>
      </c>
      <c r="G407" s="18" t="s">
        <v>24</v>
      </c>
      <c r="H407" s="9">
        <v>46037</v>
      </c>
      <c r="I407" s="10" t="s">
        <v>27</v>
      </c>
      <c r="J407" s="10" t="s">
        <v>9</v>
      </c>
      <c r="K407" s="11">
        <v>520</v>
      </c>
      <c r="O407" t="str" cm="1">
        <f t="array" ref="O407">_xlfn.LET(
_xlpm.corp,$I407,_xlpm.key,$M$2:$M$200,_xlpm.name,$N$2:$N$200,_xlpm.hits,_xlfn._xlws.FILTER(_xlpm.name,ISNUMBER(SEARCH(_xlpm.key,_xlpm.corp))),
IFERROR(INDEX(_xlpm.hits,1),_xlpm.corp))</f>
        <v>東レ</v>
      </c>
      <c r="P407" t="str">
        <f t="shared" si="28"/>
        <v>2026-01-15</v>
      </c>
      <c r="Q407" t="str">
        <f t="shared" si="16"/>
        <v>東レ</v>
      </c>
      <c r="R407" t="str">
        <f t="shared" si="29"/>
        <v>ベビーリーフ ロロロッサ</v>
      </c>
      <c r="S407">
        <f t="shared" si="30"/>
        <v>520</v>
      </c>
    </row>
    <row r="408" spans="1:19">
      <c r="A408" s="7">
        <v>71699</v>
      </c>
      <c r="B408" s="8" t="s">
        <v>23</v>
      </c>
      <c r="C408" s="9">
        <v>46037</v>
      </c>
      <c r="D408" s="10" t="s">
        <v>27</v>
      </c>
      <c r="E408" s="10" t="s">
        <v>9</v>
      </c>
      <c r="F408" s="11">
        <v>520</v>
      </c>
      <c r="G408" s="12" t="s">
        <v>24</v>
      </c>
      <c r="H408" s="15">
        <v>46037</v>
      </c>
      <c r="I408" s="16" t="s">
        <v>27</v>
      </c>
      <c r="J408" s="16" t="s">
        <v>2</v>
      </c>
      <c r="K408" s="17">
        <v>200</v>
      </c>
      <c r="O408" t="str" cm="1">
        <f t="array" ref="O408">_xlfn.LET(
_xlpm.corp,$I408,_xlpm.key,$M$2:$M$200,_xlpm.name,$N$2:$N$200,_xlpm.hits,_xlfn._xlws.FILTER(_xlpm.name,ISNUMBER(SEARCH(_xlpm.key,_xlpm.corp))),
IFERROR(INDEX(_xlpm.hits,1),_xlpm.corp))</f>
        <v>東レ</v>
      </c>
      <c r="P408" t="str">
        <f t="shared" si="28"/>
        <v>2026-01-15</v>
      </c>
      <c r="Q408" t="str">
        <f t="shared" si="16"/>
        <v>東レ</v>
      </c>
      <c r="R408" t="str">
        <f t="shared" si="29"/>
        <v>ベビーリーフ グリーンオーク</v>
      </c>
      <c r="S408">
        <f t="shared" si="30"/>
        <v>200</v>
      </c>
    </row>
    <row r="409" spans="1:19">
      <c r="A409" s="13">
        <v>71698</v>
      </c>
      <c r="B409" s="14" t="s">
        <v>23</v>
      </c>
      <c r="C409" s="15">
        <v>46037</v>
      </c>
      <c r="D409" s="16" t="s">
        <v>27</v>
      </c>
      <c r="E409" s="16" t="s">
        <v>2</v>
      </c>
      <c r="F409" s="17">
        <v>200</v>
      </c>
      <c r="G409" s="18" t="s">
        <v>24</v>
      </c>
      <c r="H409" s="9">
        <v>46037</v>
      </c>
      <c r="I409" s="10" t="s">
        <v>66</v>
      </c>
      <c r="J409" s="10" t="s">
        <v>11</v>
      </c>
      <c r="K409" s="11">
        <v>700</v>
      </c>
      <c r="O409" t="str" cm="1">
        <f t="array" ref="O409">_xlfn.LET(
_xlpm.corp,$I409,_xlpm.key,$M$2:$M$200,_xlpm.name,$N$2:$N$200,_xlpm.hits,_xlfn._xlws.FILTER(_xlpm.name,ISNUMBER(SEARCH(_xlpm.key,_xlpm.corp))),
IFERROR(INDEX(_xlpm.hits,1),_xlpm.corp))</f>
        <v>ケイアイ</v>
      </c>
      <c r="P409" t="str">
        <f t="shared" si="28"/>
        <v>2026-01-15</v>
      </c>
      <c r="Q409" t="str">
        <f t="shared" si="16"/>
        <v>ケイアイ</v>
      </c>
      <c r="R409" t="str">
        <f t="shared" si="29"/>
        <v>ベビーリーフ レッドオーク</v>
      </c>
      <c r="S409">
        <f t="shared" si="30"/>
        <v>700</v>
      </c>
    </row>
    <row r="410" spans="1:19">
      <c r="A410" s="7">
        <v>71697</v>
      </c>
      <c r="B410" s="8" t="s">
        <v>23</v>
      </c>
      <c r="C410" s="9">
        <v>46037</v>
      </c>
      <c r="D410" s="10" t="s">
        <v>66</v>
      </c>
      <c r="E410" s="10" t="s">
        <v>11</v>
      </c>
      <c r="F410" s="11">
        <v>700</v>
      </c>
      <c r="G410" s="12" t="s">
        <v>24</v>
      </c>
      <c r="H410" s="15">
        <v>46037</v>
      </c>
      <c r="I410" s="16" t="s">
        <v>59</v>
      </c>
      <c r="J410" s="16" t="s">
        <v>2</v>
      </c>
      <c r="K410" s="17">
        <v>260</v>
      </c>
      <c r="O410" t="str" cm="1">
        <f t="array" ref="O410">_xlfn.LET(
_xlpm.corp,$I410,_xlpm.key,$M$2:$M$200,_xlpm.name,$N$2:$N$200,_xlpm.hits,_xlfn._xlws.FILTER(_xlpm.name,ISNUMBER(SEARCH(_xlpm.key,_xlpm.corp))),
IFERROR(INDEX(_xlpm.hits,1),_xlpm.corp))</f>
        <v>三和</v>
      </c>
      <c r="P410" t="str">
        <f t="shared" si="28"/>
        <v>2026-01-15</v>
      </c>
      <c r="Q410" t="str">
        <f t="shared" si="16"/>
        <v>三和</v>
      </c>
      <c r="R410" t="str">
        <f t="shared" si="29"/>
        <v>ベビーリーフ グリーンオーク</v>
      </c>
      <c r="S410">
        <f t="shared" si="30"/>
        <v>260</v>
      </c>
    </row>
    <row r="411" spans="1:19">
      <c r="A411" s="13">
        <v>71696</v>
      </c>
      <c r="B411" s="14" t="s">
        <v>23</v>
      </c>
      <c r="C411" s="15">
        <v>46037</v>
      </c>
      <c r="D411" s="16" t="s">
        <v>59</v>
      </c>
      <c r="E411" s="16" t="s">
        <v>2</v>
      </c>
      <c r="F411" s="17">
        <v>260</v>
      </c>
      <c r="G411" s="18" t="s">
        <v>24</v>
      </c>
      <c r="H411" s="9">
        <v>46037</v>
      </c>
      <c r="I411" s="10" t="s">
        <v>61</v>
      </c>
      <c r="J411" s="10" t="s">
        <v>62</v>
      </c>
      <c r="K411" s="11">
        <v>460</v>
      </c>
      <c r="O411" t="str" cm="1">
        <f t="array" ref="O411">_xlfn.LET(
_xlpm.corp,$I411,_xlpm.key,$M$2:$M$200,_xlpm.name,$N$2:$N$200,_xlpm.hits,_xlfn._xlws.FILTER(_xlpm.name,ISNUMBER(SEARCH(_xlpm.key,_xlpm.corp))),
IFERROR(INDEX(_xlpm.hits,1),_xlpm.corp))</f>
        <v>Adobe</v>
      </c>
      <c r="P411" t="str">
        <f t="shared" si="28"/>
        <v>2026-01-15</v>
      </c>
      <c r="Q411" t="str">
        <f t="shared" si="16"/>
        <v>Adobe</v>
      </c>
      <c r="R411" t="str">
        <f t="shared" si="29"/>
        <v>ベビーリーフ ロログリーン</v>
      </c>
      <c r="S411">
        <f t="shared" si="30"/>
        <v>460</v>
      </c>
    </row>
    <row r="412" spans="1:19">
      <c r="A412" s="7">
        <v>71695</v>
      </c>
      <c r="B412" s="8" t="s">
        <v>23</v>
      </c>
      <c r="C412" s="9">
        <v>46037</v>
      </c>
      <c r="D412" s="10" t="s">
        <v>61</v>
      </c>
      <c r="E412" s="10" t="s">
        <v>62</v>
      </c>
      <c r="F412" s="11">
        <v>460</v>
      </c>
      <c r="G412" s="12" t="s">
        <v>24</v>
      </c>
      <c r="H412" s="15">
        <v>46037</v>
      </c>
      <c r="I412" s="16" t="s">
        <v>69</v>
      </c>
      <c r="J412" s="16" t="s">
        <v>9</v>
      </c>
      <c r="K412" s="17">
        <v>460</v>
      </c>
      <c r="O412" t="str" cm="1">
        <f t="array" ref="O412">_xlfn.LET(
_xlpm.corp,$I412,_xlpm.key,$M$2:$M$200,_xlpm.name,$N$2:$N$200,_xlpm.hits,_xlfn._xlws.FILTER(_xlpm.name,ISNUMBER(SEARCH(_xlpm.key,_xlpm.corp))),
IFERROR(INDEX(_xlpm.hits,1),_xlpm.corp))</f>
        <v>バリュエンス</v>
      </c>
      <c r="P412" t="str">
        <f t="shared" si="28"/>
        <v>2026-01-15</v>
      </c>
      <c r="Q412" t="str">
        <f t="shared" si="16"/>
        <v>バリュエンス</v>
      </c>
      <c r="R412" t="str">
        <f t="shared" si="29"/>
        <v>ベビーリーフ ロロロッサ</v>
      </c>
      <c r="S412">
        <f t="shared" si="30"/>
        <v>460</v>
      </c>
    </row>
    <row r="413" spans="1:19">
      <c r="A413" s="13">
        <v>71694</v>
      </c>
      <c r="B413" s="14" t="s">
        <v>23</v>
      </c>
      <c r="C413" s="15">
        <v>46037</v>
      </c>
      <c r="D413" s="16" t="s">
        <v>69</v>
      </c>
      <c r="E413" s="16" t="s">
        <v>9</v>
      </c>
      <c r="F413" s="17">
        <v>460</v>
      </c>
      <c r="G413" s="18" t="s">
        <v>24</v>
      </c>
      <c r="H413" s="9">
        <v>46037</v>
      </c>
      <c r="I413" s="10" t="s">
        <v>70</v>
      </c>
      <c r="J413" s="10" t="s">
        <v>9</v>
      </c>
      <c r="K413" s="11">
        <v>800</v>
      </c>
      <c r="O413" t="str" cm="1">
        <f t="array" ref="O413">_xlfn.LET(
_xlpm.corp,$I413,_xlpm.key,$M$2:$M$200,_xlpm.name,$N$2:$N$200,_xlpm.hits,_xlfn._xlws.FILTER(_xlpm.name,ISNUMBER(SEARCH(_xlpm.key,_xlpm.corp))),
IFERROR(INDEX(_xlpm.hits,1),_xlpm.corp))</f>
        <v>富士機械</v>
      </c>
      <c r="P413" t="str">
        <f t="shared" si="28"/>
        <v>2026-01-15</v>
      </c>
      <c r="Q413" t="str">
        <f t="shared" si="16"/>
        <v>富士機械</v>
      </c>
      <c r="R413" t="str">
        <f t="shared" si="29"/>
        <v>ベビーリーフ ロロロッサ</v>
      </c>
      <c r="S413">
        <f t="shared" si="30"/>
        <v>800</v>
      </c>
    </row>
    <row r="414" spans="1:19">
      <c r="A414" s="7">
        <v>71693</v>
      </c>
      <c r="B414" s="8" t="s">
        <v>23</v>
      </c>
      <c r="C414" s="9">
        <v>46037</v>
      </c>
      <c r="D414" s="10" t="s">
        <v>70</v>
      </c>
      <c r="E414" s="10" t="s">
        <v>9</v>
      </c>
      <c r="F414" s="11">
        <v>800</v>
      </c>
      <c r="G414" s="12" t="s">
        <v>24</v>
      </c>
      <c r="H414" s="15">
        <v>46037</v>
      </c>
      <c r="I414" s="16" t="s">
        <v>60</v>
      </c>
      <c r="J414" s="16" t="s">
        <v>3</v>
      </c>
      <c r="K414" s="17">
        <v>80</v>
      </c>
      <c r="O414" t="str" cm="1">
        <f t="array" ref="O414">_xlfn.LET(
_xlpm.corp,$I414,_xlpm.key,$M$2:$M$200,_xlpm.name,$N$2:$N$200,_xlpm.hits,_xlfn._xlws.FILTER(_xlpm.name,ISNUMBER(SEARCH(_xlpm.key,_xlpm.corp))),
IFERROR(INDEX(_xlpm.hits,1),_xlpm.corp))</f>
        <v>サンテレホン</v>
      </c>
      <c r="P414" t="str">
        <f t="shared" si="28"/>
        <v>2026-01-15</v>
      </c>
      <c r="Q414" t="str">
        <f t="shared" si="16"/>
        <v>サンテレホン/加工BL</v>
      </c>
      <c r="R414" t="str">
        <f t="shared" si="29"/>
        <v>加工BL</v>
      </c>
      <c r="S414">
        <f t="shared" si="30"/>
        <v>80</v>
      </c>
    </row>
    <row r="415" spans="1:19">
      <c r="A415" s="13">
        <v>71692</v>
      </c>
      <c r="B415" s="14" t="s">
        <v>23</v>
      </c>
      <c r="C415" s="15">
        <v>46037</v>
      </c>
      <c r="D415" s="16" t="s">
        <v>60</v>
      </c>
      <c r="E415" s="16" t="s">
        <v>3</v>
      </c>
      <c r="F415" s="17">
        <v>80</v>
      </c>
      <c r="G415" s="18" t="s">
        <v>24</v>
      </c>
      <c r="H415" s="9">
        <v>46037</v>
      </c>
      <c r="I415" s="10" t="s">
        <v>68</v>
      </c>
      <c r="J415" s="10" t="s">
        <v>3</v>
      </c>
      <c r="K415" s="11">
        <v>160</v>
      </c>
      <c r="O415" t="str" cm="1">
        <f t="array" ref="O415">_xlfn.LET(
_xlpm.corp,$I415,_xlpm.key,$M$2:$M$200,_xlpm.name,$N$2:$N$200,_xlpm.hits,_xlfn._xlws.FILTER(_xlpm.name,ISNUMBER(SEARCH(_xlpm.key,_xlpm.corp))),
IFERROR(INDEX(_xlpm.hits,1),_xlpm.corp))</f>
        <v>昭和女子</v>
      </c>
      <c r="P415" t="str">
        <f t="shared" si="28"/>
        <v>2026-01-15</v>
      </c>
      <c r="Q415" t="str">
        <f t="shared" si="16"/>
        <v>昭和女子/加工BL</v>
      </c>
      <c r="R415" t="str">
        <f t="shared" si="29"/>
        <v>加工BL</v>
      </c>
      <c r="S415">
        <f t="shared" si="30"/>
        <v>160</v>
      </c>
    </row>
    <row r="416" spans="1:19">
      <c r="A416" s="7">
        <v>71691</v>
      </c>
      <c r="B416" s="8" t="s">
        <v>23</v>
      </c>
      <c r="C416" s="9">
        <v>46037</v>
      </c>
      <c r="D416" s="10" t="s">
        <v>68</v>
      </c>
      <c r="E416" s="10" t="s">
        <v>3</v>
      </c>
      <c r="F416" s="11">
        <v>160</v>
      </c>
      <c r="G416" s="12" t="s">
        <v>24</v>
      </c>
      <c r="H416" s="15">
        <v>46037</v>
      </c>
      <c r="I416" s="16" t="s">
        <v>68</v>
      </c>
      <c r="J416" s="16" t="s">
        <v>2</v>
      </c>
      <c r="K416" s="17">
        <v>460</v>
      </c>
      <c r="O416" t="str" cm="1">
        <f t="array" ref="O416">_xlfn.LET(
_xlpm.corp,$I416,_xlpm.key,$M$2:$M$200,_xlpm.name,$N$2:$N$200,_xlpm.hits,_xlfn._xlws.FILTER(_xlpm.name,ISNUMBER(SEARCH(_xlpm.key,_xlpm.corp))),
IFERROR(INDEX(_xlpm.hits,1),_xlpm.corp))</f>
        <v>昭和女子</v>
      </c>
      <c r="P416" t="str">
        <f t="shared" si="28"/>
        <v>2026-01-15</v>
      </c>
      <c r="Q416" t="str">
        <f t="shared" si="16"/>
        <v>昭和女子</v>
      </c>
      <c r="R416" t="str">
        <f t="shared" si="29"/>
        <v>ベビーリーフ グリーンオーク</v>
      </c>
      <c r="S416">
        <f t="shared" si="30"/>
        <v>460</v>
      </c>
    </row>
    <row r="417" spans="1:19">
      <c r="A417" s="13">
        <v>71690</v>
      </c>
      <c r="B417" s="14" t="s">
        <v>23</v>
      </c>
      <c r="C417" s="15">
        <v>46037</v>
      </c>
      <c r="D417" s="16" t="s">
        <v>68</v>
      </c>
      <c r="E417" s="16" t="s">
        <v>2</v>
      </c>
      <c r="F417" s="17">
        <v>460</v>
      </c>
      <c r="G417" s="18" t="s">
        <v>24</v>
      </c>
      <c r="H417" s="9">
        <v>46037</v>
      </c>
      <c r="I417" s="10" t="s">
        <v>66</v>
      </c>
      <c r="J417" s="10" t="s">
        <v>11</v>
      </c>
      <c r="K417" s="20">
        <v>1380</v>
      </c>
      <c r="O417" t="str" cm="1">
        <f t="array" ref="O417">_xlfn.LET(
_xlpm.corp,$I417,_xlpm.key,$M$2:$M$200,_xlpm.name,$N$2:$N$200,_xlpm.hits,_xlfn._xlws.FILTER(_xlpm.name,ISNUMBER(SEARCH(_xlpm.key,_xlpm.corp))),
IFERROR(INDEX(_xlpm.hits,1),_xlpm.corp))</f>
        <v>ケイアイ</v>
      </c>
      <c r="P417" t="str">
        <f t="shared" si="28"/>
        <v>2026-01-15</v>
      </c>
      <c r="Q417" t="str">
        <f t="shared" si="16"/>
        <v>ケイアイ</v>
      </c>
      <c r="R417" t="str">
        <f t="shared" si="29"/>
        <v>ベビーリーフ レッドオーク</v>
      </c>
      <c r="S417">
        <f t="shared" si="30"/>
        <v>1380</v>
      </c>
    </row>
    <row r="418" spans="1:19">
      <c r="A418" s="7">
        <v>71689</v>
      </c>
      <c r="B418" s="8" t="s">
        <v>23</v>
      </c>
      <c r="C418" s="9">
        <v>46037</v>
      </c>
      <c r="D418" s="10" t="s">
        <v>66</v>
      </c>
      <c r="E418" s="10" t="s">
        <v>11</v>
      </c>
      <c r="F418" s="20">
        <v>1380</v>
      </c>
      <c r="G418" s="12" t="s">
        <v>24</v>
      </c>
      <c r="H418" s="15">
        <v>46037</v>
      </c>
      <c r="I418" s="16" t="s">
        <v>65</v>
      </c>
      <c r="J418" s="16" t="s">
        <v>2</v>
      </c>
      <c r="K418" s="19">
        <v>1060</v>
      </c>
      <c r="O418" t="str" cm="1">
        <f t="array" ref="O418">_xlfn.LET(
_xlpm.corp,$I418,_xlpm.key,$M$2:$M$200,_xlpm.name,$N$2:$N$200,_xlpm.hits,_xlfn._xlws.FILTER(_xlpm.name,ISNUMBER(SEARCH(_xlpm.key,_xlpm.corp))),
IFERROR(INDEX(_xlpm.hits,1),_xlpm.corp))</f>
        <v>マルテー</v>
      </c>
      <c r="P418" t="str">
        <f t="shared" si="28"/>
        <v>2026-01-15</v>
      </c>
      <c r="Q418" t="str">
        <f t="shared" si="16"/>
        <v>マルテー</v>
      </c>
      <c r="R418" t="str">
        <f t="shared" si="29"/>
        <v>ベビーリーフ グリーンオーク</v>
      </c>
      <c r="S418">
        <f t="shared" si="30"/>
        <v>1060</v>
      </c>
    </row>
    <row r="419" spans="1:19">
      <c r="A419" s="13">
        <v>71688</v>
      </c>
      <c r="B419" s="14" t="s">
        <v>23</v>
      </c>
      <c r="C419" s="15">
        <v>46037</v>
      </c>
      <c r="D419" s="16" t="s">
        <v>65</v>
      </c>
      <c r="E419" s="16" t="s">
        <v>2</v>
      </c>
      <c r="F419" s="19">
        <v>1060</v>
      </c>
      <c r="G419" s="18" t="s">
        <v>24</v>
      </c>
      <c r="H419" s="9">
        <v>46037</v>
      </c>
      <c r="I419" s="10" t="s">
        <v>57</v>
      </c>
      <c r="J419" s="10" t="s">
        <v>3</v>
      </c>
      <c r="K419" s="11">
        <v>80</v>
      </c>
      <c r="O419" t="str" cm="1">
        <f t="array" ref="O419">_xlfn.LET(
_xlpm.corp,$I419,_xlpm.key,$M$2:$M$200,_xlpm.name,$N$2:$N$200,_xlpm.hits,_xlfn._xlws.FILTER(_xlpm.name,ISNUMBER(SEARCH(_xlpm.key,_xlpm.corp))),
IFERROR(INDEX(_xlpm.hits,1),_xlpm.corp))</f>
        <v>QB</v>
      </c>
      <c r="P419" t="str">
        <f t="shared" si="28"/>
        <v>2026-01-15</v>
      </c>
      <c r="Q419" t="str">
        <f t="shared" si="16"/>
        <v>QB/加工BL</v>
      </c>
      <c r="R419" t="str">
        <f t="shared" si="29"/>
        <v>加工BL</v>
      </c>
      <c r="S419">
        <f t="shared" si="30"/>
        <v>80</v>
      </c>
    </row>
    <row r="420" spans="1:19">
      <c r="A420" s="7">
        <v>71687</v>
      </c>
      <c r="B420" s="8" t="s">
        <v>23</v>
      </c>
      <c r="C420" s="9">
        <v>46037</v>
      </c>
      <c r="D420" s="10" t="s">
        <v>57</v>
      </c>
      <c r="E420" s="10" t="s">
        <v>3</v>
      </c>
      <c r="F420" s="11">
        <v>80</v>
      </c>
      <c r="G420" s="12" t="s">
        <v>24</v>
      </c>
      <c r="H420" s="15">
        <v>46037</v>
      </c>
      <c r="I420" s="16" t="s">
        <v>25</v>
      </c>
      <c r="J420" s="16" t="s">
        <v>2</v>
      </c>
      <c r="K420" s="17">
        <v>140</v>
      </c>
      <c r="O420" t="str" cm="1">
        <f t="array" ref="O420">_xlfn.LET(
_xlpm.corp,$I420,_xlpm.key,$M$2:$M$200,_xlpm.name,$N$2:$N$200,_xlpm.hits,_xlfn._xlws.FILTER(_xlpm.name,ISNUMBER(SEARCH(_xlpm.key,_xlpm.corp))),
IFERROR(INDEX(_xlpm.hits,1),_xlpm.corp))</f>
        <v>日本ファブテック</v>
      </c>
      <c r="P420" t="str">
        <f t="shared" si="28"/>
        <v>2026-01-15</v>
      </c>
      <c r="Q420" t="str">
        <f t="shared" si="16"/>
        <v>日本ファブテック</v>
      </c>
      <c r="R420" t="str">
        <f t="shared" si="29"/>
        <v>ベビーリーフ グリーンオーク</v>
      </c>
      <c r="S420">
        <f t="shared" si="30"/>
        <v>140</v>
      </c>
    </row>
    <row r="421" spans="1:19">
      <c r="A421" s="13">
        <v>71686</v>
      </c>
      <c r="B421" s="14" t="s">
        <v>23</v>
      </c>
      <c r="C421" s="15">
        <v>46037</v>
      </c>
      <c r="D421" s="16" t="s">
        <v>25</v>
      </c>
      <c r="E421" s="16" t="s">
        <v>2</v>
      </c>
      <c r="F421" s="17">
        <v>140</v>
      </c>
      <c r="G421" s="18" t="s">
        <v>24</v>
      </c>
      <c r="H421" s="9">
        <v>46037</v>
      </c>
      <c r="I421" s="10" t="s">
        <v>25</v>
      </c>
      <c r="J421" s="10" t="s">
        <v>3</v>
      </c>
      <c r="K421" s="11">
        <v>160</v>
      </c>
      <c r="O421" t="str" cm="1">
        <f t="array" ref="O421">_xlfn.LET(
_xlpm.corp,$I421,_xlpm.key,$M$2:$M$200,_xlpm.name,$N$2:$N$200,_xlpm.hits,_xlfn._xlws.FILTER(_xlpm.name,ISNUMBER(SEARCH(_xlpm.key,_xlpm.corp))),
IFERROR(INDEX(_xlpm.hits,1),_xlpm.corp))</f>
        <v>日本ファブテック</v>
      </c>
      <c r="P421" t="str">
        <f t="shared" si="28"/>
        <v>2026-01-15</v>
      </c>
      <c r="Q421" t="str">
        <f t="shared" si="16"/>
        <v>日本ファブテック/加工BL</v>
      </c>
      <c r="R421" t="str">
        <f t="shared" si="29"/>
        <v>加工BL</v>
      </c>
      <c r="S421">
        <f t="shared" si="30"/>
        <v>160</v>
      </c>
    </row>
    <row r="422" spans="1:19">
      <c r="A422" s="7">
        <v>71685</v>
      </c>
      <c r="B422" s="8" t="s">
        <v>23</v>
      </c>
      <c r="C422" s="9">
        <v>46037</v>
      </c>
      <c r="D422" s="10" t="s">
        <v>25</v>
      </c>
      <c r="E422" s="10" t="s">
        <v>3</v>
      </c>
      <c r="F422" s="11">
        <v>160</v>
      </c>
      <c r="G422" s="12" t="s">
        <v>24</v>
      </c>
      <c r="H422" s="15">
        <v>46037</v>
      </c>
      <c r="I422" s="16" t="s">
        <v>56</v>
      </c>
      <c r="J422" s="16" t="s">
        <v>4</v>
      </c>
      <c r="K422" s="17">
        <v>140</v>
      </c>
      <c r="O422" t="str" cm="1">
        <f t="array" ref="O422">_xlfn.LET(
_xlpm.corp,$I422,_xlpm.key,$M$2:$M$200,_xlpm.name,$N$2:$N$200,_xlpm.hits,_xlfn._xlws.FILTER(_xlpm.name,ISNUMBER(SEARCH(_xlpm.key,_xlpm.corp))),
IFERROR(INDEX(_xlpm.hits,1),_xlpm.corp))</f>
        <v>サンセイランディック</v>
      </c>
      <c r="P422" t="str">
        <f t="shared" si="28"/>
        <v>2026-01-15</v>
      </c>
      <c r="Q422" t="str">
        <f t="shared" si="16"/>
        <v>サンセイランディック</v>
      </c>
      <c r="R422" t="str">
        <f t="shared" si="29"/>
        <v>ベビーリーフ ピノグリーン</v>
      </c>
      <c r="S422">
        <f t="shared" si="30"/>
        <v>140</v>
      </c>
    </row>
    <row r="423" spans="1:19">
      <c r="A423" s="13">
        <v>71684</v>
      </c>
      <c r="B423" s="14" t="s">
        <v>23</v>
      </c>
      <c r="C423" s="15">
        <v>46037</v>
      </c>
      <c r="D423" s="16" t="s">
        <v>56</v>
      </c>
      <c r="E423" s="16" t="s">
        <v>4</v>
      </c>
      <c r="F423" s="17">
        <v>140</v>
      </c>
      <c r="G423" s="18" t="s">
        <v>24</v>
      </c>
      <c r="H423" s="9">
        <v>46037</v>
      </c>
      <c r="I423" s="10" t="s">
        <v>70</v>
      </c>
      <c r="J423" s="10" t="s">
        <v>73</v>
      </c>
      <c r="K423" s="20">
        <v>1700</v>
      </c>
      <c r="O423" t="str" cm="1">
        <f t="array" ref="O423">_xlfn.LET(
_xlpm.corp,$I423,_xlpm.key,$M$2:$M$200,_xlpm.name,$N$2:$N$200,_xlpm.hits,_xlfn._xlws.FILTER(_xlpm.name,ISNUMBER(SEARCH(_xlpm.key,_xlpm.corp))),
IFERROR(INDEX(_xlpm.hits,1),_xlpm.corp))</f>
        <v>富士機械</v>
      </c>
      <c r="P423" t="str">
        <f t="shared" si="28"/>
        <v>2026-01-15</v>
      </c>
      <c r="Q423" t="str">
        <f t="shared" si="16"/>
        <v>富士機械/葉物野菜</v>
      </c>
      <c r="R423" t="str">
        <f t="shared" si="29"/>
        <v>ラディッシュ</v>
      </c>
      <c r="S423">
        <f t="shared" si="30"/>
        <v>1700</v>
      </c>
    </row>
    <row r="424" spans="1:19">
      <c r="A424" s="7">
        <v>71683</v>
      </c>
      <c r="B424" s="8" t="s">
        <v>23</v>
      </c>
      <c r="C424" s="9">
        <v>46037</v>
      </c>
      <c r="D424" s="10" t="s">
        <v>70</v>
      </c>
      <c r="E424" s="10" t="s">
        <v>73</v>
      </c>
      <c r="F424" s="20">
        <v>1700</v>
      </c>
      <c r="G424" s="12" t="s">
        <v>24</v>
      </c>
      <c r="H424" s="15">
        <v>46037</v>
      </c>
      <c r="I424" s="16" t="s">
        <v>57</v>
      </c>
      <c r="J424" s="16" t="s">
        <v>4</v>
      </c>
      <c r="K424" s="17">
        <v>120</v>
      </c>
      <c r="O424" t="str" cm="1">
        <f t="array" ref="O424">_xlfn.LET(
_xlpm.corp,$I424,_xlpm.key,$M$2:$M$200,_xlpm.name,$N$2:$N$200,_xlpm.hits,_xlfn._xlws.FILTER(_xlpm.name,ISNUMBER(SEARCH(_xlpm.key,_xlpm.corp))),
IFERROR(INDEX(_xlpm.hits,1),_xlpm.corp))</f>
        <v>QB</v>
      </c>
      <c r="P424" t="str">
        <f t="shared" si="28"/>
        <v>2026-01-15</v>
      </c>
      <c r="Q424" t="str">
        <f t="shared" si="16"/>
        <v>QB</v>
      </c>
      <c r="R424" t="str">
        <f t="shared" si="29"/>
        <v>ベビーリーフ ピノグリーン</v>
      </c>
      <c r="S424">
        <f t="shared" si="30"/>
        <v>120</v>
      </c>
    </row>
    <row r="425" spans="1:19">
      <c r="A425" s="13">
        <v>71682</v>
      </c>
      <c r="B425" s="14" t="s">
        <v>23</v>
      </c>
      <c r="C425" s="15">
        <v>46037</v>
      </c>
      <c r="D425" s="16" t="s">
        <v>57</v>
      </c>
      <c r="E425" s="16" t="s">
        <v>4</v>
      </c>
      <c r="F425" s="17">
        <v>120</v>
      </c>
      <c r="G425" s="18" t="s">
        <v>24</v>
      </c>
      <c r="H425" s="9">
        <v>46037</v>
      </c>
      <c r="I425" s="10" t="s">
        <v>60</v>
      </c>
      <c r="J425" s="10" t="s">
        <v>4</v>
      </c>
      <c r="K425" s="11">
        <v>180</v>
      </c>
      <c r="O425" t="str" cm="1">
        <f t="array" ref="O425">_xlfn.LET(
_xlpm.corp,$I425,_xlpm.key,$M$2:$M$200,_xlpm.name,$N$2:$N$200,_xlpm.hits,_xlfn._xlws.FILTER(_xlpm.name,ISNUMBER(SEARCH(_xlpm.key,_xlpm.corp))),
IFERROR(INDEX(_xlpm.hits,1),_xlpm.corp))</f>
        <v>サンテレホン</v>
      </c>
      <c r="P425" t="str">
        <f t="shared" si="28"/>
        <v>2026-01-15</v>
      </c>
      <c r="Q425" t="str">
        <f t="shared" si="16"/>
        <v>サンテレホン</v>
      </c>
      <c r="R425" t="str">
        <f t="shared" si="29"/>
        <v>ベビーリーフ ピノグリーン</v>
      </c>
      <c r="S425">
        <f t="shared" si="30"/>
        <v>180</v>
      </c>
    </row>
    <row r="426" spans="1:19">
      <c r="A426" s="7">
        <v>71681</v>
      </c>
      <c r="B426" s="8" t="s">
        <v>23</v>
      </c>
      <c r="C426" s="9">
        <v>46037</v>
      </c>
      <c r="D426" s="10" t="s">
        <v>60</v>
      </c>
      <c r="E426" s="10" t="s">
        <v>4</v>
      </c>
      <c r="F426" s="11">
        <v>180</v>
      </c>
      <c r="G426" s="12" t="s">
        <v>24</v>
      </c>
      <c r="H426" s="15">
        <v>46037</v>
      </c>
      <c r="I426" s="16" t="s">
        <v>59</v>
      </c>
      <c r="J426" s="16" t="s">
        <v>11</v>
      </c>
      <c r="K426" s="17">
        <v>180</v>
      </c>
      <c r="O426" t="str" cm="1">
        <f t="array" ref="O426">_xlfn.LET(
_xlpm.corp,$I426,_xlpm.key,$M$2:$M$200,_xlpm.name,$N$2:$N$200,_xlpm.hits,_xlfn._xlws.FILTER(_xlpm.name,ISNUMBER(SEARCH(_xlpm.key,_xlpm.corp))),
IFERROR(INDEX(_xlpm.hits,1),_xlpm.corp))</f>
        <v>三和</v>
      </c>
      <c r="P426" t="str">
        <f t="shared" si="28"/>
        <v>2026-01-15</v>
      </c>
      <c r="Q426" t="str">
        <f t="shared" si="16"/>
        <v>三和</v>
      </c>
      <c r="R426" t="str">
        <f t="shared" si="29"/>
        <v>ベビーリーフ レッドオーク</v>
      </c>
      <c r="S426">
        <f t="shared" si="30"/>
        <v>180</v>
      </c>
    </row>
    <row r="427" spans="1:19">
      <c r="A427" s="13">
        <v>71680</v>
      </c>
      <c r="B427" s="14" t="s">
        <v>23</v>
      </c>
      <c r="C427" s="15">
        <v>46037</v>
      </c>
      <c r="D427" s="16" t="s">
        <v>59</v>
      </c>
      <c r="E427" s="16" t="s">
        <v>11</v>
      </c>
      <c r="F427" s="17">
        <v>180</v>
      </c>
      <c r="G427" s="18" t="s">
        <v>24</v>
      </c>
      <c r="H427" s="9">
        <v>46037</v>
      </c>
      <c r="I427" s="10" t="s">
        <v>64</v>
      </c>
      <c r="J427" s="10" t="s">
        <v>11</v>
      </c>
      <c r="K427" s="11">
        <v>140</v>
      </c>
      <c r="O427" t="str" cm="1">
        <f t="array" ref="O427">_xlfn.LET(
_xlpm.corp,$I427,_xlpm.key,$M$2:$M$200,_xlpm.name,$N$2:$N$200,_xlpm.hits,_xlfn._xlws.FILTER(_xlpm.name,ISNUMBER(SEARCH(_xlpm.key,_xlpm.corp))),
IFERROR(INDEX(_xlpm.hits,1),_xlpm.corp))</f>
        <v>NaITO</v>
      </c>
      <c r="P427" t="str">
        <f t="shared" si="28"/>
        <v>2026-01-15</v>
      </c>
      <c r="Q427" t="str">
        <f t="shared" si="16"/>
        <v>NaITO</v>
      </c>
      <c r="R427" t="str">
        <f t="shared" si="29"/>
        <v>ベビーリーフ レッドオーク</v>
      </c>
      <c r="S427">
        <f t="shared" si="30"/>
        <v>140</v>
      </c>
    </row>
    <row r="428" spans="1:19">
      <c r="A428" s="7">
        <v>71679</v>
      </c>
      <c r="B428" s="8" t="s">
        <v>23</v>
      </c>
      <c r="C428" s="9">
        <v>46037</v>
      </c>
      <c r="D428" s="10" t="s">
        <v>64</v>
      </c>
      <c r="E428" s="10" t="s">
        <v>11</v>
      </c>
      <c r="F428" s="11">
        <v>140</v>
      </c>
      <c r="G428" s="12" t="s">
        <v>24</v>
      </c>
      <c r="H428" s="15">
        <v>46037</v>
      </c>
      <c r="I428" s="16" t="s">
        <v>28</v>
      </c>
      <c r="J428" s="16" t="s">
        <v>3</v>
      </c>
      <c r="K428" s="17">
        <v>520</v>
      </c>
      <c r="O428" t="str" cm="1">
        <f t="array" ref="O428">_xlfn.LET(
_xlpm.corp,$I428,_xlpm.key,$M$2:$M$200,_xlpm.name,$N$2:$N$200,_xlpm.hits,_xlfn._xlws.FILTER(_xlpm.name,ISNUMBER(SEARCH(_xlpm.key,_xlpm.corp))),
IFERROR(INDEX(_xlpm.hits,1),_xlpm.corp))</f>
        <v>牧野フライス</v>
      </c>
      <c r="P428" t="str">
        <f t="shared" si="28"/>
        <v>2026-01-15</v>
      </c>
      <c r="Q428" t="str">
        <f t="shared" si="16"/>
        <v>牧野フライス/加工BL</v>
      </c>
      <c r="R428" t="str">
        <f t="shared" si="29"/>
        <v>加工BL</v>
      </c>
      <c r="S428">
        <f t="shared" si="30"/>
        <v>520</v>
      </c>
    </row>
    <row r="429" spans="1:19">
      <c r="A429" s="13">
        <v>71678</v>
      </c>
      <c r="B429" s="14" t="s">
        <v>23</v>
      </c>
      <c r="C429" s="15">
        <v>46037</v>
      </c>
      <c r="D429" s="16" t="s">
        <v>28</v>
      </c>
      <c r="E429" s="16" t="s">
        <v>3</v>
      </c>
      <c r="F429" s="17">
        <v>520</v>
      </c>
      <c r="G429" s="18" t="s">
        <v>24</v>
      </c>
      <c r="H429" s="9">
        <v>46037</v>
      </c>
      <c r="I429" s="10" t="s">
        <v>28</v>
      </c>
      <c r="J429" s="10" t="s">
        <v>2</v>
      </c>
      <c r="K429" s="11">
        <v>220</v>
      </c>
      <c r="O429" t="str" cm="1">
        <f t="array" ref="O429">_xlfn.LET(
_xlpm.corp,$I429,_xlpm.key,$M$2:$M$200,_xlpm.name,$N$2:$N$200,_xlpm.hits,_xlfn._xlws.FILTER(_xlpm.name,ISNUMBER(SEARCH(_xlpm.key,_xlpm.corp))),
IFERROR(INDEX(_xlpm.hits,1),_xlpm.corp))</f>
        <v>牧野フライス</v>
      </c>
      <c r="P429" t="str">
        <f t="shared" si="28"/>
        <v>2026-01-15</v>
      </c>
      <c r="Q429" t="str">
        <f t="shared" si="16"/>
        <v>牧野フライス</v>
      </c>
      <c r="R429" t="str">
        <f t="shared" si="29"/>
        <v>ベビーリーフ グリーンオーク</v>
      </c>
      <c r="S429">
        <f t="shared" si="30"/>
        <v>220</v>
      </c>
    </row>
    <row r="430" spans="1:19">
      <c r="A430" s="7">
        <v>71677</v>
      </c>
      <c r="B430" s="8" t="s">
        <v>23</v>
      </c>
      <c r="C430" s="9">
        <v>46037</v>
      </c>
      <c r="D430" s="10" t="s">
        <v>28</v>
      </c>
      <c r="E430" s="10" t="s">
        <v>2</v>
      </c>
      <c r="F430" s="11">
        <v>220</v>
      </c>
      <c r="G430" s="12" t="s">
        <v>24</v>
      </c>
      <c r="H430" s="15">
        <v>46037</v>
      </c>
      <c r="I430" s="16" t="s">
        <v>72</v>
      </c>
      <c r="J430" s="16" t="s">
        <v>2</v>
      </c>
      <c r="K430" s="17">
        <v>900</v>
      </c>
      <c r="O430" t="str" cm="1">
        <f t="array" ref="O430">_xlfn.LET(
_xlpm.corp,$I430,_xlpm.key,$M$2:$M$200,_xlpm.name,$N$2:$N$200,_xlpm.hits,_xlfn._xlws.FILTER(_xlpm.name,ISNUMBER(SEARCH(_xlpm.key,_xlpm.corp))),
IFERROR(INDEX(_xlpm.hits,1),_xlpm.corp))</f>
        <v>岡部</v>
      </c>
      <c r="P430" t="str">
        <f t="shared" si="28"/>
        <v>2026-01-15</v>
      </c>
      <c r="Q430" t="str">
        <f t="shared" si="16"/>
        <v>岡部</v>
      </c>
      <c r="R430" t="str">
        <f t="shared" si="29"/>
        <v>ベビーリーフ グリーンオーク</v>
      </c>
      <c r="S430">
        <f t="shared" si="30"/>
        <v>900</v>
      </c>
    </row>
    <row r="431" spans="1:19">
      <c r="A431" s="13">
        <v>71676</v>
      </c>
      <c r="B431" s="14" t="s">
        <v>23</v>
      </c>
      <c r="C431" s="15">
        <v>46037</v>
      </c>
      <c r="D431" s="16" t="s">
        <v>72</v>
      </c>
      <c r="E431" s="16" t="s">
        <v>2</v>
      </c>
      <c r="F431" s="17">
        <v>900</v>
      </c>
      <c r="G431" s="18" t="s">
        <v>24</v>
      </c>
      <c r="H431" s="9">
        <v>46037</v>
      </c>
      <c r="I431" s="10" t="s">
        <v>72</v>
      </c>
      <c r="J431" s="10" t="s">
        <v>3</v>
      </c>
      <c r="K431" s="11">
        <v>260</v>
      </c>
      <c r="O431" t="str" cm="1">
        <f t="array" ref="O431">_xlfn.LET(
_xlpm.corp,$I431,_xlpm.key,$M$2:$M$200,_xlpm.name,$N$2:$N$200,_xlpm.hits,_xlfn._xlws.FILTER(_xlpm.name,ISNUMBER(SEARCH(_xlpm.key,_xlpm.corp))),
IFERROR(INDEX(_xlpm.hits,1),_xlpm.corp))</f>
        <v>岡部</v>
      </c>
      <c r="P431" t="str">
        <f t="shared" si="28"/>
        <v>2026-01-15</v>
      </c>
      <c r="Q431" t="str">
        <f t="shared" si="16"/>
        <v>岡部/加工BL</v>
      </c>
      <c r="R431" t="str">
        <f t="shared" si="29"/>
        <v>加工BL</v>
      </c>
      <c r="S431">
        <f t="shared" si="30"/>
        <v>260</v>
      </c>
    </row>
    <row r="432" spans="1:19">
      <c r="A432" s="7">
        <v>71675</v>
      </c>
      <c r="B432" s="8" t="s">
        <v>23</v>
      </c>
      <c r="C432" s="9">
        <v>46037</v>
      </c>
      <c r="D432" s="10" t="s">
        <v>72</v>
      </c>
      <c r="E432" s="10" t="s">
        <v>3</v>
      </c>
      <c r="F432" s="11">
        <v>260</v>
      </c>
      <c r="G432" s="12" t="s">
        <v>24</v>
      </c>
      <c r="H432" s="15">
        <v>46037</v>
      </c>
      <c r="I432" s="16" t="s">
        <v>72</v>
      </c>
      <c r="J432" s="16" t="s">
        <v>11</v>
      </c>
      <c r="K432" s="17">
        <v>80</v>
      </c>
      <c r="O432" t="str" cm="1">
        <f t="array" ref="O432">_xlfn.LET(
_xlpm.corp,$I432,_xlpm.key,$M$2:$M$200,_xlpm.name,$N$2:$N$200,_xlpm.hits,_xlfn._xlws.FILTER(_xlpm.name,ISNUMBER(SEARCH(_xlpm.key,_xlpm.corp))),
IFERROR(INDEX(_xlpm.hits,1),_xlpm.corp))</f>
        <v>岡部</v>
      </c>
      <c r="P432" t="str">
        <f t="shared" si="28"/>
        <v>2026-01-15</v>
      </c>
      <c r="Q432" t="str">
        <f t="shared" si="16"/>
        <v>岡部</v>
      </c>
      <c r="R432" t="str">
        <f t="shared" si="29"/>
        <v>ベビーリーフ レッドオーク</v>
      </c>
      <c r="S432">
        <f t="shared" si="30"/>
        <v>80</v>
      </c>
    </row>
    <row r="433" spans="1:19">
      <c r="A433" s="13">
        <v>71674</v>
      </c>
      <c r="B433" s="14" t="s">
        <v>23</v>
      </c>
      <c r="C433" s="15">
        <v>46037</v>
      </c>
      <c r="D433" s="16" t="s">
        <v>72</v>
      </c>
      <c r="E433" s="16" t="s">
        <v>11</v>
      </c>
      <c r="F433" s="17">
        <v>80</v>
      </c>
      <c r="G433" s="18" t="s">
        <v>24</v>
      </c>
      <c r="H433" s="9">
        <v>46037</v>
      </c>
      <c r="I433" s="10" t="s">
        <v>27</v>
      </c>
      <c r="J433" s="10" t="s">
        <v>3</v>
      </c>
      <c r="K433" s="11">
        <v>340</v>
      </c>
      <c r="O433" t="str" cm="1">
        <f t="array" ref="O433">_xlfn.LET(
_xlpm.corp,$I433,_xlpm.key,$M$2:$M$200,_xlpm.name,$N$2:$N$200,_xlpm.hits,_xlfn._xlws.FILTER(_xlpm.name,ISNUMBER(SEARCH(_xlpm.key,_xlpm.corp))),
IFERROR(INDEX(_xlpm.hits,1),_xlpm.corp))</f>
        <v>東レ</v>
      </c>
      <c r="P433" t="str">
        <f t="shared" si="28"/>
        <v>2026-01-15</v>
      </c>
      <c r="Q433" t="str">
        <f t="shared" si="16"/>
        <v>東レ/加工BL</v>
      </c>
      <c r="R433" t="str">
        <f t="shared" si="29"/>
        <v>加工BL</v>
      </c>
      <c r="S433">
        <f t="shared" si="30"/>
        <v>340</v>
      </c>
    </row>
    <row r="434" spans="1:19">
      <c r="A434" s="7">
        <v>71673</v>
      </c>
      <c r="B434" s="8" t="s">
        <v>23</v>
      </c>
      <c r="C434" s="9">
        <v>46037</v>
      </c>
      <c r="D434" s="10" t="s">
        <v>27</v>
      </c>
      <c r="E434" s="10" t="s">
        <v>3</v>
      </c>
      <c r="F434" s="11">
        <v>340</v>
      </c>
      <c r="G434" s="12" t="s">
        <v>24</v>
      </c>
      <c r="H434" s="15">
        <v>46037</v>
      </c>
      <c r="I434" s="16" t="s">
        <v>27</v>
      </c>
      <c r="J434" s="16" t="s">
        <v>9</v>
      </c>
      <c r="K434" s="19">
        <v>1280</v>
      </c>
      <c r="O434" t="str" cm="1">
        <f t="array" ref="O434">_xlfn.LET(
_xlpm.corp,$I434,_xlpm.key,$M$2:$M$200,_xlpm.name,$N$2:$N$200,_xlpm.hits,_xlfn._xlws.FILTER(_xlpm.name,ISNUMBER(SEARCH(_xlpm.key,_xlpm.corp))),
IFERROR(INDEX(_xlpm.hits,1),_xlpm.corp))</f>
        <v>東レ</v>
      </c>
      <c r="P434" t="str">
        <f t="shared" si="28"/>
        <v>2026-01-15</v>
      </c>
      <c r="Q434" t="str">
        <f t="shared" si="16"/>
        <v>東レ</v>
      </c>
      <c r="R434" t="str">
        <f t="shared" si="29"/>
        <v>ベビーリーフ ロロロッサ</v>
      </c>
      <c r="S434">
        <f t="shared" si="30"/>
        <v>1280</v>
      </c>
    </row>
    <row r="435" spans="1:19">
      <c r="A435" s="13">
        <v>71672</v>
      </c>
      <c r="B435" s="14" t="s">
        <v>23</v>
      </c>
      <c r="C435" s="15">
        <v>46037</v>
      </c>
      <c r="D435" s="16" t="s">
        <v>27</v>
      </c>
      <c r="E435" s="16" t="s">
        <v>9</v>
      </c>
      <c r="F435" s="19">
        <v>1280</v>
      </c>
      <c r="G435" s="18" t="s">
        <v>24</v>
      </c>
      <c r="H435" s="9">
        <v>46037</v>
      </c>
      <c r="I435" s="10" t="s">
        <v>65</v>
      </c>
      <c r="J435" s="10" t="s">
        <v>2</v>
      </c>
      <c r="K435" s="11">
        <v>680</v>
      </c>
      <c r="O435" t="str" cm="1">
        <f t="array" ref="O435">_xlfn.LET(
_xlpm.corp,$I435,_xlpm.key,$M$2:$M$200,_xlpm.name,$N$2:$N$200,_xlpm.hits,_xlfn._xlws.FILTER(_xlpm.name,ISNUMBER(SEARCH(_xlpm.key,_xlpm.corp))),
IFERROR(INDEX(_xlpm.hits,1),_xlpm.corp))</f>
        <v>マルテー</v>
      </c>
      <c r="P435" t="str">
        <f t="shared" si="28"/>
        <v>2026-01-15</v>
      </c>
      <c r="Q435" t="str">
        <f t="shared" si="16"/>
        <v>マルテー</v>
      </c>
      <c r="R435" t="str">
        <f t="shared" si="29"/>
        <v>ベビーリーフ グリーンオーク</v>
      </c>
      <c r="S435">
        <f t="shared" si="30"/>
        <v>680</v>
      </c>
    </row>
    <row r="436" spans="1:19">
      <c r="A436" s="7">
        <v>71671</v>
      </c>
      <c r="B436" s="8" t="s">
        <v>23</v>
      </c>
      <c r="C436" s="9">
        <v>46037</v>
      </c>
      <c r="D436" s="10" t="s">
        <v>65</v>
      </c>
      <c r="E436" s="10" t="s">
        <v>2</v>
      </c>
      <c r="F436" s="11">
        <v>680</v>
      </c>
      <c r="G436" s="12" t="s">
        <v>24</v>
      </c>
      <c r="H436" s="15">
        <v>46037</v>
      </c>
      <c r="I436" s="16" t="s">
        <v>65</v>
      </c>
      <c r="J436" s="16" t="s">
        <v>2</v>
      </c>
      <c r="K436" s="17">
        <v>280</v>
      </c>
      <c r="O436" t="str" cm="1">
        <f t="array" ref="O436">_xlfn.LET(
_xlpm.corp,$I436,_xlpm.key,$M$2:$M$200,_xlpm.name,$N$2:$N$200,_xlpm.hits,_xlfn._xlws.FILTER(_xlpm.name,ISNUMBER(SEARCH(_xlpm.key,_xlpm.corp))),
IFERROR(INDEX(_xlpm.hits,1),_xlpm.corp))</f>
        <v>マルテー</v>
      </c>
      <c r="P436" t="str">
        <f t="shared" si="28"/>
        <v>2026-01-15</v>
      </c>
      <c r="Q436" t="str">
        <f t="shared" si="16"/>
        <v>マルテー</v>
      </c>
      <c r="R436" t="str">
        <f t="shared" si="29"/>
        <v>ベビーリーフ グリーンオーク</v>
      </c>
      <c r="S436">
        <f t="shared" si="30"/>
        <v>280</v>
      </c>
    </row>
    <row r="437" spans="1:19">
      <c r="A437" s="13">
        <v>71670</v>
      </c>
      <c r="B437" s="14" t="s">
        <v>23</v>
      </c>
      <c r="C437" s="15">
        <v>46037</v>
      </c>
      <c r="D437" s="16" t="s">
        <v>65</v>
      </c>
      <c r="E437" s="16" t="s">
        <v>2</v>
      </c>
      <c r="F437" s="17">
        <v>280</v>
      </c>
      <c r="G437" s="18" t="s">
        <v>24</v>
      </c>
      <c r="H437" s="9">
        <v>46037</v>
      </c>
      <c r="I437" s="10" t="s">
        <v>66</v>
      </c>
      <c r="J437" s="10" t="s">
        <v>3</v>
      </c>
      <c r="K437" s="20">
        <v>1060</v>
      </c>
      <c r="O437" t="str" cm="1">
        <f t="array" ref="O437">_xlfn.LET(
_xlpm.corp,$I437,_xlpm.key,$M$2:$M$200,_xlpm.name,$N$2:$N$200,_xlpm.hits,_xlfn._xlws.FILTER(_xlpm.name,ISNUMBER(SEARCH(_xlpm.key,_xlpm.corp))),
IFERROR(INDEX(_xlpm.hits,1),_xlpm.corp))</f>
        <v>ケイアイ</v>
      </c>
      <c r="P437" t="str">
        <f t="shared" si="28"/>
        <v>2026-01-15</v>
      </c>
      <c r="Q437" t="str">
        <f t="shared" si="16"/>
        <v>ケイアイ/加工BL</v>
      </c>
      <c r="R437" t="str">
        <f t="shared" si="29"/>
        <v>加工BL</v>
      </c>
      <c r="S437">
        <f t="shared" si="30"/>
        <v>1060</v>
      </c>
    </row>
    <row r="438" spans="1:19">
      <c r="A438" s="7">
        <v>71669</v>
      </c>
      <c r="B438" s="8" t="s">
        <v>23</v>
      </c>
      <c r="C438" s="9">
        <v>46037</v>
      </c>
      <c r="D438" s="10" t="s">
        <v>66</v>
      </c>
      <c r="E438" s="10" t="s">
        <v>3</v>
      </c>
      <c r="F438" s="20">
        <v>1060</v>
      </c>
      <c r="G438" s="12" t="s">
        <v>24</v>
      </c>
      <c r="H438" s="15">
        <v>46037</v>
      </c>
      <c r="I438" s="16" t="s">
        <v>67</v>
      </c>
      <c r="J438" s="16" t="s">
        <v>4</v>
      </c>
      <c r="K438" s="17">
        <v>160</v>
      </c>
      <c r="O438" t="str" cm="1">
        <f t="array" ref="O438">_xlfn.LET(
_xlpm.corp,$I438,_xlpm.key,$M$2:$M$200,_xlpm.name,$N$2:$N$200,_xlpm.hits,_xlfn._xlws.FILTER(_xlpm.name,ISNUMBER(SEARCH(_xlpm.key,_xlpm.corp))),
IFERROR(INDEX(_xlpm.hits,1),_xlpm.corp))</f>
        <v>日本ロレアル</v>
      </c>
      <c r="P438" t="str">
        <f t="shared" si="28"/>
        <v>2026-01-15</v>
      </c>
      <c r="Q438" t="str">
        <f t="shared" si="16"/>
        <v>日本ロレアル</v>
      </c>
      <c r="R438" t="str">
        <f t="shared" si="29"/>
        <v>ベビーリーフ ピノグリーン</v>
      </c>
      <c r="S438">
        <f t="shared" si="30"/>
        <v>160</v>
      </c>
    </row>
    <row r="439" spans="1:19">
      <c r="A439" s="13">
        <v>71668</v>
      </c>
      <c r="B439" s="14" t="s">
        <v>23</v>
      </c>
      <c r="C439" s="15">
        <v>46037</v>
      </c>
      <c r="D439" s="16" t="s">
        <v>67</v>
      </c>
      <c r="E439" s="16" t="s">
        <v>4</v>
      </c>
      <c r="F439" s="17">
        <v>160</v>
      </c>
      <c r="G439" s="18" t="s">
        <v>24</v>
      </c>
      <c r="H439" s="9">
        <v>46037</v>
      </c>
      <c r="I439" s="10" t="s">
        <v>26</v>
      </c>
      <c r="J439" s="10" t="s">
        <v>2</v>
      </c>
      <c r="K439" s="11">
        <v>20</v>
      </c>
      <c r="O439" t="str" cm="1">
        <f t="array" ref="O439">_xlfn.LET(
_xlpm.corp,$I439,_xlpm.key,$M$2:$M$200,_xlpm.name,$N$2:$N$200,_xlpm.hits,_xlfn._xlws.FILTER(_xlpm.name,ISNUMBER(SEARCH(_xlpm.key,_xlpm.corp))),
IFERROR(INDEX(_xlpm.hits,1),_xlpm.corp))</f>
        <v>日建</v>
      </c>
      <c r="P439" t="str">
        <f t="shared" si="28"/>
        <v>2026-01-15</v>
      </c>
      <c r="Q439" t="str">
        <f t="shared" si="16"/>
        <v>日建</v>
      </c>
      <c r="R439" t="str">
        <f t="shared" si="29"/>
        <v>ベビーリーフ グリーンオーク</v>
      </c>
      <c r="S439">
        <f t="shared" si="30"/>
        <v>20</v>
      </c>
    </row>
    <row r="440" spans="1:19">
      <c r="A440" s="7">
        <v>71667</v>
      </c>
      <c r="B440" s="8" t="s">
        <v>23</v>
      </c>
      <c r="C440" s="9">
        <v>46037</v>
      </c>
      <c r="D440" s="10" t="s">
        <v>26</v>
      </c>
      <c r="E440" s="10" t="s">
        <v>2</v>
      </c>
      <c r="F440" s="11">
        <v>20</v>
      </c>
      <c r="G440" s="12" t="s">
        <v>24</v>
      </c>
      <c r="H440" s="15">
        <v>46037</v>
      </c>
      <c r="I440" s="16" t="s">
        <v>26</v>
      </c>
      <c r="J440" s="16" t="s">
        <v>3</v>
      </c>
      <c r="K440" s="17">
        <v>160</v>
      </c>
      <c r="O440" t="str" cm="1">
        <f t="array" ref="O440">_xlfn.LET(
_xlpm.corp,$I440,_xlpm.key,$M$2:$M$200,_xlpm.name,$N$2:$N$200,_xlpm.hits,_xlfn._xlws.FILTER(_xlpm.name,ISNUMBER(SEARCH(_xlpm.key,_xlpm.corp))),
IFERROR(INDEX(_xlpm.hits,1),_xlpm.corp))</f>
        <v>日建</v>
      </c>
      <c r="P440" t="str">
        <f t="shared" si="28"/>
        <v>2026-01-15</v>
      </c>
      <c r="Q440" t="str">
        <f t="shared" si="16"/>
        <v>日建/加工BL</v>
      </c>
      <c r="R440" t="str">
        <f t="shared" si="29"/>
        <v>加工BL</v>
      </c>
      <c r="S440">
        <f t="shared" si="30"/>
        <v>160</v>
      </c>
    </row>
    <row r="441" spans="1:19">
      <c r="A441" s="13">
        <v>71666</v>
      </c>
      <c r="B441" s="14" t="s">
        <v>23</v>
      </c>
      <c r="C441" s="15">
        <v>46037</v>
      </c>
      <c r="D441" s="16" t="s">
        <v>26</v>
      </c>
      <c r="E441" s="16" t="s">
        <v>3</v>
      </c>
      <c r="F441" s="17">
        <v>160</v>
      </c>
      <c r="G441" s="18" t="s">
        <v>24</v>
      </c>
      <c r="H441" s="9">
        <v>46037</v>
      </c>
      <c r="I441" s="10" t="s">
        <v>27</v>
      </c>
      <c r="J441" s="10" t="s">
        <v>9</v>
      </c>
      <c r="K441" s="11">
        <v>560</v>
      </c>
      <c r="O441" t="str" cm="1">
        <f t="array" ref="O441">_xlfn.LET(
_xlpm.corp,$I441,_xlpm.key,$M$2:$M$200,_xlpm.name,$N$2:$N$200,_xlpm.hits,_xlfn._xlws.FILTER(_xlpm.name,ISNUMBER(SEARCH(_xlpm.key,_xlpm.corp))),
IFERROR(INDEX(_xlpm.hits,1),_xlpm.corp))</f>
        <v>東レ</v>
      </c>
      <c r="P441" t="str">
        <f t="shared" si="28"/>
        <v>2026-01-15</v>
      </c>
      <c r="Q441" t="str">
        <f t="shared" si="16"/>
        <v>東レ</v>
      </c>
      <c r="R441" t="str">
        <f t="shared" si="29"/>
        <v>ベビーリーフ ロロロッサ</v>
      </c>
      <c r="S441">
        <f t="shared" si="30"/>
        <v>560</v>
      </c>
    </row>
    <row r="442" spans="1:19">
      <c r="A442" s="7">
        <v>71665</v>
      </c>
      <c r="B442" s="8" t="s">
        <v>23</v>
      </c>
      <c r="C442" s="9">
        <v>46037</v>
      </c>
      <c r="D442" s="10" t="s">
        <v>27</v>
      </c>
      <c r="E442" s="10" t="s">
        <v>9</v>
      </c>
      <c r="F442" s="11">
        <v>560</v>
      </c>
      <c r="G442" s="12" t="s">
        <v>24</v>
      </c>
      <c r="H442" s="15">
        <v>46037</v>
      </c>
      <c r="I442" s="16" t="s">
        <v>69</v>
      </c>
      <c r="J442" s="16" t="s">
        <v>8</v>
      </c>
      <c r="K442" s="17">
        <v>280</v>
      </c>
      <c r="O442" t="str" cm="1">
        <f t="array" ref="O442">_xlfn.LET(
_xlpm.corp,$I442,_xlpm.key,$M$2:$M$200,_xlpm.name,$N$2:$N$200,_xlpm.hits,_xlfn._xlws.FILTER(_xlpm.name,ISNUMBER(SEARCH(_xlpm.key,_xlpm.corp))),
IFERROR(INDEX(_xlpm.hits,1),_xlpm.corp))</f>
        <v>バリュエンス</v>
      </c>
      <c r="P442" t="str">
        <f t="shared" si="28"/>
        <v>2026-01-15</v>
      </c>
      <c r="Q442" t="str">
        <f t="shared" si="16"/>
        <v>バリュエンス/イチゴ</v>
      </c>
      <c r="R442" t="str">
        <f t="shared" si="29"/>
        <v>イチゴ</v>
      </c>
      <c r="S442">
        <f t="shared" si="30"/>
        <v>280</v>
      </c>
    </row>
    <row r="443" spans="1:19">
      <c r="A443" s="13">
        <v>71502</v>
      </c>
      <c r="B443" s="14" t="s">
        <v>23</v>
      </c>
      <c r="C443" s="15">
        <v>46037</v>
      </c>
      <c r="D443" s="16" t="s">
        <v>69</v>
      </c>
      <c r="E443" s="16" t="s">
        <v>8</v>
      </c>
      <c r="F443" s="17">
        <v>280</v>
      </c>
      <c r="G443" s="18" t="s">
        <v>24</v>
      </c>
      <c r="H443" s="9">
        <v>46037</v>
      </c>
      <c r="I443" s="10" t="s">
        <v>27</v>
      </c>
      <c r="J443" s="10" t="s">
        <v>8</v>
      </c>
      <c r="K443" s="11">
        <v>380</v>
      </c>
      <c r="O443" t="str" cm="1">
        <f t="array" ref="O443">_xlfn.LET(
_xlpm.corp,$I443,_xlpm.key,$M$2:$M$200,_xlpm.name,$N$2:$N$200,_xlpm.hits,_xlfn._xlws.FILTER(_xlpm.name,ISNUMBER(SEARCH(_xlpm.key,_xlpm.corp))),
IFERROR(INDEX(_xlpm.hits,1),_xlpm.corp))</f>
        <v>東レ</v>
      </c>
      <c r="P443" t="str">
        <f t="shared" si="28"/>
        <v>2026-01-15</v>
      </c>
      <c r="Q443" t="str">
        <f t="shared" si="16"/>
        <v>東レ/イチゴ</v>
      </c>
      <c r="R443" t="str">
        <f t="shared" si="29"/>
        <v>イチゴ</v>
      </c>
      <c r="S443">
        <f t="shared" si="30"/>
        <v>380</v>
      </c>
    </row>
    <row r="444" spans="1:19">
      <c r="A444" s="7">
        <v>71501</v>
      </c>
      <c r="B444" s="8" t="s">
        <v>23</v>
      </c>
      <c r="C444" s="9">
        <v>46037</v>
      </c>
      <c r="D444" s="10" t="s">
        <v>27</v>
      </c>
      <c r="E444" s="10" t="s">
        <v>8</v>
      </c>
      <c r="F444" s="11">
        <v>380</v>
      </c>
      <c r="G444" s="12" t="s">
        <v>24</v>
      </c>
      <c r="H444" s="15">
        <v>46037</v>
      </c>
      <c r="I444" s="16" t="s">
        <v>57</v>
      </c>
      <c r="J444" s="16" t="s">
        <v>8</v>
      </c>
      <c r="K444" s="17">
        <v>260</v>
      </c>
      <c r="O444" t="str" cm="1">
        <f t="array" ref="O444">_xlfn.LET(
_xlpm.corp,$I444,_xlpm.key,$M$2:$M$200,_xlpm.name,$N$2:$N$200,_xlpm.hits,_xlfn._xlws.FILTER(_xlpm.name,ISNUMBER(SEARCH(_xlpm.key,_xlpm.corp))),
IFERROR(INDEX(_xlpm.hits,1),_xlpm.corp))</f>
        <v>QB</v>
      </c>
      <c r="P444" t="str">
        <f t="shared" si="28"/>
        <v>2026-01-15</v>
      </c>
      <c r="Q444" t="str">
        <f t="shared" si="16"/>
        <v>QB/イチゴ</v>
      </c>
      <c r="R444" t="str">
        <f t="shared" si="29"/>
        <v>イチゴ</v>
      </c>
      <c r="S444">
        <f t="shared" si="30"/>
        <v>260</v>
      </c>
    </row>
    <row r="445" spans="1:19">
      <c r="A445" s="13">
        <v>71500</v>
      </c>
      <c r="B445" s="14" t="s">
        <v>23</v>
      </c>
      <c r="C445" s="15">
        <v>46037</v>
      </c>
      <c r="D445" s="16" t="s">
        <v>57</v>
      </c>
      <c r="E445" s="16" t="s">
        <v>8</v>
      </c>
      <c r="F445" s="17">
        <v>260</v>
      </c>
      <c r="G445" s="18" t="s">
        <v>24</v>
      </c>
      <c r="H445" s="9">
        <v>46036</v>
      </c>
      <c r="I445" s="10" t="s">
        <v>65</v>
      </c>
      <c r="J445" s="10" t="s">
        <v>10</v>
      </c>
      <c r="K445" s="11">
        <v>117</v>
      </c>
      <c r="O445" t="str" cm="1">
        <f t="array" ref="O445">_xlfn.LET(
_xlpm.corp,$I445,_xlpm.key,$M$2:$M$200,_xlpm.name,$N$2:$N$200,_xlpm.hits,_xlfn._xlws.FILTER(_xlpm.name,ISNUMBER(SEARCH(_xlpm.key,_xlpm.corp))),
IFERROR(INDEX(_xlpm.hits,1),_xlpm.corp))</f>
        <v>マルテー</v>
      </c>
      <c r="P445" t="str">
        <f t="shared" si="28"/>
        <v>2026-01-14</v>
      </c>
      <c r="Q445" t="str">
        <f t="shared" si="16"/>
        <v>マルテー/加工BL</v>
      </c>
      <c r="R445" t="str">
        <f t="shared" si="29"/>
        <v>加工品 イチゴ</v>
      </c>
      <c r="S445">
        <f t="shared" si="30"/>
        <v>117</v>
      </c>
    </row>
    <row r="446" spans="1:19">
      <c r="A446" s="7">
        <v>73446</v>
      </c>
      <c r="B446" s="8" t="s">
        <v>23</v>
      </c>
      <c r="C446" s="9">
        <v>46036</v>
      </c>
      <c r="D446" s="10" t="s">
        <v>65</v>
      </c>
      <c r="E446" s="10" t="s">
        <v>10</v>
      </c>
      <c r="F446" s="11">
        <v>117</v>
      </c>
      <c r="G446" s="12" t="s">
        <v>24</v>
      </c>
      <c r="H446" s="15">
        <v>46036</v>
      </c>
      <c r="I446" s="16" t="s">
        <v>65</v>
      </c>
      <c r="J446" s="16" t="s">
        <v>8</v>
      </c>
      <c r="K446" s="17">
        <v>297</v>
      </c>
      <c r="O446" t="str" cm="1">
        <f t="array" ref="O446">_xlfn.LET(
_xlpm.corp,$I446,_xlpm.key,$M$2:$M$200,_xlpm.name,$N$2:$N$200,_xlpm.hits,_xlfn._xlws.FILTER(_xlpm.name,ISNUMBER(SEARCH(_xlpm.key,_xlpm.corp))),
IFERROR(INDEX(_xlpm.hits,1),_xlpm.corp))</f>
        <v>マルテー</v>
      </c>
      <c r="P446" t="str">
        <f t="shared" si="28"/>
        <v>2026-01-14</v>
      </c>
      <c r="Q446" t="str">
        <f t="shared" si="16"/>
        <v>マルテー/イチゴ</v>
      </c>
      <c r="R446" t="str">
        <f t="shared" si="29"/>
        <v>イチゴ</v>
      </c>
      <c r="S446">
        <f t="shared" si="30"/>
        <v>297</v>
      </c>
    </row>
    <row r="447" spans="1:19">
      <c r="A447" s="13">
        <v>73445</v>
      </c>
      <c r="B447" s="14" t="s">
        <v>23</v>
      </c>
      <c r="C447" s="15">
        <v>46036</v>
      </c>
      <c r="D447" s="16" t="s">
        <v>65</v>
      </c>
      <c r="E447" s="16" t="s">
        <v>8</v>
      </c>
      <c r="F447" s="17">
        <v>297</v>
      </c>
      <c r="G447" s="18" t="s">
        <v>24</v>
      </c>
      <c r="H447" s="9">
        <v>46036</v>
      </c>
      <c r="I447" s="10" t="s">
        <v>27</v>
      </c>
      <c r="J447" s="10" t="s">
        <v>3</v>
      </c>
      <c r="K447" s="11">
        <v>280</v>
      </c>
      <c r="O447" t="str" cm="1">
        <f t="array" ref="O447">_xlfn.LET(
_xlpm.corp,$I447,_xlpm.key,$M$2:$M$200,_xlpm.name,$N$2:$N$200,_xlpm.hits,_xlfn._xlws.FILTER(_xlpm.name,ISNUMBER(SEARCH(_xlpm.key,_xlpm.corp))),
IFERROR(INDEX(_xlpm.hits,1),_xlpm.corp))</f>
        <v>東レ</v>
      </c>
      <c r="P447" t="str">
        <f t="shared" si="28"/>
        <v>2026-01-14</v>
      </c>
      <c r="Q447" t="str">
        <f t="shared" si="16"/>
        <v>東レ/加工BL</v>
      </c>
      <c r="R447" t="str">
        <f t="shared" si="29"/>
        <v>加工BL</v>
      </c>
      <c r="S447">
        <f t="shared" si="30"/>
        <v>280</v>
      </c>
    </row>
    <row r="448" spans="1:19">
      <c r="A448" s="7">
        <v>71664</v>
      </c>
      <c r="B448" s="8" t="s">
        <v>23</v>
      </c>
      <c r="C448" s="9">
        <v>46036</v>
      </c>
      <c r="D448" s="10" t="s">
        <v>27</v>
      </c>
      <c r="E448" s="10" t="s">
        <v>3</v>
      </c>
      <c r="F448" s="11">
        <v>280</v>
      </c>
      <c r="G448" s="12" t="s">
        <v>24</v>
      </c>
      <c r="H448" s="15">
        <v>46036</v>
      </c>
      <c r="I448" s="16" t="s">
        <v>27</v>
      </c>
      <c r="J448" s="16" t="s">
        <v>62</v>
      </c>
      <c r="K448" s="17">
        <v>800</v>
      </c>
      <c r="O448" t="str" cm="1">
        <f t="array" ref="O448">_xlfn.LET(
_xlpm.corp,$I448,_xlpm.key,$M$2:$M$200,_xlpm.name,$N$2:$N$200,_xlpm.hits,_xlfn._xlws.FILTER(_xlpm.name,ISNUMBER(SEARCH(_xlpm.key,_xlpm.corp))),
IFERROR(INDEX(_xlpm.hits,1),_xlpm.corp))</f>
        <v>東レ</v>
      </c>
      <c r="P448" t="str">
        <f t="shared" si="28"/>
        <v>2026-01-14</v>
      </c>
      <c r="Q448" t="str">
        <f t="shared" si="16"/>
        <v>東レ</v>
      </c>
      <c r="R448" t="str">
        <f t="shared" si="29"/>
        <v>ベビーリーフ ロログリーン</v>
      </c>
      <c r="S448">
        <f t="shared" si="30"/>
        <v>800</v>
      </c>
    </row>
    <row r="449" spans="1:19">
      <c r="A449" s="13">
        <v>71663</v>
      </c>
      <c r="B449" s="14" t="s">
        <v>23</v>
      </c>
      <c r="C449" s="15">
        <v>46036</v>
      </c>
      <c r="D449" s="16" t="s">
        <v>27</v>
      </c>
      <c r="E449" s="16" t="s">
        <v>62</v>
      </c>
      <c r="F449" s="17">
        <v>800</v>
      </c>
      <c r="G449" s="18" t="s">
        <v>24</v>
      </c>
      <c r="H449" s="9">
        <v>46036</v>
      </c>
      <c r="I449" s="10" t="s">
        <v>57</v>
      </c>
      <c r="J449" s="10" t="s">
        <v>3</v>
      </c>
      <c r="K449" s="11">
        <v>120</v>
      </c>
      <c r="O449" t="str" cm="1">
        <f t="array" ref="O449">_xlfn.LET(
_xlpm.corp,$I449,_xlpm.key,$M$2:$M$200,_xlpm.name,$N$2:$N$200,_xlpm.hits,_xlfn._xlws.FILTER(_xlpm.name,ISNUMBER(SEARCH(_xlpm.key,_xlpm.corp))),
IFERROR(INDEX(_xlpm.hits,1),_xlpm.corp))</f>
        <v>QB</v>
      </c>
      <c r="P449" t="str">
        <f t="shared" si="28"/>
        <v>2026-01-14</v>
      </c>
      <c r="Q449" t="str">
        <f t="shared" si="16"/>
        <v>QB/加工BL</v>
      </c>
      <c r="R449" t="str">
        <f t="shared" si="29"/>
        <v>加工BL</v>
      </c>
      <c r="S449">
        <f t="shared" si="30"/>
        <v>120</v>
      </c>
    </row>
    <row r="450" spans="1:19">
      <c r="A450" s="7">
        <v>71662</v>
      </c>
      <c r="B450" s="8" t="s">
        <v>23</v>
      </c>
      <c r="C450" s="9">
        <v>46036</v>
      </c>
      <c r="D450" s="10" t="s">
        <v>57</v>
      </c>
      <c r="E450" s="10" t="s">
        <v>3</v>
      </c>
      <c r="F450" s="11">
        <v>120</v>
      </c>
      <c r="G450" s="12" t="s">
        <v>24</v>
      </c>
      <c r="H450" s="15">
        <v>46036</v>
      </c>
      <c r="I450" s="16" t="s">
        <v>70</v>
      </c>
      <c r="J450" s="16" t="s">
        <v>9</v>
      </c>
      <c r="K450" s="19">
        <v>1180</v>
      </c>
      <c r="O450" t="str" cm="1">
        <f t="array" ref="O450">_xlfn.LET(
_xlpm.corp,$I450,_xlpm.key,$M$2:$M$200,_xlpm.name,$N$2:$N$200,_xlpm.hits,_xlfn._xlws.FILTER(_xlpm.name,ISNUMBER(SEARCH(_xlpm.key,_xlpm.corp))),
IFERROR(INDEX(_xlpm.hits,1),_xlpm.corp))</f>
        <v>富士機械</v>
      </c>
      <c r="P450" t="str">
        <f t="shared" si="28"/>
        <v>2026-01-14</v>
      </c>
      <c r="Q450" t="str">
        <f t="shared" ref="Q450:Q513" si="31">_xlfn.LET(
  _xlpm.corp, $O450,
  _xlpm.crop, $J450,
  _xlpm.suffix,
    IF(ISNUMBER(SEARCH("加工", _xlpm.crop)),      "/加工BL",
    IF(ISNUMBER(SEARCH("ミニトマト", _xlpm.crop)),"/ミニトマト",
    IF(ISNUMBER(SEARCH("イチゴ", _xlpm.crop)),    "/イチゴ",
    IF(ISNUMBER(SEARCH("ベビーリーフ",_xlpm.crop)),"",
       "/葉物野菜"
    )))),
  _xlpm.corp &amp; _xlpm.suffix
)</f>
        <v>富士機械</v>
      </c>
      <c r="R450" t="str">
        <f t="shared" si="29"/>
        <v>ベビーリーフ ロロロッサ</v>
      </c>
      <c r="S450">
        <f t="shared" si="30"/>
        <v>1180</v>
      </c>
    </row>
    <row r="451" spans="1:19">
      <c r="A451" s="13">
        <v>71661</v>
      </c>
      <c r="B451" s="14" t="s">
        <v>23</v>
      </c>
      <c r="C451" s="15">
        <v>46036</v>
      </c>
      <c r="D451" s="16" t="s">
        <v>70</v>
      </c>
      <c r="E451" s="16" t="s">
        <v>9</v>
      </c>
      <c r="F451" s="19">
        <v>1180</v>
      </c>
      <c r="G451" s="18" t="s">
        <v>24</v>
      </c>
      <c r="H451" s="9">
        <v>46036</v>
      </c>
      <c r="I451" s="10" t="s">
        <v>26</v>
      </c>
      <c r="J451" s="10" t="s">
        <v>2</v>
      </c>
      <c r="K451" s="11">
        <v>140</v>
      </c>
      <c r="O451" t="str" cm="1">
        <f t="array" ref="O451">_xlfn.LET(
_xlpm.corp,$I451,_xlpm.key,$M$2:$M$200,_xlpm.name,$N$2:$N$200,_xlpm.hits,_xlfn._xlws.FILTER(_xlpm.name,ISNUMBER(SEARCH(_xlpm.key,_xlpm.corp))),
IFERROR(INDEX(_xlpm.hits,1),_xlpm.corp))</f>
        <v>日建</v>
      </c>
      <c r="P451" t="str">
        <f t="shared" si="28"/>
        <v>2026-01-14</v>
      </c>
      <c r="Q451" t="str">
        <f t="shared" si="31"/>
        <v>日建</v>
      </c>
      <c r="R451" t="str">
        <f t="shared" si="29"/>
        <v>ベビーリーフ グリーンオーク</v>
      </c>
      <c r="S451">
        <f t="shared" si="30"/>
        <v>140</v>
      </c>
    </row>
    <row r="452" spans="1:19">
      <c r="A452" s="7">
        <v>71660</v>
      </c>
      <c r="B452" s="8" t="s">
        <v>23</v>
      </c>
      <c r="C452" s="9">
        <v>46036</v>
      </c>
      <c r="D452" s="10" t="s">
        <v>26</v>
      </c>
      <c r="E452" s="10" t="s">
        <v>2</v>
      </c>
      <c r="F452" s="11">
        <v>140</v>
      </c>
      <c r="G452" s="12" t="s">
        <v>24</v>
      </c>
      <c r="H452" s="15">
        <v>46036</v>
      </c>
      <c r="I452" s="16" t="s">
        <v>26</v>
      </c>
      <c r="J452" s="16" t="s">
        <v>3</v>
      </c>
      <c r="K452" s="17">
        <v>100</v>
      </c>
      <c r="O452" t="str" cm="1">
        <f t="array" ref="O452">_xlfn.LET(
_xlpm.corp,$I452,_xlpm.key,$M$2:$M$200,_xlpm.name,$N$2:$N$200,_xlpm.hits,_xlfn._xlws.FILTER(_xlpm.name,ISNUMBER(SEARCH(_xlpm.key,_xlpm.corp))),
IFERROR(INDEX(_xlpm.hits,1),_xlpm.corp))</f>
        <v>日建</v>
      </c>
      <c r="P452" t="str">
        <f t="shared" si="28"/>
        <v>2026-01-14</v>
      </c>
      <c r="Q452" t="str">
        <f t="shared" si="31"/>
        <v>日建/加工BL</v>
      </c>
      <c r="R452" t="str">
        <f t="shared" si="29"/>
        <v>加工BL</v>
      </c>
      <c r="S452">
        <f t="shared" si="30"/>
        <v>100</v>
      </c>
    </row>
    <row r="453" spans="1:19">
      <c r="A453" s="13">
        <v>71659</v>
      </c>
      <c r="B453" s="14" t="s">
        <v>23</v>
      </c>
      <c r="C453" s="15">
        <v>46036</v>
      </c>
      <c r="D453" s="16" t="s">
        <v>26</v>
      </c>
      <c r="E453" s="16" t="s">
        <v>3</v>
      </c>
      <c r="F453" s="17">
        <v>100</v>
      </c>
      <c r="G453" s="18" t="s">
        <v>24</v>
      </c>
      <c r="H453" s="9">
        <v>46036</v>
      </c>
      <c r="I453" s="10" t="s">
        <v>65</v>
      </c>
      <c r="J453" s="10" t="s">
        <v>2</v>
      </c>
      <c r="K453" s="11">
        <v>720</v>
      </c>
      <c r="O453" t="str" cm="1">
        <f t="array" ref="O453">_xlfn.LET(
_xlpm.corp,$I453,_xlpm.key,$M$2:$M$200,_xlpm.name,$N$2:$N$200,_xlpm.hits,_xlfn._xlws.FILTER(_xlpm.name,ISNUMBER(SEARCH(_xlpm.key,_xlpm.corp))),
IFERROR(INDEX(_xlpm.hits,1),_xlpm.corp))</f>
        <v>マルテー</v>
      </c>
      <c r="P453" t="str">
        <f t="shared" si="28"/>
        <v>2026-01-14</v>
      </c>
      <c r="Q453" t="str">
        <f t="shared" si="31"/>
        <v>マルテー</v>
      </c>
      <c r="R453" t="str">
        <f t="shared" si="29"/>
        <v>ベビーリーフ グリーンオーク</v>
      </c>
      <c r="S453">
        <f t="shared" si="30"/>
        <v>720</v>
      </c>
    </row>
    <row r="454" spans="1:19">
      <c r="A454" s="7">
        <v>71658</v>
      </c>
      <c r="B454" s="8" t="s">
        <v>23</v>
      </c>
      <c r="C454" s="9">
        <v>46036</v>
      </c>
      <c r="D454" s="10" t="s">
        <v>65</v>
      </c>
      <c r="E454" s="10" t="s">
        <v>2</v>
      </c>
      <c r="F454" s="11">
        <v>720</v>
      </c>
      <c r="G454" s="12" t="s">
        <v>24</v>
      </c>
      <c r="H454" s="15">
        <v>46036</v>
      </c>
      <c r="I454" s="16" t="s">
        <v>67</v>
      </c>
      <c r="J454" s="16" t="s">
        <v>3</v>
      </c>
      <c r="K454" s="17">
        <v>260</v>
      </c>
      <c r="O454" t="str" cm="1">
        <f t="array" ref="O454">_xlfn.LET(
_xlpm.corp,$I454,_xlpm.key,$M$2:$M$200,_xlpm.name,$N$2:$N$200,_xlpm.hits,_xlfn._xlws.FILTER(_xlpm.name,ISNUMBER(SEARCH(_xlpm.key,_xlpm.corp))),
IFERROR(INDEX(_xlpm.hits,1),_xlpm.corp))</f>
        <v>日本ロレアル</v>
      </c>
      <c r="P454" t="str">
        <f t="shared" si="28"/>
        <v>2026-01-14</v>
      </c>
      <c r="Q454" t="str">
        <f t="shared" si="31"/>
        <v>日本ロレアル/加工BL</v>
      </c>
      <c r="R454" t="str">
        <f t="shared" si="29"/>
        <v>加工BL</v>
      </c>
      <c r="S454">
        <f t="shared" si="30"/>
        <v>260</v>
      </c>
    </row>
    <row r="455" spans="1:19">
      <c r="A455" s="13">
        <v>71657</v>
      </c>
      <c r="B455" s="14" t="s">
        <v>23</v>
      </c>
      <c r="C455" s="15">
        <v>46036</v>
      </c>
      <c r="D455" s="16" t="s">
        <v>67</v>
      </c>
      <c r="E455" s="16" t="s">
        <v>3</v>
      </c>
      <c r="F455" s="17">
        <v>260</v>
      </c>
      <c r="G455" s="18" t="s">
        <v>24</v>
      </c>
      <c r="H455" s="9">
        <v>46036</v>
      </c>
      <c r="I455" s="10" t="s">
        <v>57</v>
      </c>
      <c r="J455" s="10" t="s">
        <v>3</v>
      </c>
      <c r="K455" s="11">
        <v>140</v>
      </c>
      <c r="O455" t="str" cm="1">
        <f t="array" ref="O455">_xlfn.LET(
_xlpm.corp,$I455,_xlpm.key,$M$2:$M$200,_xlpm.name,$N$2:$N$200,_xlpm.hits,_xlfn._xlws.FILTER(_xlpm.name,ISNUMBER(SEARCH(_xlpm.key,_xlpm.corp))),
IFERROR(INDEX(_xlpm.hits,1),_xlpm.corp))</f>
        <v>QB</v>
      </c>
      <c r="P455" t="str">
        <f t="shared" si="28"/>
        <v>2026-01-14</v>
      </c>
      <c r="Q455" t="str">
        <f t="shared" si="31"/>
        <v>QB/加工BL</v>
      </c>
      <c r="R455" t="str">
        <f t="shared" si="29"/>
        <v>加工BL</v>
      </c>
      <c r="S455">
        <f t="shared" si="30"/>
        <v>140</v>
      </c>
    </row>
    <row r="456" spans="1:19">
      <c r="A456" s="7">
        <v>71656</v>
      </c>
      <c r="B456" s="8" t="s">
        <v>23</v>
      </c>
      <c r="C456" s="9">
        <v>46036</v>
      </c>
      <c r="D456" s="10" t="s">
        <v>57</v>
      </c>
      <c r="E456" s="10" t="s">
        <v>3</v>
      </c>
      <c r="F456" s="11">
        <v>140</v>
      </c>
      <c r="G456" s="12" t="s">
        <v>24</v>
      </c>
      <c r="H456" s="15">
        <v>46036</v>
      </c>
      <c r="I456" s="16" t="s">
        <v>57</v>
      </c>
      <c r="J456" s="16" t="s">
        <v>2</v>
      </c>
      <c r="K456" s="17">
        <v>220</v>
      </c>
      <c r="O456" t="str" cm="1">
        <f t="array" ref="O456">_xlfn.LET(
_xlpm.corp,$I456,_xlpm.key,$M$2:$M$200,_xlpm.name,$N$2:$N$200,_xlpm.hits,_xlfn._xlws.FILTER(_xlpm.name,ISNUMBER(SEARCH(_xlpm.key,_xlpm.corp))),
IFERROR(INDEX(_xlpm.hits,1),_xlpm.corp))</f>
        <v>QB</v>
      </c>
      <c r="P456" t="str">
        <f t="shared" si="28"/>
        <v>2026-01-14</v>
      </c>
      <c r="Q456" t="str">
        <f t="shared" si="31"/>
        <v>QB</v>
      </c>
      <c r="R456" t="str">
        <f t="shared" si="29"/>
        <v>ベビーリーフ グリーンオーク</v>
      </c>
      <c r="S456">
        <f t="shared" si="30"/>
        <v>220</v>
      </c>
    </row>
    <row r="457" spans="1:19">
      <c r="A457" s="13">
        <v>71655</v>
      </c>
      <c r="B457" s="14" t="s">
        <v>23</v>
      </c>
      <c r="C457" s="15">
        <v>46036</v>
      </c>
      <c r="D457" s="16" t="s">
        <v>57</v>
      </c>
      <c r="E457" s="16" t="s">
        <v>2</v>
      </c>
      <c r="F457" s="17">
        <v>220</v>
      </c>
      <c r="G457" s="18" t="s">
        <v>24</v>
      </c>
      <c r="H457" s="9">
        <v>46036</v>
      </c>
      <c r="I457" s="10" t="s">
        <v>56</v>
      </c>
      <c r="J457" s="10" t="s">
        <v>73</v>
      </c>
      <c r="K457" s="11">
        <v>60</v>
      </c>
      <c r="O457" t="str" cm="1">
        <f t="array" ref="O457">_xlfn.LET(
_xlpm.corp,$I457,_xlpm.key,$M$2:$M$200,_xlpm.name,$N$2:$N$200,_xlpm.hits,_xlfn._xlws.FILTER(_xlpm.name,ISNUMBER(SEARCH(_xlpm.key,_xlpm.corp))),
IFERROR(INDEX(_xlpm.hits,1),_xlpm.corp))</f>
        <v>サンセイランディック</v>
      </c>
      <c r="P457" t="str">
        <f t="shared" si="28"/>
        <v>2026-01-14</v>
      </c>
      <c r="Q457" t="str">
        <f t="shared" si="31"/>
        <v>サンセイランディック/葉物野菜</v>
      </c>
      <c r="R457" t="str">
        <f t="shared" si="29"/>
        <v>ラディッシュ</v>
      </c>
      <c r="S457">
        <f t="shared" si="30"/>
        <v>60</v>
      </c>
    </row>
    <row r="458" spans="1:19">
      <c r="A458" s="7">
        <v>71654</v>
      </c>
      <c r="B458" s="8" t="s">
        <v>23</v>
      </c>
      <c r="C458" s="9">
        <v>46036</v>
      </c>
      <c r="D458" s="10" t="s">
        <v>56</v>
      </c>
      <c r="E458" s="10" t="s">
        <v>73</v>
      </c>
      <c r="F458" s="11">
        <v>60</v>
      </c>
      <c r="G458" s="12" t="s">
        <v>24</v>
      </c>
      <c r="H458" s="15">
        <v>46036</v>
      </c>
      <c r="I458" s="16" t="s">
        <v>61</v>
      </c>
      <c r="J458" s="16" t="s">
        <v>62</v>
      </c>
      <c r="K458" s="17">
        <v>600</v>
      </c>
      <c r="O458" t="str" cm="1">
        <f t="array" ref="O458">_xlfn.LET(
_xlpm.corp,$I458,_xlpm.key,$M$2:$M$200,_xlpm.name,$N$2:$N$200,_xlpm.hits,_xlfn._xlws.FILTER(_xlpm.name,ISNUMBER(SEARCH(_xlpm.key,_xlpm.corp))),
IFERROR(INDEX(_xlpm.hits,1),_xlpm.corp))</f>
        <v>Adobe</v>
      </c>
      <c r="P458" t="str">
        <f t="shared" si="28"/>
        <v>2026-01-14</v>
      </c>
      <c r="Q458" t="str">
        <f t="shared" si="31"/>
        <v>Adobe</v>
      </c>
      <c r="R458" t="str">
        <f t="shared" si="29"/>
        <v>ベビーリーフ ロログリーン</v>
      </c>
      <c r="S458">
        <f t="shared" si="30"/>
        <v>600</v>
      </c>
    </row>
    <row r="459" spans="1:19">
      <c r="A459" s="13">
        <v>71653</v>
      </c>
      <c r="B459" s="14" t="s">
        <v>23</v>
      </c>
      <c r="C459" s="15">
        <v>46036</v>
      </c>
      <c r="D459" s="16" t="s">
        <v>61</v>
      </c>
      <c r="E459" s="16" t="s">
        <v>62</v>
      </c>
      <c r="F459" s="17">
        <v>600</v>
      </c>
      <c r="G459" s="18" t="s">
        <v>24</v>
      </c>
      <c r="H459" s="9">
        <v>46036</v>
      </c>
      <c r="I459" s="10" t="s">
        <v>64</v>
      </c>
      <c r="J459" s="10" t="s">
        <v>3</v>
      </c>
      <c r="K459" s="11">
        <v>540</v>
      </c>
      <c r="O459" t="str" cm="1">
        <f t="array" ref="O459">_xlfn.LET(
_xlpm.corp,$I459,_xlpm.key,$M$2:$M$200,_xlpm.name,$N$2:$N$200,_xlpm.hits,_xlfn._xlws.FILTER(_xlpm.name,ISNUMBER(SEARCH(_xlpm.key,_xlpm.corp))),
IFERROR(INDEX(_xlpm.hits,1),_xlpm.corp))</f>
        <v>NaITO</v>
      </c>
      <c r="P459" t="str">
        <f t="shared" si="28"/>
        <v>2026-01-14</v>
      </c>
      <c r="Q459" t="str">
        <f t="shared" si="31"/>
        <v>NaITO/加工BL</v>
      </c>
      <c r="R459" t="str">
        <f t="shared" si="29"/>
        <v>加工BL</v>
      </c>
      <c r="S459">
        <f t="shared" si="30"/>
        <v>540</v>
      </c>
    </row>
    <row r="460" spans="1:19">
      <c r="A460" s="7">
        <v>71652</v>
      </c>
      <c r="B460" s="8" t="s">
        <v>23</v>
      </c>
      <c r="C460" s="9">
        <v>46036</v>
      </c>
      <c r="D460" s="10" t="s">
        <v>64</v>
      </c>
      <c r="E460" s="10" t="s">
        <v>3</v>
      </c>
      <c r="F460" s="11">
        <v>540</v>
      </c>
      <c r="G460" s="12" t="s">
        <v>24</v>
      </c>
      <c r="H460" s="15">
        <v>46036</v>
      </c>
      <c r="I460" s="16" t="s">
        <v>61</v>
      </c>
      <c r="J460" s="16" t="s">
        <v>62</v>
      </c>
      <c r="K460" s="17">
        <v>600</v>
      </c>
      <c r="O460" t="str" cm="1">
        <f t="array" ref="O460">_xlfn.LET(
_xlpm.corp,$I460,_xlpm.key,$M$2:$M$200,_xlpm.name,$N$2:$N$200,_xlpm.hits,_xlfn._xlws.FILTER(_xlpm.name,ISNUMBER(SEARCH(_xlpm.key,_xlpm.corp))),
IFERROR(INDEX(_xlpm.hits,1),_xlpm.corp))</f>
        <v>Adobe</v>
      </c>
      <c r="P460" t="str">
        <f t="shared" si="28"/>
        <v>2026-01-14</v>
      </c>
      <c r="Q460" t="str">
        <f t="shared" si="31"/>
        <v>Adobe</v>
      </c>
      <c r="R460" t="str">
        <f t="shared" si="29"/>
        <v>ベビーリーフ ロログリーン</v>
      </c>
      <c r="S460">
        <f t="shared" si="30"/>
        <v>600</v>
      </c>
    </row>
    <row r="461" spans="1:19">
      <c r="A461" s="13">
        <v>71651</v>
      </c>
      <c r="B461" s="14" t="s">
        <v>23</v>
      </c>
      <c r="C461" s="15">
        <v>46036</v>
      </c>
      <c r="D461" s="16" t="s">
        <v>61</v>
      </c>
      <c r="E461" s="16" t="s">
        <v>62</v>
      </c>
      <c r="F461" s="17">
        <v>600</v>
      </c>
      <c r="G461" s="18" t="s">
        <v>24</v>
      </c>
      <c r="H461" s="9">
        <v>46036</v>
      </c>
      <c r="I461" s="10" t="s">
        <v>68</v>
      </c>
      <c r="J461" s="10" t="s">
        <v>3</v>
      </c>
      <c r="K461" s="11">
        <v>20</v>
      </c>
      <c r="O461" t="str" cm="1">
        <f t="array" ref="O461">_xlfn.LET(
_xlpm.corp,$I461,_xlpm.key,$M$2:$M$200,_xlpm.name,$N$2:$N$200,_xlpm.hits,_xlfn._xlws.FILTER(_xlpm.name,ISNUMBER(SEARCH(_xlpm.key,_xlpm.corp))),
IFERROR(INDEX(_xlpm.hits,1),_xlpm.corp))</f>
        <v>昭和女子</v>
      </c>
      <c r="P461" t="str">
        <f t="shared" si="28"/>
        <v>2026-01-14</v>
      </c>
      <c r="Q461" t="str">
        <f t="shared" si="31"/>
        <v>昭和女子/加工BL</v>
      </c>
      <c r="R461" t="str">
        <f t="shared" si="29"/>
        <v>加工BL</v>
      </c>
      <c r="S461">
        <f t="shared" si="30"/>
        <v>20</v>
      </c>
    </row>
    <row r="462" spans="1:19">
      <c r="A462" s="7">
        <v>71650</v>
      </c>
      <c r="B462" s="8" t="s">
        <v>23</v>
      </c>
      <c r="C462" s="9">
        <v>46036</v>
      </c>
      <c r="D462" s="10" t="s">
        <v>68</v>
      </c>
      <c r="E462" s="10" t="s">
        <v>3</v>
      </c>
      <c r="F462" s="11">
        <v>20</v>
      </c>
      <c r="G462" s="12" t="s">
        <v>24</v>
      </c>
      <c r="H462" s="15">
        <v>46036</v>
      </c>
      <c r="I462" s="16" t="s">
        <v>70</v>
      </c>
      <c r="J462" s="16" t="s">
        <v>4</v>
      </c>
      <c r="K462" s="19">
        <v>1180</v>
      </c>
      <c r="O462" t="str" cm="1">
        <f t="array" ref="O462">_xlfn.LET(
_xlpm.corp,$I462,_xlpm.key,$M$2:$M$200,_xlpm.name,$N$2:$N$200,_xlpm.hits,_xlfn._xlws.FILTER(_xlpm.name,ISNUMBER(SEARCH(_xlpm.key,_xlpm.corp))),
IFERROR(INDEX(_xlpm.hits,1),_xlpm.corp))</f>
        <v>富士機械</v>
      </c>
      <c r="P462" t="str">
        <f t="shared" si="28"/>
        <v>2026-01-14</v>
      </c>
      <c r="Q462" t="str">
        <f t="shared" si="31"/>
        <v>富士機械</v>
      </c>
      <c r="R462" t="str">
        <f t="shared" si="29"/>
        <v>ベビーリーフ ピノグリーン</v>
      </c>
      <c r="S462">
        <f t="shared" si="30"/>
        <v>1180</v>
      </c>
    </row>
    <row r="463" spans="1:19">
      <c r="A463" s="13">
        <v>71649</v>
      </c>
      <c r="B463" s="14" t="s">
        <v>23</v>
      </c>
      <c r="C463" s="15">
        <v>46036</v>
      </c>
      <c r="D463" s="16" t="s">
        <v>70</v>
      </c>
      <c r="E463" s="16" t="s">
        <v>4</v>
      </c>
      <c r="F463" s="19">
        <v>1180</v>
      </c>
      <c r="G463" s="18" t="s">
        <v>24</v>
      </c>
      <c r="H463" s="9">
        <v>46036</v>
      </c>
      <c r="I463" s="10" t="s">
        <v>60</v>
      </c>
      <c r="J463" s="10" t="s">
        <v>2</v>
      </c>
      <c r="K463" s="11">
        <v>120</v>
      </c>
      <c r="O463" t="str" cm="1">
        <f t="array" ref="O463">_xlfn.LET(
_xlpm.corp,$I463,_xlpm.key,$M$2:$M$200,_xlpm.name,$N$2:$N$200,_xlpm.hits,_xlfn._xlws.FILTER(_xlpm.name,ISNUMBER(SEARCH(_xlpm.key,_xlpm.corp))),
IFERROR(INDEX(_xlpm.hits,1),_xlpm.corp))</f>
        <v>サンテレホン</v>
      </c>
      <c r="P463" t="str">
        <f t="shared" si="28"/>
        <v>2026-01-14</v>
      </c>
      <c r="Q463" t="str">
        <f t="shared" si="31"/>
        <v>サンテレホン</v>
      </c>
      <c r="R463" t="str">
        <f t="shared" si="29"/>
        <v>ベビーリーフ グリーンオーク</v>
      </c>
      <c r="S463">
        <f t="shared" si="30"/>
        <v>120</v>
      </c>
    </row>
    <row r="464" spans="1:19">
      <c r="A464" s="7">
        <v>71648</v>
      </c>
      <c r="B464" s="8" t="s">
        <v>23</v>
      </c>
      <c r="C464" s="9">
        <v>46036</v>
      </c>
      <c r="D464" s="10" t="s">
        <v>60</v>
      </c>
      <c r="E464" s="10" t="s">
        <v>2</v>
      </c>
      <c r="F464" s="11">
        <v>120</v>
      </c>
      <c r="G464" s="12" t="s">
        <v>24</v>
      </c>
      <c r="H464" s="15">
        <v>46036</v>
      </c>
      <c r="I464" s="16" t="s">
        <v>64</v>
      </c>
      <c r="J464" s="16" t="s">
        <v>11</v>
      </c>
      <c r="K464" s="17">
        <v>560</v>
      </c>
      <c r="O464" t="str" cm="1">
        <f t="array" ref="O464">_xlfn.LET(
_xlpm.corp,$I464,_xlpm.key,$M$2:$M$200,_xlpm.name,$N$2:$N$200,_xlpm.hits,_xlfn._xlws.FILTER(_xlpm.name,ISNUMBER(SEARCH(_xlpm.key,_xlpm.corp))),
IFERROR(INDEX(_xlpm.hits,1),_xlpm.corp))</f>
        <v>NaITO</v>
      </c>
      <c r="P464" t="str">
        <f t="shared" ref="P464:P527" si="32">IFERROR(TEXT(DATEVALUE(SUBSTITUTE(SUBSTITUTE(H464,".","/"),"-","/")),"yyyy-mm-dd"),
TEXT(H464,"yyyy-mm-dd"))</f>
        <v>2026-01-14</v>
      </c>
      <c r="Q464" t="str">
        <f t="shared" si="31"/>
        <v>NaITO</v>
      </c>
      <c r="R464" t="str">
        <f t="shared" ref="R464:R527" si="33">IF(
  AND(ISNUMBER(SEARCH("加工品",SUBSTITUTE(J464,"　"," "))),ISNUMBER(SEARCH("ベビーリーフ",SUBSTITUTE(J464,"　"," ")))),
  "加工BL",
  IF(LEFT(TRIM(SUBSTITUTE(J464,"　"," ")),5)="ベビーリーフ",
     "BL"&amp;TRIM(MID(TRIM(SUBSTITUTE(J464,"　"," ")),FIND(" ",TRIM(SUBSTITUTE(J464,"　"," "))&amp;" ")+1,255)),
     TRIM(SUBSTITUTE(J464,"　"," "))
  )
)</f>
        <v>ベビーリーフ レッドオーク</v>
      </c>
      <c r="S464">
        <f t="shared" ref="S464:S527" si="34">IF(K464="", "", --SUBSTITUTE(K464, ",", ""))</f>
        <v>560</v>
      </c>
    </row>
    <row r="465" spans="1:19">
      <c r="A465" s="13">
        <v>71647</v>
      </c>
      <c r="B465" s="14" t="s">
        <v>23</v>
      </c>
      <c r="C465" s="15">
        <v>46036</v>
      </c>
      <c r="D465" s="16" t="s">
        <v>64</v>
      </c>
      <c r="E465" s="16" t="s">
        <v>11</v>
      </c>
      <c r="F465" s="17">
        <v>560</v>
      </c>
      <c r="G465" s="18" t="s">
        <v>24</v>
      </c>
      <c r="H465" s="9">
        <v>46036</v>
      </c>
      <c r="I465" s="10" t="s">
        <v>57</v>
      </c>
      <c r="J465" s="10" t="s">
        <v>3</v>
      </c>
      <c r="K465" s="11">
        <v>200</v>
      </c>
      <c r="O465" t="str" cm="1">
        <f t="array" ref="O465">_xlfn.LET(
_xlpm.corp,$I465,_xlpm.key,$M$2:$M$200,_xlpm.name,$N$2:$N$200,_xlpm.hits,_xlfn._xlws.FILTER(_xlpm.name,ISNUMBER(SEARCH(_xlpm.key,_xlpm.corp))),
IFERROR(INDEX(_xlpm.hits,1),_xlpm.corp))</f>
        <v>QB</v>
      </c>
      <c r="P465" t="str">
        <f t="shared" si="32"/>
        <v>2026-01-14</v>
      </c>
      <c r="Q465" t="str">
        <f t="shared" si="31"/>
        <v>QB/加工BL</v>
      </c>
      <c r="R465" t="str">
        <f t="shared" si="33"/>
        <v>加工BL</v>
      </c>
      <c r="S465">
        <f t="shared" si="34"/>
        <v>200</v>
      </c>
    </row>
    <row r="466" spans="1:19">
      <c r="A466" s="7">
        <v>71646</v>
      </c>
      <c r="B466" s="8" t="s">
        <v>23</v>
      </c>
      <c r="C466" s="9">
        <v>46036</v>
      </c>
      <c r="D466" s="10" t="s">
        <v>57</v>
      </c>
      <c r="E466" s="10" t="s">
        <v>3</v>
      </c>
      <c r="F466" s="11">
        <v>200</v>
      </c>
      <c r="G466" s="12" t="s">
        <v>24</v>
      </c>
      <c r="H466" s="15">
        <v>46036</v>
      </c>
      <c r="I466" s="16" t="s">
        <v>67</v>
      </c>
      <c r="J466" s="16" t="s">
        <v>4</v>
      </c>
      <c r="K466" s="17">
        <v>200</v>
      </c>
      <c r="O466" t="str" cm="1">
        <f t="array" ref="O466">_xlfn.LET(
_xlpm.corp,$I466,_xlpm.key,$M$2:$M$200,_xlpm.name,$N$2:$N$200,_xlpm.hits,_xlfn._xlws.FILTER(_xlpm.name,ISNUMBER(SEARCH(_xlpm.key,_xlpm.corp))),
IFERROR(INDEX(_xlpm.hits,1),_xlpm.corp))</f>
        <v>日本ロレアル</v>
      </c>
      <c r="P466" t="str">
        <f t="shared" si="32"/>
        <v>2026-01-14</v>
      </c>
      <c r="Q466" t="str">
        <f t="shared" si="31"/>
        <v>日本ロレアル</v>
      </c>
      <c r="R466" t="str">
        <f t="shared" si="33"/>
        <v>ベビーリーフ ピノグリーン</v>
      </c>
      <c r="S466">
        <f t="shared" si="34"/>
        <v>200</v>
      </c>
    </row>
    <row r="467" spans="1:19">
      <c r="A467" s="13">
        <v>71645</v>
      </c>
      <c r="B467" s="14" t="s">
        <v>23</v>
      </c>
      <c r="C467" s="15">
        <v>46036</v>
      </c>
      <c r="D467" s="16" t="s">
        <v>67</v>
      </c>
      <c r="E467" s="16" t="s">
        <v>4</v>
      </c>
      <c r="F467" s="17">
        <v>200</v>
      </c>
      <c r="G467" s="18" t="s">
        <v>24</v>
      </c>
      <c r="H467" s="9">
        <v>46036</v>
      </c>
      <c r="I467" s="10" t="s">
        <v>57</v>
      </c>
      <c r="J467" s="10" t="s">
        <v>2</v>
      </c>
      <c r="K467" s="11">
        <v>200</v>
      </c>
      <c r="O467" t="str" cm="1">
        <f t="array" ref="O467">_xlfn.LET(
_xlpm.corp,$I467,_xlpm.key,$M$2:$M$200,_xlpm.name,$N$2:$N$200,_xlpm.hits,_xlfn._xlws.FILTER(_xlpm.name,ISNUMBER(SEARCH(_xlpm.key,_xlpm.corp))),
IFERROR(INDEX(_xlpm.hits,1),_xlpm.corp))</f>
        <v>QB</v>
      </c>
      <c r="P467" t="str">
        <f t="shared" si="32"/>
        <v>2026-01-14</v>
      </c>
      <c r="Q467" t="str">
        <f t="shared" si="31"/>
        <v>QB</v>
      </c>
      <c r="R467" t="str">
        <f t="shared" si="33"/>
        <v>ベビーリーフ グリーンオーク</v>
      </c>
      <c r="S467">
        <f t="shared" si="34"/>
        <v>200</v>
      </c>
    </row>
    <row r="468" spans="1:19">
      <c r="A468" s="7">
        <v>71644</v>
      </c>
      <c r="B468" s="8" t="s">
        <v>23</v>
      </c>
      <c r="C468" s="9">
        <v>46036</v>
      </c>
      <c r="D468" s="10" t="s">
        <v>57</v>
      </c>
      <c r="E468" s="10" t="s">
        <v>2</v>
      </c>
      <c r="F468" s="11">
        <v>200</v>
      </c>
      <c r="G468" s="12" t="s">
        <v>24</v>
      </c>
      <c r="H468" s="15">
        <v>46036</v>
      </c>
      <c r="I468" s="16" t="s">
        <v>61</v>
      </c>
      <c r="J468" s="16" t="s">
        <v>62</v>
      </c>
      <c r="K468" s="17">
        <v>600</v>
      </c>
      <c r="O468" t="str" cm="1">
        <f t="array" ref="O468">_xlfn.LET(
_xlpm.corp,$I468,_xlpm.key,$M$2:$M$200,_xlpm.name,$N$2:$N$200,_xlpm.hits,_xlfn._xlws.FILTER(_xlpm.name,ISNUMBER(SEARCH(_xlpm.key,_xlpm.corp))),
IFERROR(INDEX(_xlpm.hits,1),_xlpm.corp))</f>
        <v>Adobe</v>
      </c>
      <c r="P468" t="str">
        <f t="shared" si="32"/>
        <v>2026-01-14</v>
      </c>
      <c r="Q468" t="str">
        <f t="shared" si="31"/>
        <v>Adobe</v>
      </c>
      <c r="R468" t="str">
        <f t="shared" si="33"/>
        <v>ベビーリーフ ロログリーン</v>
      </c>
      <c r="S468">
        <f t="shared" si="34"/>
        <v>600</v>
      </c>
    </row>
    <row r="469" spans="1:19">
      <c r="A469" s="13">
        <v>71643</v>
      </c>
      <c r="B469" s="14" t="s">
        <v>23</v>
      </c>
      <c r="C469" s="15">
        <v>46036</v>
      </c>
      <c r="D469" s="16" t="s">
        <v>61</v>
      </c>
      <c r="E469" s="16" t="s">
        <v>62</v>
      </c>
      <c r="F469" s="17">
        <v>600</v>
      </c>
      <c r="G469" s="18" t="s">
        <v>24</v>
      </c>
      <c r="H469" s="9">
        <v>46036</v>
      </c>
      <c r="I469" s="10" t="s">
        <v>61</v>
      </c>
      <c r="J469" s="10" t="s">
        <v>62</v>
      </c>
      <c r="K469" s="11">
        <v>580</v>
      </c>
      <c r="O469" t="str" cm="1">
        <f t="array" ref="O469">_xlfn.LET(
_xlpm.corp,$I469,_xlpm.key,$M$2:$M$200,_xlpm.name,$N$2:$N$200,_xlpm.hits,_xlfn._xlws.FILTER(_xlpm.name,ISNUMBER(SEARCH(_xlpm.key,_xlpm.corp))),
IFERROR(INDEX(_xlpm.hits,1),_xlpm.corp))</f>
        <v>Adobe</v>
      </c>
      <c r="P469" t="str">
        <f t="shared" si="32"/>
        <v>2026-01-14</v>
      </c>
      <c r="Q469" t="str">
        <f t="shared" si="31"/>
        <v>Adobe</v>
      </c>
      <c r="R469" t="str">
        <f t="shared" si="33"/>
        <v>ベビーリーフ ロログリーン</v>
      </c>
      <c r="S469">
        <f t="shared" si="34"/>
        <v>580</v>
      </c>
    </row>
    <row r="470" spans="1:19">
      <c r="A470" s="7">
        <v>71642</v>
      </c>
      <c r="B470" s="8" t="s">
        <v>23</v>
      </c>
      <c r="C470" s="9">
        <v>46036</v>
      </c>
      <c r="D470" s="10" t="s">
        <v>61</v>
      </c>
      <c r="E470" s="10" t="s">
        <v>62</v>
      </c>
      <c r="F470" s="11">
        <v>580</v>
      </c>
      <c r="G470" s="12" t="s">
        <v>24</v>
      </c>
      <c r="H470" s="15">
        <v>46036</v>
      </c>
      <c r="I470" s="16" t="s">
        <v>72</v>
      </c>
      <c r="J470" s="16" t="s">
        <v>2</v>
      </c>
      <c r="K470" s="17">
        <v>800</v>
      </c>
      <c r="O470" t="str" cm="1">
        <f t="array" ref="O470">_xlfn.LET(
_xlpm.corp,$I470,_xlpm.key,$M$2:$M$200,_xlpm.name,$N$2:$N$200,_xlpm.hits,_xlfn._xlws.FILTER(_xlpm.name,ISNUMBER(SEARCH(_xlpm.key,_xlpm.corp))),
IFERROR(INDEX(_xlpm.hits,1),_xlpm.corp))</f>
        <v>岡部</v>
      </c>
      <c r="P470" t="str">
        <f t="shared" si="32"/>
        <v>2026-01-14</v>
      </c>
      <c r="Q470" t="str">
        <f t="shared" si="31"/>
        <v>岡部</v>
      </c>
      <c r="R470" t="str">
        <f t="shared" si="33"/>
        <v>ベビーリーフ グリーンオーク</v>
      </c>
      <c r="S470">
        <f t="shared" si="34"/>
        <v>800</v>
      </c>
    </row>
    <row r="471" spans="1:19">
      <c r="A471" s="13">
        <v>71641</v>
      </c>
      <c r="B471" s="14" t="s">
        <v>23</v>
      </c>
      <c r="C471" s="15">
        <v>46036</v>
      </c>
      <c r="D471" s="16" t="s">
        <v>72</v>
      </c>
      <c r="E471" s="16" t="s">
        <v>2</v>
      </c>
      <c r="F471" s="17">
        <v>800</v>
      </c>
      <c r="G471" s="18" t="s">
        <v>24</v>
      </c>
      <c r="H471" s="9">
        <v>46036</v>
      </c>
      <c r="I471" s="10" t="s">
        <v>72</v>
      </c>
      <c r="J471" s="10" t="s">
        <v>11</v>
      </c>
      <c r="K471" s="11">
        <v>760</v>
      </c>
      <c r="O471" t="str" cm="1">
        <f t="array" ref="O471">_xlfn.LET(
_xlpm.corp,$I471,_xlpm.key,$M$2:$M$200,_xlpm.name,$N$2:$N$200,_xlpm.hits,_xlfn._xlws.FILTER(_xlpm.name,ISNUMBER(SEARCH(_xlpm.key,_xlpm.corp))),
IFERROR(INDEX(_xlpm.hits,1),_xlpm.corp))</f>
        <v>岡部</v>
      </c>
      <c r="P471" t="str">
        <f t="shared" si="32"/>
        <v>2026-01-14</v>
      </c>
      <c r="Q471" t="str">
        <f t="shared" si="31"/>
        <v>岡部</v>
      </c>
      <c r="R471" t="str">
        <f t="shared" si="33"/>
        <v>ベビーリーフ レッドオーク</v>
      </c>
      <c r="S471">
        <f t="shared" si="34"/>
        <v>760</v>
      </c>
    </row>
    <row r="472" spans="1:19">
      <c r="A472" s="7">
        <v>71640</v>
      </c>
      <c r="B472" s="8" t="s">
        <v>23</v>
      </c>
      <c r="C472" s="9">
        <v>46036</v>
      </c>
      <c r="D472" s="10" t="s">
        <v>72</v>
      </c>
      <c r="E472" s="10" t="s">
        <v>11</v>
      </c>
      <c r="F472" s="11">
        <v>760</v>
      </c>
      <c r="G472" s="12" t="s">
        <v>24</v>
      </c>
      <c r="H472" s="15">
        <v>46036</v>
      </c>
      <c r="I472" s="16" t="s">
        <v>65</v>
      </c>
      <c r="J472" s="16" t="s">
        <v>2</v>
      </c>
      <c r="K472" s="17">
        <v>300</v>
      </c>
      <c r="O472" t="str" cm="1">
        <f t="array" ref="O472">_xlfn.LET(
_xlpm.corp,$I472,_xlpm.key,$M$2:$M$200,_xlpm.name,$N$2:$N$200,_xlpm.hits,_xlfn._xlws.FILTER(_xlpm.name,ISNUMBER(SEARCH(_xlpm.key,_xlpm.corp))),
IFERROR(INDEX(_xlpm.hits,1),_xlpm.corp))</f>
        <v>マルテー</v>
      </c>
      <c r="P472" t="str">
        <f t="shared" si="32"/>
        <v>2026-01-14</v>
      </c>
      <c r="Q472" t="str">
        <f t="shared" si="31"/>
        <v>マルテー</v>
      </c>
      <c r="R472" t="str">
        <f t="shared" si="33"/>
        <v>ベビーリーフ グリーンオーク</v>
      </c>
      <c r="S472">
        <f t="shared" si="34"/>
        <v>300</v>
      </c>
    </row>
    <row r="473" spans="1:19">
      <c r="A473" s="13">
        <v>71639</v>
      </c>
      <c r="B473" s="14" t="s">
        <v>23</v>
      </c>
      <c r="C473" s="15">
        <v>46036</v>
      </c>
      <c r="D473" s="16" t="s">
        <v>65</v>
      </c>
      <c r="E473" s="16" t="s">
        <v>2</v>
      </c>
      <c r="F473" s="17">
        <v>300</v>
      </c>
      <c r="G473" s="18" t="s">
        <v>24</v>
      </c>
      <c r="H473" s="9">
        <v>46036</v>
      </c>
      <c r="I473" s="10" t="s">
        <v>27</v>
      </c>
      <c r="J473" s="10" t="s">
        <v>4</v>
      </c>
      <c r="K473" s="11">
        <v>200</v>
      </c>
      <c r="O473" t="str" cm="1">
        <f t="array" ref="O473">_xlfn.LET(
_xlpm.corp,$I473,_xlpm.key,$M$2:$M$200,_xlpm.name,$N$2:$N$200,_xlpm.hits,_xlfn._xlws.FILTER(_xlpm.name,ISNUMBER(SEARCH(_xlpm.key,_xlpm.corp))),
IFERROR(INDEX(_xlpm.hits,1),_xlpm.corp))</f>
        <v>東レ</v>
      </c>
      <c r="P473" t="str">
        <f t="shared" si="32"/>
        <v>2026-01-14</v>
      </c>
      <c r="Q473" t="str">
        <f t="shared" si="31"/>
        <v>東レ</v>
      </c>
      <c r="R473" t="str">
        <f t="shared" si="33"/>
        <v>ベビーリーフ ピノグリーン</v>
      </c>
      <c r="S473">
        <f t="shared" si="34"/>
        <v>200</v>
      </c>
    </row>
    <row r="474" spans="1:19">
      <c r="A474" s="7">
        <v>71638</v>
      </c>
      <c r="B474" s="8" t="s">
        <v>23</v>
      </c>
      <c r="C474" s="9">
        <v>46036</v>
      </c>
      <c r="D474" s="10" t="s">
        <v>27</v>
      </c>
      <c r="E474" s="10" t="s">
        <v>4</v>
      </c>
      <c r="F474" s="11">
        <v>200</v>
      </c>
      <c r="G474" s="12" t="s">
        <v>24</v>
      </c>
      <c r="H474" s="15">
        <v>46036</v>
      </c>
      <c r="I474" s="16" t="s">
        <v>27</v>
      </c>
      <c r="J474" s="16" t="s">
        <v>2</v>
      </c>
      <c r="K474" s="17">
        <v>460</v>
      </c>
      <c r="O474" t="str" cm="1">
        <f t="array" ref="O474">_xlfn.LET(
_xlpm.corp,$I474,_xlpm.key,$M$2:$M$200,_xlpm.name,$N$2:$N$200,_xlpm.hits,_xlfn._xlws.FILTER(_xlpm.name,ISNUMBER(SEARCH(_xlpm.key,_xlpm.corp))),
IFERROR(INDEX(_xlpm.hits,1),_xlpm.corp))</f>
        <v>東レ</v>
      </c>
      <c r="P474" t="str">
        <f t="shared" si="32"/>
        <v>2026-01-14</v>
      </c>
      <c r="Q474" t="str">
        <f t="shared" si="31"/>
        <v>東レ</v>
      </c>
      <c r="R474" t="str">
        <f t="shared" si="33"/>
        <v>ベビーリーフ グリーンオーク</v>
      </c>
      <c r="S474">
        <f t="shared" si="34"/>
        <v>460</v>
      </c>
    </row>
    <row r="475" spans="1:19">
      <c r="A475" s="13">
        <v>71637</v>
      </c>
      <c r="B475" s="14" t="s">
        <v>23</v>
      </c>
      <c r="C475" s="15">
        <v>46036</v>
      </c>
      <c r="D475" s="16" t="s">
        <v>27</v>
      </c>
      <c r="E475" s="16" t="s">
        <v>2</v>
      </c>
      <c r="F475" s="17">
        <v>460</v>
      </c>
      <c r="G475" s="18" t="s">
        <v>24</v>
      </c>
      <c r="H475" s="9">
        <v>46035</v>
      </c>
      <c r="I475" s="10" t="s">
        <v>27</v>
      </c>
      <c r="J475" s="10" t="s">
        <v>3</v>
      </c>
      <c r="K475" s="11">
        <v>180</v>
      </c>
      <c r="O475" t="str" cm="1">
        <f t="array" ref="O475">_xlfn.LET(
_xlpm.corp,$I475,_xlpm.key,$M$2:$M$200,_xlpm.name,$N$2:$N$200,_xlpm.hits,_xlfn._xlws.FILTER(_xlpm.name,ISNUMBER(SEARCH(_xlpm.key,_xlpm.corp))),
IFERROR(INDEX(_xlpm.hits,1),_xlpm.corp))</f>
        <v>東レ</v>
      </c>
      <c r="P475" t="str">
        <f t="shared" si="32"/>
        <v>2026-01-13</v>
      </c>
      <c r="Q475" t="str">
        <f t="shared" si="31"/>
        <v>東レ/加工BL</v>
      </c>
      <c r="R475" t="str">
        <f t="shared" si="33"/>
        <v>加工BL</v>
      </c>
      <c r="S475">
        <f t="shared" si="34"/>
        <v>180</v>
      </c>
    </row>
    <row r="476" spans="1:19">
      <c r="A476" s="7">
        <v>71636</v>
      </c>
      <c r="B476" s="8" t="s">
        <v>23</v>
      </c>
      <c r="C476" s="9">
        <v>46035</v>
      </c>
      <c r="D476" s="10" t="s">
        <v>27</v>
      </c>
      <c r="E476" s="10" t="s">
        <v>3</v>
      </c>
      <c r="F476" s="11">
        <v>180</v>
      </c>
      <c r="G476" s="12" t="s">
        <v>24</v>
      </c>
      <c r="H476" s="15">
        <v>46035</v>
      </c>
      <c r="I476" s="16" t="s">
        <v>27</v>
      </c>
      <c r="J476" s="16" t="s">
        <v>62</v>
      </c>
      <c r="K476" s="17">
        <v>840</v>
      </c>
      <c r="O476" t="str" cm="1">
        <f t="array" ref="O476">_xlfn.LET(
_xlpm.corp,$I476,_xlpm.key,$M$2:$M$200,_xlpm.name,$N$2:$N$200,_xlpm.hits,_xlfn._xlws.FILTER(_xlpm.name,ISNUMBER(SEARCH(_xlpm.key,_xlpm.corp))),
IFERROR(INDEX(_xlpm.hits,1),_xlpm.corp))</f>
        <v>東レ</v>
      </c>
      <c r="P476" t="str">
        <f t="shared" si="32"/>
        <v>2026-01-13</v>
      </c>
      <c r="Q476" t="str">
        <f t="shared" si="31"/>
        <v>東レ</v>
      </c>
      <c r="R476" t="str">
        <f t="shared" si="33"/>
        <v>ベビーリーフ ロログリーン</v>
      </c>
      <c r="S476">
        <f t="shared" si="34"/>
        <v>840</v>
      </c>
    </row>
    <row r="477" spans="1:19">
      <c r="A477" s="13">
        <v>71635</v>
      </c>
      <c r="B477" s="14" t="s">
        <v>23</v>
      </c>
      <c r="C477" s="15">
        <v>46035</v>
      </c>
      <c r="D477" s="16" t="s">
        <v>27</v>
      </c>
      <c r="E477" s="16" t="s">
        <v>62</v>
      </c>
      <c r="F477" s="17">
        <v>840</v>
      </c>
      <c r="G477" s="18" t="s">
        <v>24</v>
      </c>
      <c r="H477" s="9">
        <v>46035</v>
      </c>
      <c r="I477" s="10" t="s">
        <v>27</v>
      </c>
      <c r="J477" s="10" t="s">
        <v>62</v>
      </c>
      <c r="K477" s="11">
        <v>820</v>
      </c>
      <c r="O477" t="str" cm="1">
        <f t="array" ref="O477">_xlfn.LET(
_xlpm.corp,$I477,_xlpm.key,$M$2:$M$200,_xlpm.name,$N$2:$N$200,_xlpm.hits,_xlfn._xlws.FILTER(_xlpm.name,ISNUMBER(SEARCH(_xlpm.key,_xlpm.corp))),
IFERROR(INDEX(_xlpm.hits,1),_xlpm.corp))</f>
        <v>東レ</v>
      </c>
      <c r="P477" t="str">
        <f t="shared" si="32"/>
        <v>2026-01-13</v>
      </c>
      <c r="Q477" t="str">
        <f t="shared" si="31"/>
        <v>東レ</v>
      </c>
      <c r="R477" t="str">
        <f t="shared" si="33"/>
        <v>ベビーリーフ ロログリーン</v>
      </c>
      <c r="S477">
        <f t="shared" si="34"/>
        <v>820</v>
      </c>
    </row>
    <row r="478" spans="1:19">
      <c r="A478" s="7">
        <v>71634</v>
      </c>
      <c r="B478" s="8" t="s">
        <v>23</v>
      </c>
      <c r="C478" s="9">
        <v>46035</v>
      </c>
      <c r="D478" s="10" t="s">
        <v>27</v>
      </c>
      <c r="E478" s="10" t="s">
        <v>62</v>
      </c>
      <c r="F478" s="11">
        <v>820</v>
      </c>
      <c r="G478" s="12" t="s">
        <v>24</v>
      </c>
      <c r="H478" s="15">
        <v>46035</v>
      </c>
      <c r="I478" s="16" t="s">
        <v>67</v>
      </c>
      <c r="J478" s="16" t="s">
        <v>2</v>
      </c>
      <c r="K478" s="17">
        <v>360</v>
      </c>
      <c r="O478" t="str" cm="1">
        <f t="array" ref="O478">_xlfn.LET(
_xlpm.corp,$I478,_xlpm.key,$M$2:$M$200,_xlpm.name,$N$2:$N$200,_xlpm.hits,_xlfn._xlws.FILTER(_xlpm.name,ISNUMBER(SEARCH(_xlpm.key,_xlpm.corp))),
IFERROR(INDEX(_xlpm.hits,1),_xlpm.corp))</f>
        <v>日本ロレアル</v>
      </c>
      <c r="P478" t="str">
        <f t="shared" si="32"/>
        <v>2026-01-13</v>
      </c>
      <c r="Q478" t="str">
        <f t="shared" si="31"/>
        <v>日本ロレアル</v>
      </c>
      <c r="R478" t="str">
        <f t="shared" si="33"/>
        <v>ベビーリーフ グリーンオーク</v>
      </c>
      <c r="S478">
        <f t="shared" si="34"/>
        <v>360</v>
      </c>
    </row>
    <row r="479" spans="1:19">
      <c r="A479" s="13">
        <v>71633</v>
      </c>
      <c r="B479" s="14" t="s">
        <v>23</v>
      </c>
      <c r="C479" s="15">
        <v>46035</v>
      </c>
      <c r="D479" s="16" t="s">
        <v>67</v>
      </c>
      <c r="E479" s="16" t="s">
        <v>2</v>
      </c>
      <c r="F479" s="17">
        <v>360</v>
      </c>
      <c r="G479" s="18" t="s">
        <v>24</v>
      </c>
      <c r="H479" s="9">
        <v>46035</v>
      </c>
      <c r="I479" s="10" t="s">
        <v>26</v>
      </c>
      <c r="J479" s="10" t="s">
        <v>3</v>
      </c>
      <c r="K479" s="11">
        <v>60</v>
      </c>
      <c r="O479" t="str" cm="1">
        <f t="array" ref="O479">_xlfn.LET(
_xlpm.corp,$I479,_xlpm.key,$M$2:$M$200,_xlpm.name,$N$2:$N$200,_xlpm.hits,_xlfn._xlws.FILTER(_xlpm.name,ISNUMBER(SEARCH(_xlpm.key,_xlpm.corp))),
IFERROR(INDEX(_xlpm.hits,1),_xlpm.corp))</f>
        <v>日建</v>
      </c>
      <c r="P479" t="str">
        <f t="shared" si="32"/>
        <v>2026-01-13</v>
      </c>
      <c r="Q479" t="str">
        <f t="shared" si="31"/>
        <v>日建/加工BL</v>
      </c>
      <c r="R479" t="str">
        <f t="shared" si="33"/>
        <v>加工BL</v>
      </c>
      <c r="S479">
        <f t="shared" si="34"/>
        <v>60</v>
      </c>
    </row>
    <row r="480" spans="1:19">
      <c r="A480" s="7">
        <v>71632</v>
      </c>
      <c r="B480" s="8" t="s">
        <v>23</v>
      </c>
      <c r="C480" s="9">
        <v>46035</v>
      </c>
      <c r="D480" s="10" t="s">
        <v>26</v>
      </c>
      <c r="E480" s="10" t="s">
        <v>3</v>
      </c>
      <c r="F480" s="11">
        <v>60</v>
      </c>
      <c r="G480" s="12" t="s">
        <v>24</v>
      </c>
      <c r="H480" s="15">
        <v>46035</v>
      </c>
      <c r="I480" s="16" t="s">
        <v>65</v>
      </c>
      <c r="J480" s="16" t="s">
        <v>2</v>
      </c>
      <c r="K480" s="17">
        <v>820</v>
      </c>
      <c r="O480" t="str" cm="1">
        <f t="array" ref="O480">_xlfn.LET(
_xlpm.corp,$I480,_xlpm.key,$M$2:$M$200,_xlpm.name,$N$2:$N$200,_xlpm.hits,_xlfn._xlws.FILTER(_xlpm.name,ISNUMBER(SEARCH(_xlpm.key,_xlpm.corp))),
IFERROR(INDEX(_xlpm.hits,1),_xlpm.corp))</f>
        <v>マルテー</v>
      </c>
      <c r="P480" t="str">
        <f t="shared" si="32"/>
        <v>2026-01-13</v>
      </c>
      <c r="Q480" t="str">
        <f t="shared" si="31"/>
        <v>マルテー</v>
      </c>
      <c r="R480" t="str">
        <f t="shared" si="33"/>
        <v>ベビーリーフ グリーンオーク</v>
      </c>
      <c r="S480">
        <f t="shared" si="34"/>
        <v>820</v>
      </c>
    </row>
    <row r="481" spans="1:19">
      <c r="A481" s="13">
        <v>71631</v>
      </c>
      <c r="B481" s="14" t="s">
        <v>23</v>
      </c>
      <c r="C481" s="15">
        <v>46035</v>
      </c>
      <c r="D481" s="16" t="s">
        <v>65</v>
      </c>
      <c r="E481" s="16" t="s">
        <v>2</v>
      </c>
      <c r="F481" s="17">
        <v>820</v>
      </c>
      <c r="G481" s="18" t="s">
        <v>24</v>
      </c>
      <c r="H481" s="9">
        <v>46035</v>
      </c>
      <c r="I481" s="10" t="s">
        <v>72</v>
      </c>
      <c r="J481" s="10" t="s">
        <v>11</v>
      </c>
      <c r="K481" s="11">
        <v>540</v>
      </c>
      <c r="O481" t="str" cm="1">
        <f t="array" ref="O481">_xlfn.LET(
_xlpm.corp,$I481,_xlpm.key,$M$2:$M$200,_xlpm.name,$N$2:$N$200,_xlpm.hits,_xlfn._xlws.FILTER(_xlpm.name,ISNUMBER(SEARCH(_xlpm.key,_xlpm.corp))),
IFERROR(INDEX(_xlpm.hits,1),_xlpm.corp))</f>
        <v>岡部</v>
      </c>
      <c r="P481" t="str">
        <f t="shared" si="32"/>
        <v>2026-01-13</v>
      </c>
      <c r="Q481" t="str">
        <f t="shared" si="31"/>
        <v>岡部</v>
      </c>
      <c r="R481" t="str">
        <f t="shared" si="33"/>
        <v>ベビーリーフ レッドオーク</v>
      </c>
      <c r="S481">
        <f t="shared" si="34"/>
        <v>540</v>
      </c>
    </row>
    <row r="482" spans="1:19">
      <c r="A482" s="7">
        <v>71630</v>
      </c>
      <c r="B482" s="8" t="s">
        <v>23</v>
      </c>
      <c r="C482" s="9">
        <v>46035</v>
      </c>
      <c r="D482" s="10" t="s">
        <v>72</v>
      </c>
      <c r="E482" s="10" t="s">
        <v>11</v>
      </c>
      <c r="F482" s="11">
        <v>540</v>
      </c>
      <c r="G482" s="12" t="s">
        <v>24</v>
      </c>
      <c r="H482" s="15">
        <v>46035</v>
      </c>
      <c r="I482" s="16" t="s">
        <v>26</v>
      </c>
      <c r="J482" s="16" t="s">
        <v>3</v>
      </c>
      <c r="K482" s="17">
        <v>400</v>
      </c>
      <c r="O482" t="str" cm="1">
        <f t="array" ref="O482">_xlfn.LET(
_xlpm.corp,$I482,_xlpm.key,$M$2:$M$200,_xlpm.name,$N$2:$N$200,_xlpm.hits,_xlfn._xlws.FILTER(_xlpm.name,ISNUMBER(SEARCH(_xlpm.key,_xlpm.corp))),
IFERROR(INDEX(_xlpm.hits,1),_xlpm.corp))</f>
        <v>日建</v>
      </c>
      <c r="P482" t="str">
        <f t="shared" si="32"/>
        <v>2026-01-13</v>
      </c>
      <c r="Q482" t="str">
        <f t="shared" si="31"/>
        <v>日建/加工BL</v>
      </c>
      <c r="R482" t="str">
        <f t="shared" si="33"/>
        <v>加工BL</v>
      </c>
      <c r="S482">
        <f t="shared" si="34"/>
        <v>400</v>
      </c>
    </row>
    <row r="483" spans="1:19">
      <c r="A483" s="13">
        <v>71629</v>
      </c>
      <c r="B483" s="14" t="s">
        <v>23</v>
      </c>
      <c r="C483" s="15">
        <v>46035</v>
      </c>
      <c r="D483" s="16" t="s">
        <v>26</v>
      </c>
      <c r="E483" s="16" t="s">
        <v>3</v>
      </c>
      <c r="F483" s="17">
        <v>400</v>
      </c>
      <c r="G483" s="18" t="s">
        <v>24</v>
      </c>
      <c r="H483" s="9">
        <v>46035</v>
      </c>
      <c r="I483" s="10" t="s">
        <v>26</v>
      </c>
      <c r="J483" s="10" t="s">
        <v>2</v>
      </c>
      <c r="K483" s="11">
        <v>320</v>
      </c>
      <c r="O483" t="str" cm="1">
        <f t="array" ref="O483">_xlfn.LET(
_xlpm.corp,$I483,_xlpm.key,$M$2:$M$200,_xlpm.name,$N$2:$N$200,_xlpm.hits,_xlfn._xlws.FILTER(_xlpm.name,ISNUMBER(SEARCH(_xlpm.key,_xlpm.corp))),
IFERROR(INDEX(_xlpm.hits,1),_xlpm.corp))</f>
        <v>日建</v>
      </c>
      <c r="P483" t="str">
        <f t="shared" si="32"/>
        <v>2026-01-13</v>
      </c>
      <c r="Q483" t="str">
        <f t="shared" si="31"/>
        <v>日建</v>
      </c>
      <c r="R483" t="str">
        <f t="shared" si="33"/>
        <v>ベビーリーフ グリーンオーク</v>
      </c>
      <c r="S483">
        <f t="shared" si="34"/>
        <v>320</v>
      </c>
    </row>
    <row r="484" spans="1:19">
      <c r="A484" s="7">
        <v>71628</v>
      </c>
      <c r="B484" s="8" t="s">
        <v>23</v>
      </c>
      <c r="C484" s="9">
        <v>46035</v>
      </c>
      <c r="D484" s="10" t="s">
        <v>26</v>
      </c>
      <c r="E484" s="10" t="s">
        <v>2</v>
      </c>
      <c r="F484" s="11">
        <v>320</v>
      </c>
      <c r="G484" s="12" t="s">
        <v>24</v>
      </c>
      <c r="H484" s="15">
        <v>46035</v>
      </c>
      <c r="I484" s="16" t="s">
        <v>69</v>
      </c>
      <c r="J484" s="16" t="s">
        <v>3</v>
      </c>
      <c r="K484" s="17">
        <v>280</v>
      </c>
      <c r="O484" t="str" cm="1">
        <f t="array" ref="O484">_xlfn.LET(
_xlpm.corp,$I484,_xlpm.key,$M$2:$M$200,_xlpm.name,$N$2:$N$200,_xlpm.hits,_xlfn._xlws.FILTER(_xlpm.name,ISNUMBER(SEARCH(_xlpm.key,_xlpm.corp))),
IFERROR(INDEX(_xlpm.hits,1),_xlpm.corp))</f>
        <v>バリュエンス</v>
      </c>
      <c r="P484" t="str">
        <f t="shared" si="32"/>
        <v>2026-01-13</v>
      </c>
      <c r="Q484" t="str">
        <f t="shared" si="31"/>
        <v>バリュエンス/加工BL</v>
      </c>
      <c r="R484" t="str">
        <f t="shared" si="33"/>
        <v>加工BL</v>
      </c>
      <c r="S484">
        <f t="shared" si="34"/>
        <v>280</v>
      </c>
    </row>
    <row r="485" spans="1:19">
      <c r="A485" s="13">
        <v>71627</v>
      </c>
      <c r="B485" s="14" t="s">
        <v>23</v>
      </c>
      <c r="C485" s="15">
        <v>46035</v>
      </c>
      <c r="D485" s="16" t="s">
        <v>69</v>
      </c>
      <c r="E485" s="16" t="s">
        <v>3</v>
      </c>
      <c r="F485" s="17">
        <v>280</v>
      </c>
      <c r="G485" s="18" t="s">
        <v>24</v>
      </c>
      <c r="H485" s="9">
        <v>46035</v>
      </c>
      <c r="I485" s="10" t="s">
        <v>59</v>
      </c>
      <c r="J485" s="10" t="s">
        <v>2</v>
      </c>
      <c r="K485" s="11">
        <v>280</v>
      </c>
      <c r="O485" t="str" cm="1">
        <f t="array" ref="O485">_xlfn.LET(
_xlpm.corp,$I485,_xlpm.key,$M$2:$M$200,_xlpm.name,$N$2:$N$200,_xlpm.hits,_xlfn._xlws.FILTER(_xlpm.name,ISNUMBER(SEARCH(_xlpm.key,_xlpm.corp))),
IFERROR(INDEX(_xlpm.hits,1),_xlpm.corp))</f>
        <v>三和</v>
      </c>
      <c r="P485" t="str">
        <f t="shared" si="32"/>
        <v>2026-01-13</v>
      </c>
      <c r="Q485" t="str">
        <f t="shared" si="31"/>
        <v>三和</v>
      </c>
      <c r="R485" t="str">
        <f t="shared" si="33"/>
        <v>ベビーリーフ グリーンオーク</v>
      </c>
      <c r="S485">
        <f t="shared" si="34"/>
        <v>280</v>
      </c>
    </row>
    <row r="486" spans="1:19">
      <c r="A486" s="7">
        <v>71626</v>
      </c>
      <c r="B486" s="8" t="s">
        <v>23</v>
      </c>
      <c r="C486" s="9">
        <v>46035</v>
      </c>
      <c r="D486" s="10" t="s">
        <v>59</v>
      </c>
      <c r="E486" s="10" t="s">
        <v>2</v>
      </c>
      <c r="F486" s="11">
        <v>280</v>
      </c>
      <c r="G486" s="12" t="s">
        <v>24</v>
      </c>
      <c r="H486" s="15">
        <v>46035</v>
      </c>
      <c r="I486" s="16" t="s">
        <v>58</v>
      </c>
      <c r="J486" s="16" t="s">
        <v>73</v>
      </c>
      <c r="K486" s="19">
        <v>4380</v>
      </c>
      <c r="O486" t="str" cm="1">
        <f t="array" ref="O486">_xlfn.LET(
_xlpm.corp,$I486,_xlpm.key,$M$2:$M$200,_xlpm.name,$N$2:$N$200,_xlpm.hits,_xlfn._xlws.FILTER(_xlpm.name,ISNUMBER(SEARCH(_xlpm.key,_xlpm.corp))),
IFERROR(INDEX(_xlpm.hits,1),_xlpm.corp))</f>
        <v>慈誠会</v>
      </c>
      <c r="P486" t="str">
        <f t="shared" si="32"/>
        <v>2026-01-13</v>
      </c>
      <c r="Q486" t="str">
        <f t="shared" si="31"/>
        <v>慈誠会/葉物野菜</v>
      </c>
      <c r="R486" t="str">
        <f t="shared" si="33"/>
        <v>ラディッシュ</v>
      </c>
      <c r="S486">
        <f t="shared" si="34"/>
        <v>4380</v>
      </c>
    </row>
    <row r="487" spans="1:19">
      <c r="A487" s="13">
        <v>71625</v>
      </c>
      <c r="B487" s="14" t="s">
        <v>23</v>
      </c>
      <c r="C487" s="15">
        <v>46035</v>
      </c>
      <c r="D487" s="16" t="s">
        <v>58</v>
      </c>
      <c r="E487" s="16" t="s">
        <v>73</v>
      </c>
      <c r="F487" s="19">
        <v>4380</v>
      </c>
      <c r="G487" s="18" t="s">
        <v>24</v>
      </c>
      <c r="H487" s="9">
        <v>46035</v>
      </c>
      <c r="I487" s="10" t="s">
        <v>27</v>
      </c>
      <c r="J487" s="10" t="s">
        <v>2</v>
      </c>
      <c r="K487" s="11">
        <v>220</v>
      </c>
      <c r="O487" t="str" cm="1">
        <f t="array" ref="O487">_xlfn.LET(
_xlpm.corp,$I487,_xlpm.key,$M$2:$M$200,_xlpm.name,$N$2:$N$200,_xlpm.hits,_xlfn._xlws.FILTER(_xlpm.name,ISNUMBER(SEARCH(_xlpm.key,_xlpm.corp))),
IFERROR(INDEX(_xlpm.hits,1),_xlpm.corp))</f>
        <v>東レ</v>
      </c>
      <c r="P487" t="str">
        <f t="shared" si="32"/>
        <v>2026-01-13</v>
      </c>
      <c r="Q487" t="str">
        <f t="shared" si="31"/>
        <v>東レ</v>
      </c>
      <c r="R487" t="str">
        <f t="shared" si="33"/>
        <v>ベビーリーフ グリーンオーク</v>
      </c>
      <c r="S487">
        <f t="shared" si="34"/>
        <v>220</v>
      </c>
    </row>
    <row r="488" spans="1:19">
      <c r="A488" s="7">
        <v>71624</v>
      </c>
      <c r="B488" s="8" t="s">
        <v>23</v>
      </c>
      <c r="C488" s="9">
        <v>46035</v>
      </c>
      <c r="D488" s="10" t="s">
        <v>27</v>
      </c>
      <c r="E488" s="10" t="s">
        <v>2</v>
      </c>
      <c r="F488" s="11">
        <v>220</v>
      </c>
      <c r="G488" s="12" t="s">
        <v>24</v>
      </c>
      <c r="H488" s="15">
        <v>46035</v>
      </c>
      <c r="I488" s="16" t="s">
        <v>72</v>
      </c>
      <c r="J488" s="16" t="s">
        <v>11</v>
      </c>
      <c r="K488" s="17">
        <v>480</v>
      </c>
      <c r="O488" t="str" cm="1">
        <f t="array" ref="O488">_xlfn.LET(
_xlpm.corp,$I488,_xlpm.key,$M$2:$M$200,_xlpm.name,$N$2:$N$200,_xlpm.hits,_xlfn._xlws.FILTER(_xlpm.name,ISNUMBER(SEARCH(_xlpm.key,_xlpm.corp))),
IFERROR(INDEX(_xlpm.hits,1),_xlpm.corp))</f>
        <v>岡部</v>
      </c>
      <c r="P488" t="str">
        <f t="shared" si="32"/>
        <v>2026-01-13</v>
      </c>
      <c r="Q488" t="str">
        <f t="shared" si="31"/>
        <v>岡部</v>
      </c>
      <c r="R488" t="str">
        <f t="shared" si="33"/>
        <v>ベビーリーフ レッドオーク</v>
      </c>
      <c r="S488">
        <f t="shared" si="34"/>
        <v>480</v>
      </c>
    </row>
    <row r="489" spans="1:19">
      <c r="A489" s="13">
        <v>71623</v>
      </c>
      <c r="B489" s="14" t="s">
        <v>23</v>
      </c>
      <c r="C489" s="15">
        <v>46035</v>
      </c>
      <c r="D489" s="16" t="s">
        <v>72</v>
      </c>
      <c r="E489" s="16" t="s">
        <v>11</v>
      </c>
      <c r="F489" s="17">
        <v>480</v>
      </c>
      <c r="G489" s="18" t="s">
        <v>24</v>
      </c>
      <c r="H489" s="9">
        <v>46035</v>
      </c>
      <c r="I489" s="10" t="s">
        <v>72</v>
      </c>
      <c r="J489" s="10" t="s">
        <v>2</v>
      </c>
      <c r="K489" s="11">
        <v>980</v>
      </c>
      <c r="O489" t="str" cm="1">
        <f t="array" ref="O489">_xlfn.LET(
_xlpm.corp,$I489,_xlpm.key,$M$2:$M$200,_xlpm.name,$N$2:$N$200,_xlpm.hits,_xlfn._xlws.FILTER(_xlpm.name,ISNUMBER(SEARCH(_xlpm.key,_xlpm.corp))),
IFERROR(INDEX(_xlpm.hits,1),_xlpm.corp))</f>
        <v>岡部</v>
      </c>
      <c r="P489" t="str">
        <f t="shared" si="32"/>
        <v>2026-01-13</v>
      </c>
      <c r="Q489" t="str">
        <f t="shared" si="31"/>
        <v>岡部</v>
      </c>
      <c r="R489" t="str">
        <f t="shared" si="33"/>
        <v>ベビーリーフ グリーンオーク</v>
      </c>
      <c r="S489">
        <f t="shared" si="34"/>
        <v>980</v>
      </c>
    </row>
    <row r="490" spans="1:19">
      <c r="A490" s="7">
        <v>71622</v>
      </c>
      <c r="B490" s="8" t="s">
        <v>23</v>
      </c>
      <c r="C490" s="9">
        <v>46035</v>
      </c>
      <c r="D490" s="10" t="s">
        <v>72</v>
      </c>
      <c r="E490" s="10" t="s">
        <v>2</v>
      </c>
      <c r="F490" s="11">
        <v>980</v>
      </c>
      <c r="G490" s="12" t="s">
        <v>24</v>
      </c>
      <c r="H490" s="15">
        <v>46035</v>
      </c>
      <c r="I490" s="16" t="s">
        <v>61</v>
      </c>
      <c r="J490" s="16" t="s">
        <v>62</v>
      </c>
      <c r="K490" s="19">
        <v>1300</v>
      </c>
      <c r="O490" t="str" cm="1">
        <f t="array" ref="O490">_xlfn.LET(
_xlpm.corp,$I490,_xlpm.key,$M$2:$M$200,_xlpm.name,$N$2:$N$200,_xlpm.hits,_xlfn._xlws.FILTER(_xlpm.name,ISNUMBER(SEARCH(_xlpm.key,_xlpm.corp))),
IFERROR(INDEX(_xlpm.hits,1),_xlpm.corp))</f>
        <v>Adobe</v>
      </c>
      <c r="P490" t="str">
        <f t="shared" si="32"/>
        <v>2026-01-13</v>
      </c>
      <c r="Q490" t="str">
        <f t="shared" si="31"/>
        <v>Adobe</v>
      </c>
      <c r="R490" t="str">
        <f t="shared" si="33"/>
        <v>ベビーリーフ ロログリーン</v>
      </c>
      <c r="S490">
        <f t="shared" si="34"/>
        <v>1300</v>
      </c>
    </row>
    <row r="491" spans="1:19">
      <c r="A491" s="13">
        <v>71621</v>
      </c>
      <c r="B491" s="14" t="s">
        <v>23</v>
      </c>
      <c r="C491" s="15">
        <v>46035</v>
      </c>
      <c r="D491" s="16" t="s">
        <v>61</v>
      </c>
      <c r="E491" s="16" t="s">
        <v>62</v>
      </c>
      <c r="F491" s="19">
        <v>1300</v>
      </c>
      <c r="G491" s="18" t="s">
        <v>24</v>
      </c>
      <c r="H491" s="9">
        <v>46035</v>
      </c>
      <c r="I491" s="10" t="s">
        <v>69</v>
      </c>
      <c r="J491" s="10" t="s">
        <v>9</v>
      </c>
      <c r="K491" s="11">
        <v>280</v>
      </c>
      <c r="O491" t="str" cm="1">
        <f t="array" ref="O491">_xlfn.LET(
_xlpm.corp,$I491,_xlpm.key,$M$2:$M$200,_xlpm.name,$N$2:$N$200,_xlpm.hits,_xlfn._xlws.FILTER(_xlpm.name,ISNUMBER(SEARCH(_xlpm.key,_xlpm.corp))),
IFERROR(INDEX(_xlpm.hits,1),_xlpm.corp))</f>
        <v>バリュエンス</v>
      </c>
      <c r="P491" t="str">
        <f t="shared" si="32"/>
        <v>2026-01-13</v>
      </c>
      <c r="Q491" t="str">
        <f t="shared" si="31"/>
        <v>バリュエンス</v>
      </c>
      <c r="R491" t="str">
        <f t="shared" si="33"/>
        <v>ベビーリーフ ロロロッサ</v>
      </c>
      <c r="S491">
        <f t="shared" si="34"/>
        <v>280</v>
      </c>
    </row>
    <row r="492" spans="1:19">
      <c r="A492" s="7">
        <v>71620</v>
      </c>
      <c r="B492" s="8" t="s">
        <v>23</v>
      </c>
      <c r="C492" s="9">
        <v>46035</v>
      </c>
      <c r="D492" s="10" t="s">
        <v>69</v>
      </c>
      <c r="E492" s="10" t="s">
        <v>9</v>
      </c>
      <c r="F492" s="11">
        <v>280</v>
      </c>
      <c r="G492" s="12" t="s">
        <v>24</v>
      </c>
      <c r="H492" s="15">
        <v>46035</v>
      </c>
      <c r="I492" s="16" t="s">
        <v>63</v>
      </c>
      <c r="J492" s="16" t="s">
        <v>62</v>
      </c>
      <c r="K492" s="17">
        <v>820</v>
      </c>
      <c r="O492" t="str" cm="1">
        <f t="array" ref="O492">_xlfn.LET(
_xlpm.corp,$I492,_xlpm.key,$M$2:$M$200,_xlpm.name,$N$2:$N$200,_xlpm.hits,_xlfn._xlws.FILTER(_xlpm.name,ISNUMBER(SEARCH(_xlpm.key,_xlpm.corp))),
IFERROR(INDEX(_xlpm.hits,1),_xlpm.corp))</f>
        <v>富士機材</v>
      </c>
      <c r="P492" t="str">
        <f t="shared" si="32"/>
        <v>2026-01-13</v>
      </c>
      <c r="Q492" t="str">
        <f t="shared" si="31"/>
        <v>富士機材</v>
      </c>
      <c r="R492" t="str">
        <f t="shared" si="33"/>
        <v>ベビーリーフ ロログリーン</v>
      </c>
      <c r="S492">
        <f t="shared" si="34"/>
        <v>820</v>
      </c>
    </row>
    <row r="493" spans="1:19">
      <c r="A493" s="13">
        <v>71619</v>
      </c>
      <c r="B493" s="14" t="s">
        <v>23</v>
      </c>
      <c r="C493" s="15">
        <v>46035</v>
      </c>
      <c r="D493" s="16" t="s">
        <v>63</v>
      </c>
      <c r="E493" s="16" t="s">
        <v>62</v>
      </c>
      <c r="F493" s="17">
        <v>820</v>
      </c>
      <c r="G493" s="18" t="s">
        <v>24</v>
      </c>
      <c r="H493" s="9">
        <v>46035</v>
      </c>
      <c r="I493" s="10" t="s">
        <v>65</v>
      </c>
      <c r="J493" s="10" t="s">
        <v>2</v>
      </c>
      <c r="K493" s="20">
        <v>1540</v>
      </c>
      <c r="O493" t="str" cm="1">
        <f t="array" ref="O493">_xlfn.LET(
_xlpm.corp,$I493,_xlpm.key,$M$2:$M$200,_xlpm.name,$N$2:$N$200,_xlpm.hits,_xlfn._xlws.FILTER(_xlpm.name,ISNUMBER(SEARCH(_xlpm.key,_xlpm.corp))),
IFERROR(INDEX(_xlpm.hits,1),_xlpm.corp))</f>
        <v>マルテー</v>
      </c>
      <c r="P493" t="str">
        <f t="shared" si="32"/>
        <v>2026-01-13</v>
      </c>
      <c r="Q493" t="str">
        <f t="shared" si="31"/>
        <v>マルテー</v>
      </c>
      <c r="R493" t="str">
        <f t="shared" si="33"/>
        <v>ベビーリーフ グリーンオーク</v>
      </c>
      <c r="S493">
        <f t="shared" si="34"/>
        <v>1540</v>
      </c>
    </row>
    <row r="494" spans="1:19">
      <c r="A494" s="7">
        <v>71618</v>
      </c>
      <c r="B494" s="8" t="s">
        <v>23</v>
      </c>
      <c r="C494" s="9">
        <v>46035</v>
      </c>
      <c r="D494" s="10" t="s">
        <v>65</v>
      </c>
      <c r="E494" s="10" t="s">
        <v>2</v>
      </c>
      <c r="F494" s="20">
        <v>1540</v>
      </c>
      <c r="G494" s="12" t="s">
        <v>24</v>
      </c>
      <c r="H494" s="15">
        <v>46035</v>
      </c>
      <c r="I494" s="16" t="s">
        <v>58</v>
      </c>
      <c r="J494" s="16" t="s">
        <v>9</v>
      </c>
      <c r="K494" s="17">
        <v>820</v>
      </c>
      <c r="O494" t="str" cm="1">
        <f t="array" ref="O494">_xlfn.LET(
_xlpm.corp,$I494,_xlpm.key,$M$2:$M$200,_xlpm.name,$N$2:$N$200,_xlpm.hits,_xlfn._xlws.FILTER(_xlpm.name,ISNUMBER(SEARCH(_xlpm.key,_xlpm.corp))),
IFERROR(INDEX(_xlpm.hits,1),_xlpm.corp))</f>
        <v>慈誠会</v>
      </c>
      <c r="P494" t="str">
        <f t="shared" si="32"/>
        <v>2026-01-13</v>
      </c>
      <c r="Q494" t="str">
        <f t="shared" si="31"/>
        <v>慈誠会</v>
      </c>
      <c r="R494" t="str">
        <f t="shared" si="33"/>
        <v>ベビーリーフ ロロロッサ</v>
      </c>
      <c r="S494">
        <f t="shared" si="34"/>
        <v>820</v>
      </c>
    </row>
    <row r="495" spans="1:19">
      <c r="A495" s="13">
        <v>71617</v>
      </c>
      <c r="B495" s="14" t="s">
        <v>23</v>
      </c>
      <c r="C495" s="15">
        <v>46035</v>
      </c>
      <c r="D495" s="16" t="s">
        <v>58</v>
      </c>
      <c r="E495" s="16" t="s">
        <v>9</v>
      </c>
      <c r="F495" s="17">
        <v>820</v>
      </c>
      <c r="G495" s="18" t="s">
        <v>24</v>
      </c>
      <c r="H495" s="9">
        <v>46035</v>
      </c>
      <c r="I495" s="10" t="s">
        <v>27</v>
      </c>
      <c r="J495" s="10" t="s">
        <v>3</v>
      </c>
      <c r="K495" s="11">
        <v>320</v>
      </c>
      <c r="O495" t="str" cm="1">
        <f t="array" ref="O495">_xlfn.LET(
_xlpm.corp,$I495,_xlpm.key,$M$2:$M$200,_xlpm.name,$N$2:$N$200,_xlpm.hits,_xlfn._xlws.FILTER(_xlpm.name,ISNUMBER(SEARCH(_xlpm.key,_xlpm.corp))),
IFERROR(INDEX(_xlpm.hits,1),_xlpm.corp))</f>
        <v>東レ</v>
      </c>
      <c r="P495" t="str">
        <f t="shared" si="32"/>
        <v>2026-01-13</v>
      </c>
      <c r="Q495" t="str">
        <f t="shared" si="31"/>
        <v>東レ/加工BL</v>
      </c>
      <c r="R495" t="str">
        <f t="shared" si="33"/>
        <v>加工BL</v>
      </c>
      <c r="S495">
        <f t="shared" si="34"/>
        <v>320</v>
      </c>
    </row>
    <row r="496" spans="1:19">
      <c r="A496" s="7">
        <v>71616</v>
      </c>
      <c r="B496" s="8" t="s">
        <v>23</v>
      </c>
      <c r="C496" s="9">
        <v>46035</v>
      </c>
      <c r="D496" s="10" t="s">
        <v>27</v>
      </c>
      <c r="E496" s="10" t="s">
        <v>3</v>
      </c>
      <c r="F496" s="11">
        <v>320</v>
      </c>
      <c r="G496" s="12" t="s">
        <v>24</v>
      </c>
      <c r="H496" s="15">
        <v>46035</v>
      </c>
      <c r="I496" s="16" t="s">
        <v>27</v>
      </c>
      <c r="J496" s="16" t="s">
        <v>2</v>
      </c>
      <c r="K496" s="17">
        <v>980</v>
      </c>
      <c r="O496" t="str" cm="1">
        <f t="array" ref="O496">_xlfn.LET(
_xlpm.corp,$I496,_xlpm.key,$M$2:$M$200,_xlpm.name,$N$2:$N$200,_xlpm.hits,_xlfn._xlws.FILTER(_xlpm.name,ISNUMBER(SEARCH(_xlpm.key,_xlpm.corp))),
IFERROR(INDEX(_xlpm.hits,1),_xlpm.corp))</f>
        <v>東レ</v>
      </c>
      <c r="P496" t="str">
        <f t="shared" si="32"/>
        <v>2026-01-13</v>
      </c>
      <c r="Q496" t="str">
        <f t="shared" si="31"/>
        <v>東レ</v>
      </c>
      <c r="R496" t="str">
        <f t="shared" si="33"/>
        <v>ベビーリーフ グリーンオーク</v>
      </c>
      <c r="S496">
        <f t="shared" si="34"/>
        <v>980</v>
      </c>
    </row>
    <row r="497" spans="1:19">
      <c r="A497" s="13">
        <v>71615</v>
      </c>
      <c r="B497" s="14" t="s">
        <v>23</v>
      </c>
      <c r="C497" s="15">
        <v>46035</v>
      </c>
      <c r="D497" s="16" t="s">
        <v>27</v>
      </c>
      <c r="E497" s="16" t="s">
        <v>2</v>
      </c>
      <c r="F497" s="17">
        <v>980</v>
      </c>
      <c r="G497" s="18" t="s">
        <v>24</v>
      </c>
      <c r="H497" s="9">
        <v>46035</v>
      </c>
      <c r="I497" s="10" t="s">
        <v>27</v>
      </c>
      <c r="J497" s="10" t="s">
        <v>62</v>
      </c>
      <c r="K497" s="20">
        <v>1300</v>
      </c>
      <c r="O497" t="str" cm="1">
        <f t="array" ref="O497">_xlfn.LET(
_xlpm.corp,$I497,_xlpm.key,$M$2:$M$200,_xlpm.name,$N$2:$N$200,_xlpm.hits,_xlfn._xlws.FILTER(_xlpm.name,ISNUMBER(SEARCH(_xlpm.key,_xlpm.corp))),
IFERROR(INDEX(_xlpm.hits,1),_xlpm.corp))</f>
        <v>東レ</v>
      </c>
      <c r="P497" t="str">
        <f t="shared" si="32"/>
        <v>2026-01-13</v>
      </c>
      <c r="Q497" t="str">
        <f t="shared" si="31"/>
        <v>東レ</v>
      </c>
      <c r="R497" t="str">
        <f t="shared" si="33"/>
        <v>ベビーリーフ ロログリーン</v>
      </c>
      <c r="S497">
        <f t="shared" si="34"/>
        <v>1300</v>
      </c>
    </row>
    <row r="498" spans="1:19">
      <c r="A498" s="7">
        <v>71614</v>
      </c>
      <c r="B498" s="8" t="s">
        <v>23</v>
      </c>
      <c r="C498" s="9">
        <v>46035</v>
      </c>
      <c r="D498" s="10" t="s">
        <v>27</v>
      </c>
      <c r="E498" s="10" t="s">
        <v>62</v>
      </c>
      <c r="F498" s="20">
        <v>1300</v>
      </c>
      <c r="G498" s="12" t="s">
        <v>24</v>
      </c>
      <c r="H498" s="15">
        <v>46035</v>
      </c>
      <c r="I498" s="16" t="s">
        <v>26</v>
      </c>
      <c r="J498" s="16" t="s">
        <v>3</v>
      </c>
      <c r="K498" s="17">
        <v>60</v>
      </c>
      <c r="O498" t="str" cm="1">
        <f t="array" ref="O498">_xlfn.LET(
_xlpm.corp,$I498,_xlpm.key,$M$2:$M$200,_xlpm.name,$N$2:$N$200,_xlpm.hits,_xlfn._xlws.FILTER(_xlpm.name,ISNUMBER(SEARCH(_xlpm.key,_xlpm.corp))),
IFERROR(INDEX(_xlpm.hits,1),_xlpm.corp))</f>
        <v>日建</v>
      </c>
      <c r="P498" t="str">
        <f t="shared" si="32"/>
        <v>2026-01-13</v>
      </c>
      <c r="Q498" t="str">
        <f t="shared" si="31"/>
        <v>日建/加工BL</v>
      </c>
      <c r="R498" t="str">
        <f t="shared" si="33"/>
        <v>加工BL</v>
      </c>
      <c r="S498">
        <f t="shared" si="34"/>
        <v>60</v>
      </c>
    </row>
    <row r="499" spans="1:19">
      <c r="A499" s="13">
        <v>71613</v>
      </c>
      <c r="B499" s="14" t="s">
        <v>23</v>
      </c>
      <c r="C499" s="15">
        <v>46035</v>
      </c>
      <c r="D499" s="16" t="s">
        <v>26</v>
      </c>
      <c r="E499" s="16" t="s">
        <v>3</v>
      </c>
      <c r="F499" s="17">
        <v>60</v>
      </c>
      <c r="G499" s="18" t="s">
        <v>24</v>
      </c>
      <c r="H499" s="9">
        <v>46035</v>
      </c>
      <c r="I499" s="10" t="s">
        <v>26</v>
      </c>
      <c r="J499" s="10" t="s">
        <v>4</v>
      </c>
      <c r="K499" s="11">
        <v>60</v>
      </c>
      <c r="O499" t="str" cm="1">
        <f t="array" ref="O499">_xlfn.LET(
_xlpm.corp,$I499,_xlpm.key,$M$2:$M$200,_xlpm.name,$N$2:$N$200,_xlpm.hits,_xlfn._xlws.FILTER(_xlpm.name,ISNUMBER(SEARCH(_xlpm.key,_xlpm.corp))),
IFERROR(INDEX(_xlpm.hits,1),_xlpm.corp))</f>
        <v>日建</v>
      </c>
      <c r="P499" t="str">
        <f t="shared" si="32"/>
        <v>2026-01-13</v>
      </c>
      <c r="Q499" t="str">
        <f t="shared" si="31"/>
        <v>日建</v>
      </c>
      <c r="R499" t="str">
        <f t="shared" si="33"/>
        <v>ベビーリーフ ピノグリーン</v>
      </c>
      <c r="S499">
        <f t="shared" si="34"/>
        <v>60</v>
      </c>
    </row>
    <row r="500" spans="1:19">
      <c r="A500" s="7">
        <v>71612</v>
      </c>
      <c r="B500" s="8" t="s">
        <v>23</v>
      </c>
      <c r="C500" s="9">
        <v>46035</v>
      </c>
      <c r="D500" s="10" t="s">
        <v>26</v>
      </c>
      <c r="E500" s="10" t="s">
        <v>4</v>
      </c>
      <c r="F500" s="11">
        <v>60</v>
      </c>
      <c r="G500" s="12" t="s">
        <v>24</v>
      </c>
      <c r="H500" s="15">
        <v>46035</v>
      </c>
      <c r="I500" s="16" t="s">
        <v>70</v>
      </c>
      <c r="J500" s="16" t="s">
        <v>9</v>
      </c>
      <c r="K500" s="19">
        <v>1540</v>
      </c>
      <c r="O500" t="str" cm="1">
        <f t="array" ref="O500">_xlfn.LET(
_xlpm.corp,$I500,_xlpm.key,$M$2:$M$200,_xlpm.name,$N$2:$N$200,_xlpm.hits,_xlfn._xlws.FILTER(_xlpm.name,ISNUMBER(SEARCH(_xlpm.key,_xlpm.corp))),
IFERROR(INDEX(_xlpm.hits,1),_xlpm.corp))</f>
        <v>富士機械</v>
      </c>
      <c r="P500" t="str">
        <f t="shared" si="32"/>
        <v>2026-01-13</v>
      </c>
      <c r="Q500" t="str">
        <f t="shared" si="31"/>
        <v>富士機械</v>
      </c>
      <c r="R500" t="str">
        <f t="shared" si="33"/>
        <v>ベビーリーフ ロロロッサ</v>
      </c>
      <c r="S500">
        <f t="shared" si="34"/>
        <v>1540</v>
      </c>
    </row>
    <row r="501" spans="1:19">
      <c r="A501" s="13">
        <v>71611</v>
      </c>
      <c r="B501" s="14" t="s">
        <v>23</v>
      </c>
      <c r="C501" s="15">
        <v>46035</v>
      </c>
      <c r="D501" s="16" t="s">
        <v>70</v>
      </c>
      <c r="E501" s="16" t="s">
        <v>9</v>
      </c>
      <c r="F501" s="19">
        <v>1540</v>
      </c>
      <c r="G501" s="18" t="s">
        <v>24</v>
      </c>
      <c r="H501" s="9">
        <v>46035</v>
      </c>
      <c r="I501" s="10" t="s">
        <v>26</v>
      </c>
      <c r="J501" s="10" t="s">
        <v>9</v>
      </c>
      <c r="K501" s="11">
        <v>200</v>
      </c>
      <c r="O501" t="str" cm="1">
        <f t="array" ref="O501">_xlfn.LET(
_xlpm.corp,$I501,_xlpm.key,$M$2:$M$200,_xlpm.name,$N$2:$N$200,_xlpm.hits,_xlfn._xlws.FILTER(_xlpm.name,ISNUMBER(SEARCH(_xlpm.key,_xlpm.corp))),
IFERROR(INDEX(_xlpm.hits,1),_xlpm.corp))</f>
        <v>日建</v>
      </c>
      <c r="P501" t="str">
        <f t="shared" si="32"/>
        <v>2026-01-13</v>
      </c>
      <c r="Q501" t="str">
        <f t="shared" si="31"/>
        <v>日建</v>
      </c>
      <c r="R501" t="str">
        <f t="shared" si="33"/>
        <v>ベビーリーフ ロロロッサ</v>
      </c>
      <c r="S501">
        <f t="shared" si="34"/>
        <v>200</v>
      </c>
    </row>
    <row r="502" spans="1:19">
      <c r="A502" s="7">
        <v>71610</v>
      </c>
      <c r="B502" s="8" t="s">
        <v>23</v>
      </c>
      <c r="C502" s="9">
        <v>46035</v>
      </c>
      <c r="D502" s="10" t="s">
        <v>26</v>
      </c>
      <c r="E502" s="10" t="s">
        <v>9</v>
      </c>
      <c r="F502" s="11">
        <v>200</v>
      </c>
      <c r="G502" s="12" t="s">
        <v>24</v>
      </c>
      <c r="H502" s="15">
        <v>46035</v>
      </c>
      <c r="I502" s="16" t="s">
        <v>26</v>
      </c>
      <c r="J502" s="16" t="s">
        <v>3</v>
      </c>
      <c r="K502" s="17">
        <v>100</v>
      </c>
      <c r="O502" t="str" cm="1">
        <f t="array" ref="O502">_xlfn.LET(
_xlpm.corp,$I502,_xlpm.key,$M$2:$M$200,_xlpm.name,$N$2:$N$200,_xlpm.hits,_xlfn._xlws.FILTER(_xlpm.name,ISNUMBER(SEARCH(_xlpm.key,_xlpm.corp))),
IFERROR(INDEX(_xlpm.hits,1),_xlpm.corp))</f>
        <v>日建</v>
      </c>
      <c r="P502" t="str">
        <f t="shared" si="32"/>
        <v>2026-01-13</v>
      </c>
      <c r="Q502" t="str">
        <f t="shared" si="31"/>
        <v>日建/加工BL</v>
      </c>
      <c r="R502" t="str">
        <f t="shared" si="33"/>
        <v>加工BL</v>
      </c>
      <c r="S502">
        <f t="shared" si="34"/>
        <v>100</v>
      </c>
    </row>
    <row r="503" spans="1:19">
      <c r="A503" s="13">
        <v>71609</v>
      </c>
      <c r="B503" s="14" t="s">
        <v>23</v>
      </c>
      <c r="C503" s="15">
        <v>46035</v>
      </c>
      <c r="D503" s="16" t="s">
        <v>26</v>
      </c>
      <c r="E503" s="16" t="s">
        <v>3</v>
      </c>
      <c r="F503" s="17">
        <v>100</v>
      </c>
      <c r="G503" s="18" t="s">
        <v>24</v>
      </c>
      <c r="H503" s="9">
        <v>46035</v>
      </c>
      <c r="I503" s="10" t="s">
        <v>26</v>
      </c>
      <c r="J503" s="10" t="s">
        <v>2</v>
      </c>
      <c r="K503" s="11">
        <v>280</v>
      </c>
      <c r="O503" t="str" cm="1">
        <f t="array" ref="O503">_xlfn.LET(
_xlpm.corp,$I503,_xlpm.key,$M$2:$M$200,_xlpm.name,$N$2:$N$200,_xlpm.hits,_xlfn._xlws.FILTER(_xlpm.name,ISNUMBER(SEARCH(_xlpm.key,_xlpm.corp))),
IFERROR(INDEX(_xlpm.hits,1),_xlpm.corp))</f>
        <v>日建</v>
      </c>
      <c r="P503" t="str">
        <f t="shared" si="32"/>
        <v>2026-01-13</v>
      </c>
      <c r="Q503" t="str">
        <f t="shared" si="31"/>
        <v>日建</v>
      </c>
      <c r="R503" t="str">
        <f t="shared" si="33"/>
        <v>ベビーリーフ グリーンオーク</v>
      </c>
      <c r="S503">
        <f t="shared" si="34"/>
        <v>280</v>
      </c>
    </row>
    <row r="504" spans="1:19">
      <c r="A504" s="7">
        <v>71608</v>
      </c>
      <c r="B504" s="8" t="s">
        <v>23</v>
      </c>
      <c r="C504" s="9">
        <v>46035</v>
      </c>
      <c r="D504" s="10" t="s">
        <v>26</v>
      </c>
      <c r="E504" s="10" t="s">
        <v>2</v>
      </c>
      <c r="F504" s="11">
        <v>280</v>
      </c>
      <c r="G504" s="12" t="s">
        <v>24</v>
      </c>
      <c r="H504" s="15">
        <v>46035</v>
      </c>
      <c r="I504" s="16" t="s">
        <v>59</v>
      </c>
      <c r="J504" s="16" t="s">
        <v>2</v>
      </c>
      <c r="K504" s="17">
        <v>840</v>
      </c>
      <c r="O504" t="str" cm="1">
        <f t="array" ref="O504">_xlfn.LET(
_xlpm.corp,$I504,_xlpm.key,$M$2:$M$200,_xlpm.name,$N$2:$N$200,_xlpm.hits,_xlfn._xlws.FILTER(_xlpm.name,ISNUMBER(SEARCH(_xlpm.key,_xlpm.corp))),
IFERROR(INDEX(_xlpm.hits,1),_xlpm.corp))</f>
        <v>三和</v>
      </c>
      <c r="P504" t="str">
        <f t="shared" si="32"/>
        <v>2026-01-13</v>
      </c>
      <c r="Q504" t="str">
        <f t="shared" si="31"/>
        <v>三和</v>
      </c>
      <c r="R504" t="str">
        <f t="shared" si="33"/>
        <v>ベビーリーフ グリーンオーク</v>
      </c>
      <c r="S504">
        <f t="shared" si="34"/>
        <v>840</v>
      </c>
    </row>
    <row r="505" spans="1:19">
      <c r="A505" s="13">
        <v>71607</v>
      </c>
      <c r="B505" s="14" t="s">
        <v>23</v>
      </c>
      <c r="C505" s="15">
        <v>46035</v>
      </c>
      <c r="D505" s="16" t="s">
        <v>59</v>
      </c>
      <c r="E505" s="16" t="s">
        <v>2</v>
      </c>
      <c r="F505" s="17">
        <v>840</v>
      </c>
      <c r="G505" s="18" t="s">
        <v>24</v>
      </c>
      <c r="H505" s="9">
        <v>46035</v>
      </c>
      <c r="I505" s="10" t="s">
        <v>59</v>
      </c>
      <c r="J505" s="10" t="s">
        <v>2</v>
      </c>
      <c r="K505" s="20">
        <v>1660</v>
      </c>
      <c r="O505" t="str" cm="1">
        <f t="array" ref="O505">_xlfn.LET(
_xlpm.corp,$I505,_xlpm.key,$M$2:$M$200,_xlpm.name,$N$2:$N$200,_xlpm.hits,_xlfn._xlws.FILTER(_xlpm.name,ISNUMBER(SEARCH(_xlpm.key,_xlpm.corp))),
IFERROR(INDEX(_xlpm.hits,1),_xlpm.corp))</f>
        <v>三和</v>
      </c>
      <c r="P505" t="str">
        <f t="shared" si="32"/>
        <v>2026-01-13</v>
      </c>
      <c r="Q505" t="str">
        <f t="shared" si="31"/>
        <v>三和</v>
      </c>
      <c r="R505" t="str">
        <f t="shared" si="33"/>
        <v>ベビーリーフ グリーンオーク</v>
      </c>
      <c r="S505">
        <f t="shared" si="34"/>
        <v>1660</v>
      </c>
    </row>
    <row r="506" spans="1:19">
      <c r="A506" s="7">
        <v>71606</v>
      </c>
      <c r="B506" s="8" t="s">
        <v>23</v>
      </c>
      <c r="C506" s="9">
        <v>46035</v>
      </c>
      <c r="D506" s="10" t="s">
        <v>59</v>
      </c>
      <c r="E506" s="10" t="s">
        <v>2</v>
      </c>
      <c r="F506" s="20">
        <v>1660</v>
      </c>
      <c r="G506" s="12" t="s">
        <v>24</v>
      </c>
      <c r="H506" s="15">
        <v>46035</v>
      </c>
      <c r="I506" s="16" t="s">
        <v>56</v>
      </c>
      <c r="J506" s="16" t="s">
        <v>2</v>
      </c>
      <c r="K506" s="17">
        <v>220</v>
      </c>
      <c r="O506" t="str" cm="1">
        <f t="array" ref="O506">_xlfn.LET(
_xlpm.corp,$I506,_xlpm.key,$M$2:$M$200,_xlpm.name,$N$2:$N$200,_xlpm.hits,_xlfn._xlws.FILTER(_xlpm.name,ISNUMBER(SEARCH(_xlpm.key,_xlpm.corp))),
IFERROR(INDEX(_xlpm.hits,1),_xlpm.corp))</f>
        <v>サンセイランディック</v>
      </c>
      <c r="P506" t="str">
        <f t="shared" si="32"/>
        <v>2026-01-13</v>
      </c>
      <c r="Q506" t="str">
        <f t="shared" si="31"/>
        <v>サンセイランディック</v>
      </c>
      <c r="R506" t="str">
        <f t="shared" si="33"/>
        <v>ベビーリーフ グリーンオーク</v>
      </c>
      <c r="S506">
        <f t="shared" si="34"/>
        <v>220</v>
      </c>
    </row>
    <row r="507" spans="1:19">
      <c r="A507" s="13">
        <v>71605</v>
      </c>
      <c r="B507" s="14" t="s">
        <v>23</v>
      </c>
      <c r="C507" s="15">
        <v>46035</v>
      </c>
      <c r="D507" s="16" t="s">
        <v>56</v>
      </c>
      <c r="E507" s="16" t="s">
        <v>2</v>
      </c>
      <c r="F507" s="17">
        <v>220</v>
      </c>
      <c r="G507" s="18" t="s">
        <v>24</v>
      </c>
      <c r="H507" s="9">
        <v>46035</v>
      </c>
      <c r="I507" s="10" t="s">
        <v>67</v>
      </c>
      <c r="J507" s="10" t="s">
        <v>3</v>
      </c>
      <c r="K507" s="11">
        <v>60</v>
      </c>
      <c r="O507" t="str" cm="1">
        <f t="array" ref="O507">_xlfn.LET(
_xlpm.corp,$I507,_xlpm.key,$M$2:$M$200,_xlpm.name,$N$2:$N$200,_xlpm.hits,_xlfn._xlws.FILTER(_xlpm.name,ISNUMBER(SEARCH(_xlpm.key,_xlpm.corp))),
IFERROR(INDEX(_xlpm.hits,1),_xlpm.corp))</f>
        <v>日本ロレアル</v>
      </c>
      <c r="P507" t="str">
        <f t="shared" si="32"/>
        <v>2026-01-13</v>
      </c>
      <c r="Q507" t="str">
        <f t="shared" si="31"/>
        <v>日本ロレアル/加工BL</v>
      </c>
      <c r="R507" t="str">
        <f t="shared" si="33"/>
        <v>加工BL</v>
      </c>
      <c r="S507">
        <f t="shared" si="34"/>
        <v>60</v>
      </c>
    </row>
    <row r="508" spans="1:19">
      <c r="A508" s="7">
        <v>71604</v>
      </c>
      <c r="B508" s="8" t="s">
        <v>23</v>
      </c>
      <c r="C508" s="9">
        <v>46035</v>
      </c>
      <c r="D508" s="10" t="s">
        <v>67</v>
      </c>
      <c r="E508" s="10" t="s">
        <v>3</v>
      </c>
      <c r="F508" s="11">
        <v>60</v>
      </c>
      <c r="G508" s="12" t="s">
        <v>24</v>
      </c>
      <c r="H508" s="15">
        <v>46035</v>
      </c>
      <c r="I508" s="16" t="s">
        <v>67</v>
      </c>
      <c r="J508" s="16" t="s">
        <v>2</v>
      </c>
      <c r="K508" s="17">
        <v>240</v>
      </c>
      <c r="O508" t="str" cm="1">
        <f t="array" ref="O508">_xlfn.LET(
_xlpm.corp,$I508,_xlpm.key,$M$2:$M$200,_xlpm.name,$N$2:$N$200,_xlpm.hits,_xlfn._xlws.FILTER(_xlpm.name,ISNUMBER(SEARCH(_xlpm.key,_xlpm.corp))),
IFERROR(INDEX(_xlpm.hits,1),_xlpm.corp))</f>
        <v>日本ロレアル</v>
      </c>
      <c r="P508" t="str">
        <f t="shared" si="32"/>
        <v>2026-01-13</v>
      </c>
      <c r="Q508" t="str">
        <f t="shared" si="31"/>
        <v>日本ロレアル</v>
      </c>
      <c r="R508" t="str">
        <f t="shared" si="33"/>
        <v>ベビーリーフ グリーンオーク</v>
      </c>
      <c r="S508">
        <f t="shared" si="34"/>
        <v>240</v>
      </c>
    </row>
    <row r="509" spans="1:19">
      <c r="A509" s="13">
        <v>71603</v>
      </c>
      <c r="B509" s="14" t="s">
        <v>23</v>
      </c>
      <c r="C509" s="15">
        <v>46035</v>
      </c>
      <c r="D509" s="16" t="s">
        <v>67</v>
      </c>
      <c r="E509" s="16" t="s">
        <v>2</v>
      </c>
      <c r="F509" s="17">
        <v>240</v>
      </c>
      <c r="G509" s="18" t="s">
        <v>24</v>
      </c>
      <c r="H509" s="9">
        <v>46035</v>
      </c>
      <c r="I509" s="10" t="s">
        <v>68</v>
      </c>
      <c r="J509" s="10" t="s">
        <v>3</v>
      </c>
      <c r="K509" s="11">
        <v>100</v>
      </c>
      <c r="O509" t="str" cm="1">
        <f t="array" ref="O509">_xlfn.LET(
_xlpm.corp,$I509,_xlpm.key,$M$2:$M$200,_xlpm.name,$N$2:$N$200,_xlpm.hits,_xlfn._xlws.FILTER(_xlpm.name,ISNUMBER(SEARCH(_xlpm.key,_xlpm.corp))),
IFERROR(INDEX(_xlpm.hits,1),_xlpm.corp))</f>
        <v>昭和女子</v>
      </c>
      <c r="P509" t="str">
        <f t="shared" si="32"/>
        <v>2026-01-13</v>
      </c>
      <c r="Q509" t="str">
        <f t="shared" si="31"/>
        <v>昭和女子/加工BL</v>
      </c>
      <c r="R509" t="str">
        <f t="shared" si="33"/>
        <v>加工BL</v>
      </c>
      <c r="S509">
        <f t="shared" si="34"/>
        <v>100</v>
      </c>
    </row>
    <row r="510" spans="1:19">
      <c r="A510" s="7">
        <v>71602</v>
      </c>
      <c r="B510" s="8" t="s">
        <v>23</v>
      </c>
      <c r="C510" s="9">
        <v>46035</v>
      </c>
      <c r="D510" s="10" t="s">
        <v>68</v>
      </c>
      <c r="E510" s="10" t="s">
        <v>3</v>
      </c>
      <c r="F510" s="11">
        <v>100</v>
      </c>
      <c r="G510" s="12" t="s">
        <v>24</v>
      </c>
      <c r="H510" s="15">
        <v>46035</v>
      </c>
      <c r="I510" s="16" t="s">
        <v>72</v>
      </c>
      <c r="J510" s="16" t="s">
        <v>11</v>
      </c>
      <c r="K510" s="19">
        <v>1680</v>
      </c>
      <c r="O510" t="str" cm="1">
        <f t="array" ref="O510">_xlfn.LET(
_xlpm.corp,$I510,_xlpm.key,$M$2:$M$200,_xlpm.name,$N$2:$N$200,_xlpm.hits,_xlfn._xlws.FILTER(_xlpm.name,ISNUMBER(SEARCH(_xlpm.key,_xlpm.corp))),
IFERROR(INDEX(_xlpm.hits,1),_xlpm.corp))</f>
        <v>岡部</v>
      </c>
      <c r="P510" t="str">
        <f t="shared" si="32"/>
        <v>2026-01-13</v>
      </c>
      <c r="Q510" t="str">
        <f t="shared" si="31"/>
        <v>岡部</v>
      </c>
      <c r="R510" t="str">
        <f t="shared" si="33"/>
        <v>ベビーリーフ レッドオーク</v>
      </c>
      <c r="S510">
        <f t="shared" si="34"/>
        <v>1680</v>
      </c>
    </row>
    <row r="511" spans="1:19">
      <c r="A511" s="13">
        <v>71601</v>
      </c>
      <c r="B511" s="14" t="s">
        <v>23</v>
      </c>
      <c r="C511" s="15">
        <v>46035</v>
      </c>
      <c r="D511" s="16" t="s">
        <v>72</v>
      </c>
      <c r="E511" s="16" t="s">
        <v>11</v>
      </c>
      <c r="F511" s="19">
        <v>1680</v>
      </c>
      <c r="G511" s="18" t="s">
        <v>24</v>
      </c>
      <c r="H511" s="9">
        <v>46035</v>
      </c>
      <c r="I511" s="10" t="s">
        <v>58</v>
      </c>
      <c r="J511" s="10" t="s">
        <v>4</v>
      </c>
      <c r="K511" s="11">
        <v>240</v>
      </c>
      <c r="O511" t="str" cm="1">
        <f t="array" ref="O511">_xlfn.LET(
_xlpm.corp,$I511,_xlpm.key,$M$2:$M$200,_xlpm.name,$N$2:$N$200,_xlpm.hits,_xlfn._xlws.FILTER(_xlpm.name,ISNUMBER(SEARCH(_xlpm.key,_xlpm.corp))),
IFERROR(INDEX(_xlpm.hits,1),_xlpm.corp))</f>
        <v>慈誠会</v>
      </c>
      <c r="P511" t="str">
        <f t="shared" si="32"/>
        <v>2026-01-13</v>
      </c>
      <c r="Q511" t="str">
        <f t="shared" si="31"/>
        <v>慈誠会</v>
      </c>
      <c r="R511" t="str">
        <f t="shared" si="33"/>
        <v>ベビーリーフ ピノグリーン</v>
      </c>
      <c r="S511">
        <f t="shared" si="34"/>
        <v>240</v>
      </c>
    </row>
    <row r="512" spans="1:19">
      <c r="A512" s="7">
        <v>71600</v>
      </c>
      <c r="B512" s="8" t="s">
        <v>23</v>
      </c>
      <c r="C512" s="9">
        <v>46035</v>
      </c>
      <c r="D512" s="10" t="s">
        <v>58</v>
      </c>
      <c r="E512" s="10" t="s">
        <v>4</v>
      </c>
      <c r="F512" s="11">
        <v>240</v>
      </c>
      <c r="G512" s="12" t="s">
        <v>24</v>
      </c>
      <c r="H512" s="15">
        <v>46035</v>
      </c>
      <c r="I512" s="16" t="s">
        <v>26</v>
      </c>
      <c r="J512" s="16" t="s">
        <v>3</v>
      </c>
      <c r="K512" s="17">
        <v>60</v>
      </c>
      <c r="O512" t="str" cm="1">
        <f t="array" ref="O512">_xlfn.LET(
_xlpm.corp,$I512,_xlpm.key,$M$2:$M$200,_xlpm.name,$N$2:$N$200,_xlpm.hits,_xlfn._xlws.FILTER(_xlpm.name,ISNUMBER(SEARCH(_xlpm.key,_xlpm.corp))),
IFERROR(INDEX(_xlpm.hits,1),_xlpm.corp))</f>
        <v>日建</v>
      </c>
      <c r="P512" t="str">
        <f t="shared" si="32"/>
        <v>2026-01-13</v>
      </c>
      <c r="Q512" t="str">
        <f t="shared" si="31"/>
        <v>日建/加工BL</v>
      </c>
      <c r="R512" t="str">
        <f t="shared" si="33"/>
        <v>加工BL</v>
      </c>
      <c r="S512">
        <f t="shared" si="34"/>
        <v>60</v>
      </c>
    </row>
    <row r="513" spans="1:19">
      <c r="A513" s="13">
        <v>71599</v>
      </c>
      <c r="B513" s="14" t="s">
        <v>23</v>
      </c>
      <c r="C513" s="15">
        <v>46035</v>
      </c>
      <c r="D513" s="16" t="s">
        <v>26</v>
      </c>
      <c r="E513" s="16" t="s">
        <v>3</v>
      </c>
      <c r="F513" s="17">
        <v>60</v>
      </c>
      <c r="G513" s="18" t="s">
        <v>24</v>
      </c>
      <c r="H513" s="9">
        <v>46035</v>
      </c>
      <c r="I513" s="10" t="s">
        <v>26</v>
      </c>
      <c r="J513" s="10" t="s">
        <v>3</v>
      </c>
      <c r="K513" s="11">
        <v>100</v>
      </c>
      <c r="O513" t="str" cm="1">
        <f t="array" ref="O513">_xlfn.LET(
_xlpm.corp,$I513,_xlpm.key,$M$2:$M$200,_xlpm.name,$N$2:$N$200,_xlpm.hits,_xlfn._xlws.FILTER(_xlpm.name,ISNUMBER(SEARCH(_xlpm.key,_xlpm.corp))),
IFERROR(INDEX(_xlpm.hits,1),_xlpm.corp))</f>
        <v>日建</v>
      </c>
      <c r="P513" t="str">
        <f t="shared" si="32"/>
        <v>2026-01-13</v>
      </c>
      <c r="Q513" t="str">
        <f t="shared" si="31"/>
        <v>日建/加工BL</v>
      </c>
      <c r="R513" t="str">
        <f t="shared" si="33"/>
        <v>加工BL</v>
      </c>
      <c r="S513">
        <f t="shared" si="34"/>
        <v>100</v>
      </c>
    </row>
    <row r="514" spans="1:19">
      <c r="A514" s="7">
        <v>71598</v>
      </c>
      <c r="B514" s="8" t="s">
        <v>23</v>
      </c>
      <c r="C514" s="9">
        <v>46035</v>
      </c>
      <c r="D514" s="10" t="s">
        <v>26</v>
      </c>
      <c r="E514" s="10" t="s">
        <v>3</v>
      </c>
      <c r="F514" s="11">
        <v>100</v>
      </c>
      <c r="G514" s="12" t="s">
        <v>24</v>
      </c>
      <c r="H514" s="15">
        <v>46035</v>
      </c>
      <c r="I514" s="16" t="s">
        <v>67</v>
      </c>
      <c r="J514" s="16" t="s">
        <v>2</v>
      </c>
      <c r="K514" s="17">
        <v>200</v>
      </c>
      <c r="O514" t="str" cm="1">
        <f t="array" ref="O514">_xlfn.LET(
_xlpm.corp,$I514,_xlpm.key,$M$2:$M$200,_xlpm.name,$N$2:$N$200,_xlpm.hits,_xlfn._xlws.FILTER(_xlpm.name,ISNUMBER(SEARCH(_xlpm.key,_xlpm.corp))),
IFERROR(INDEX(_xlpm.hits,1),_xlpm.corp))</f>
        <v>日本ロレアル</v>
      </c>
      <c r="P514" t="str">
        <f t="shared" si="32"/>
        <v>2026-01-13</v>
      </c>
      <c r="Q514" t="str">
        <f t="shared" ref="Q514:Q577" si="35">_xlfn.LET(
  _xlpm.corp, $O514,
  _xlpm.crop, $J514,
  _xlpm.suffix,
    IF(ISNUMBER(SEARCH("加工", _xlpm.crop)),      "/加工BL",
    IF(ISNUMBER(SEARCH("ミニトマト", _xlpm.crop)),"/ミニトマト",
    IF(ISNUMBER(SEARCH("イチゴ", _xlpm.crop)),    "/イチゴ",
    IF(ISNUMBER(SEARCH("ベビーリーフ",_xlpm.crop)),"",
       "/葉物野菜"
    )))),
  _xlpm.corp &amp; _xlpm.suffix
)</f>
        <v>日本ロレアル</v>
      </c>
      <c r="R514" t="str">
        <f t="shared" si="33"/>
        <v>ベビーリーフ グリーンオーク</v>
      </c>
      <c r="S514">
        <f t="shared" si="34"/>
        <v>200</v>
      </c>
    </row>
    <row r="515" spans="1:19">
      <c r="A515" s="13">
        <v>70987</v>
      </c>
      <c r="B515" s="14" t="s">
        <v>23</v>
      </c>
      <c r="C515" s="15">
        <v>46035</v>
      </c>
      <c r="D515" s="16" t="s">
        <v>67</v>
      </c>
      <c r="E515" s="16" t="s">
        <v>2</v>
      </c>
      <c r="F515" s="17">
        <v>200</v>
      </c>
      <c r="G515" s="18" t="s">
        <v>24</v>
      </c>
      <c r="H515" s="9">
        <v>46035</v>
      </c>
      <c r="I515" s="10" t="s">
        <v>28</v>
      </c>
      <c r="J515" s="10" t="s">
        <v>2</v>
      </c>
      <c r="K515" s="11">
        <v>320</v>
      </c>
      <c r="O515" t="str" cm="1">
        <f t="array" ref="O515">_xlfn.LET(
_xlpm.corp,$I515,_xlpm.key,$M$2:$M$200,_xlpm.name,$N$2:$N$200,_xlpm.hits,_xlfn._xlws.FILTER(_xlpm.name,ISNUMBER(SEARCH(_xlpm.key,_xlpm.corp))),
IFERROR(INDEX(_xlpm.hits,1),_xlpm.corp))</f>
        <v>牧野フライス</v>
      </c>
      <c r="P515" t="str">
        <f t="shared" si="32"/>
        <v>2026-01-13</v>
      </c>
      <c r="Q515" t="str">
        <f t="shared" si="35"/>
        <v>牧野フライス</v>
      </c>
      <c r="R515" t="str">
        <f t="shared" si="33"/>
        <v>ベビーリーフ グリーンオーク</v>
      </c>
      <c r="S515">
        <f t="shared" si="34"/>
        <v>320</v>
      </c>
    </row>
    <row r="516" spans="1:19">
      <c r="A516" s="7">
        <v>70986</v>
      </c>
      <c r="B516" s="8" t="s">
        <v>23</v>
      </c>
      <c r="C516" s="9">
        <v>46035</v>
      </c>
      <c r="D516" s="10" t="s">
        <v>28</v>
      </c>
      <c r="E516" s="10" t="s">
        <v>2</v>
      </c>
      <c r="F516" s="11">
        <v>320</v>
      </c>
      <c r="G516" s="12" t="s">
        <v>24</v>
      </c>
      <c r="H516" s="15">
        <v>46035</v>
      </c>
      <c r="I516" s="16" t="s">
        <v>25</v>
      </c>
      <c r="J516" s="16" t="s">
        <v>3</v>
      </c>
      <c r="K516" s="17">
        <v>40</v>
      </c>
      <c r="O516" t="str" cm="1">
        <f t="array" ref="O516">_xlfn.LET(
_xlpm.corp,$I516,_xlpm.key,$M$2:$M$200,_xlpm.name,$N$2:$N$200,_xlpm.hits,_xlfn._xlws.FILTER(_xlpm.name,ISNUMBER(SEARCH(_xlpm.key,_xlpm.corp))),
IFERROR(INDEX(_xlpm.hits,1),_xlpm.corp))</f>
        <v>日本ファブテック</v>
      </c>
      <c r="P516" t="str">
        <f t="shared" si="32"/>
        <v>2026-01-13</v>
      </c>
      <c r="Q516" t="str">
        <f t="shared" si="35"/>
        <v>日本ファブテック/加工BL</v>
      </c>
      <c r="R516" t="str">
        <f t="shared" si="33"/>
        <v>加工BL</v>
      </c>
      <c r="S516">
        <f t="shared" si="34"/>
        <v>40</v>
      </c>
    </row>
    <row r="517" spans="1:19">
      <c r="A517" s="13">
        <v>70985</v>
      </c>
      <c r="B517" s="14" t="s">
        <v>23</v>
      </c>
      <c r="C517" s="15">
        <v>46035</v>
      </c>
      <c r="D517" s="16" t="s">
        <v>25</v>
      </c>
      <c r="E517" s="16" t="s">
        <v>3</v>
      </c>
      <c r="F517" s="17">
        <v>40</v>
      </c>
      <c r="G517" s="18" t="s">
        <v>24</v>
      </c>
      <c r="H517" s="9">
        <v>46035</v>
      </c>
      <c r="I517" s="10" t="s">
        <v>56</v>
      </c>
      <c r="J517" s="10" t="s">
        <v>3</v>
      </c>
      <c r="K517" s="11">
        <v>60</v>
      </c>
      <c r="O517" t="str" cm="1">
        <f t="array" ref="O517">_xlfn.LET(
_xlpm.corp,$I517,_xlpm.key,$M$2:$M$200,_xlpm.name,$N$2:$N$200,_xlpm.hits,_xlfn._xlws.FILTER(_xlpm.name,ISNUMBER(SEARCH(_xlpm.key,_xlpm.corp))),
IFERROR(INDEX(_xlpm.hits,1),_xlpm.corp))</f>
        <v>サンセイランディック</v>
      </c>
      <c r="P517" t="str">
        <f t="shared" si="32"/>
        <v>2026-01-13</v>
      </c>
      <c r="Q517" t="str">
        <f t="shared" si="35"/>
        <v>サンセイランディック/加工BL</v>
      </c>
      <c r="R517" t="str">
        <f t="shared" si="33"/>
        <v>加工BL</v>
      </c>
      <c r="S517">
        <f t="shared" si="34"/>
        <v>60</v>
      </c>
    </row>
    <row r="518" spans="1:19">
      <c r="A518" s="7">
        <v>70984</v>
      </c>
      <c r="B518" s="8" t="s">
        <v>23</v>
      </c>
      <c r="C518" s="9">
        <v>46035</v>
      </c>
      <c r="D518" s="10" t="s">
        <v>56</v>
      </c>
      <c r="E518" s="10" t="s">
        <v>3</v>
      </c>
      <c r="F518" s="11">
        <v>60</v>
      </c>
      <c r="G518" s="12" t="s">
        <v>24</v>
      </c>
      <c r="H518" s="15">
        <v>46035</v>
      </c>
      <c r="I518" s="16" t="s">
        <v>25</v>
      </c>
      <c r="J518" s="16" t="s">
        <v>2</v>
      </c>
      <c r="K518" s="17">
        <v>300</v>
      </c>
      <c r="O518" t="str" cm="1">
        <f t="array" ref="O518">_xlfn.LET(
_xlpm.corp,$I518,_xlpm.key,$M$2:$M$200,_xlpm.name,$N$2:$N$200,_xlpm.hits,_xlfn._xlws.FILTER(_xlpm.name,ISNUMBER(SEARCH(_xlpm.key,_xlpm.corp))),
IFERROR(INDEX(_xlpm.hits,1),_xlpm.corp))</f>
        <v>日本ファブテック</v>
      </c>
      <c r="P518" t="str">
        <f t="shared" si="32"/>
        <v>2026-01-13</v>
      </c>
      <c r="Q518" t="str">
        <f t="shared" si="35"/>
        <v>日本ファブテック</v>
      </c>
      <c r="R518" t="str">
        <f t="shared" si="33"/>
        <v>ベビーリーフ グリーンオーク</v>
      </c>
      <c r="S518">
        <f t="shared" si="34"/>
        <v>300</v>
      </c>
    </row>
    <row r="519" spans="1:19">
      <c r="A519" s="13">
        <v>70983</v>
      </c>
      <c r="B519" s="14" t="s">
        <v>23</v>
      </c>
      <c r="C519" s="15">
        <v>46035</v>
      </c>
      <c r="D519" s="16" t="s">
        <v>25</v>
      </c>
      <c r="E519" s="16" t="s">
        <v>2</v>
      </c>
      <c r="F519" s="17">
        <v>300</v>
      </c>
      <c r="G519" s="18" t="s">
        <v>24</v>
      </c>
      <c r="H519" s="9">
        <v>46035</v>
      </c>
      <c r="I519" s="10" t="s">
        <v>56</v>
      </c>
      <c r="J519" s="10" t="s">
        <v>2</v>
      </c>
      <c r="K519" s="11">
        <v>280</v>
      </c>
      <c r="O519" t="str" cm="1">
        <f t="array" ref="O519">_xlfn.LET(
_xlpm.corp,$I519,_xlpm.key,$M$2:$M$200,_xlpm.name,$N$2:$N$200,_xlpm.hits,_xlfn._xlws.FILTER(_xlpm.name,ISNUMBER(SEARCH(_xlpm.key,_xlpm.corp))),
IFERROR(INDEX(_xlpm.hits,1),_xlpm.corp))</f>
        <v>サンセイランディック</v>
      </c>
      <c r="P519" t="str">
        <f t="shared" si="32"/>
        <v>2026-01-13</v>
      </c>
      <c r="Q519" t="str">
        <f t="shared" si="35"/>
        <v>サンセイランディック</v>
      </c>
      <c r="R519" t="str">
        <f t="shared" si="33"/>
        <v>ベビーリーフ グリーンオーク</v>
      </c>
      <c r="S519">
        <f t="shared" si="34"/>
        <v>280</v>
      </c>
    </row>
    <row r="520" spans="1:19">
      <c r="A520" s="7">
        <v>70982</v>
      </c>
      <c r="B520" s="8" t="s">
        <v>23</v>
      </c>
      <c r="C520" s="9">
        <v>46035</v>
      </c>
      <c r="D520" s="10" t="s">
        <v>56</v>
      </c>
      <c r="E520" s="10" t="s">
        <v>2</v>
      </c>
      <c r="F520" s="11">
        <v>280</v>
      </c>
      <c r="G520" s="12" t="s">
        <v>24</v>
      </c>
      <c r="H520" s="15">
        <v>46035</v>
      </c>
      <c r="I520" s="16" t="s">
        <v>69</v>
      </c>
      <c r="J520" s="16" t="s">
        <v>2</v>
      </c>
      <c r="K520" s="17">
        <v>120</v>
      </c>
      <c r="O520" t="str" cm="1">
        <f t="array" ref="O520">_xlfn.LET(
_xlpm.corp,$I520,_xlpm.key,$M$2:$M$200,_xlpm.name,$N$2:$N$200,_xlpm.hits,_xlfn._xlws.FILTER(_xlpm.name,ISNUMBER(SEARCH(_xlpm.key,_xlpm.corp))),
IFERROR(INDEX(_xlpm.hits,1),_xlpm.corp))</f>
        <v>バリュエンス</v>
      </c>
      <c r="P520" t="str">
        <f t="shared" si="32"/>
        <v>2026-01-13</v>
      </c>
      <c r="Q520" t="str">
        <f t="shared" si="35"/>
        <v>バリュエンス</v>
      </c>
      <c r="R520" t="str">
        <f t="shared" si="33"/>
        <v>ベビーリーフ グリーンオーク</v>
      </c>
      <c r="S520">
        <f t="shared" si="34"/>
        <v>120</v>
      </c>
    </row>
    <row r="521" spans="1:19">
      <c r="A521" s="13">
        <v>70981</v>
      </c>
      <c r="B521" s="14" t="s">
        <v>23</v>
      </c>
      <c r="C521" s="15">
        <v>46035</v>
      </c>
      <c r="D521" s="16" t="s">
        <v>69</v>
      </c>
      <c r="E521" s="16" t="s">
        <v>2</v>
      </c>
      <c r="F521" s="17">
        <v>120</v>
      </c>
      <c r="G521" s="18" t="s">
        <v>24</v>
      </c>
      <c r="H521" s="9">
        <v>46035</v>
      </c>
      <c r="I521" s="10" t="s">
        <v>69</v>
      </c>
      <c r="J521" s="10" t="s">
        <v>62</v>
      </c>
      <c r="K521" s="11">
        <v>100</v>
      </c>
      <c r="O521" t="str" cm="1">
        <f t="array" ref="O521">_xlfn.LET(
_xlpm.corp,$I521,_xlpm.key,$M$2:$M$200,_xlpm.name,$N$2:$N$200,_xlpm.hits,_xlfn._xlws.FILTER(_xlpm.name,ISNUMBER(SEARCH(_xlpm.key,_xlpm.corp))),
IFERROR(INDEX(_xlpm.hits,1),_xlpm.corp))</f>
        <v>バリュエンス</v>
      </c>
      <c r="P521" t="str">
        <f t="shared" si="32"/>
        <v>2026-01-13</v>
      </c>
      <c r="Q521" t="str">
        <f t="shared" si="35"/>
        <v>バリュエンス</v>
      </c>
      <c r="R521" t="str">
        <f t="shared" si="33"/>
        <v>ベビーリーフ ロログリーン</v>
      </c>
      <c r="S521">
        <f t="shared" si="34"/>
        <v>100</v>
      </c>
    </row>
    <row r="522" spans="1:19">
      <c r="A522" s="7">
        <v>70980</v>
      </c>
      <c r="B522" s="8" t="s">
        <v>23</v>
      </c>
      <c r="C522" s="9">
        <v>46035</v>
      </c>
      <c r="D522" s="10" t="s">
        <v>69</v>
      </c>
      <c r="E522" s="10" t="s">
        <v>62</v>
      </c>
      <c r="F522" s="11">
        <v>100</v>
      </c>
      <c r="G522" s="12" t="s">
        <v>24</v>
      </c>
      <c r="H522" s="15">
        <v>46035</v>
      </c>
      <c r="I522" s="16" t="s">
        <v>69</v>
      </c>
      <c r="J522" s="16" t="s">
        <v>9</v>
      </c>
      <c r="K522" s="17">
        <v>400</v>
      </c>
      <c r="O522" t="str" cm="1">
        <f t="array" ref="O522">_xlfn.LET(
_xlpm.corp,$I522,_xlpm.key,$M$2:$M$200,_xlpm.name,$N$2:$N$200,_xlpm.hits,_xlfn._xlws.FILTER(_xlpm.name,ISNUMBER(SEARCH(_xlpm.key,_xlpm.corp))),
IFERROR(INDEX(_xlpm.hits,1),_xlpm.corp))</f>
        <v>バリュエンス</v>
      </c>
      <c r="P522" t="str">
        <f t="shared" si="32"/>
        <v>2026-01-13</v>
      </c>
      <c r="Q522" t="str">
        <f t="shared" si="35"/>
        <v>バリュエンス</v>
      </c>
      <c r="R522" t="str">
        <f t="shared" si="33"/>
        <v>ベビーリーフ ロロロッサ</v>
      </c>
      <c r="S522">
        <f t="shared" si="34"/>
        <v>400</v>
      </c>
    </row>
    <row r="523" spans="1:19">
      <c r="A523" s="13">
        <v>70979</v>
      </c>
      <c r="B523" s="14" t="s">
        <v>23</v>
      </c>
      <c r="C523" s="15">
        <v>46035</v>
      </c>
      <c r="D523" s="16" t="s">
        <v>69</v>
      </c>
      <c r="E523" s="16" t="s">
        <v>9</v>
      </c>
      <c r="F523" s="17">
        <v>400</v>
      </c>
      <c r="G523" s="18" t="s">
        <v>24</v>
      </c>
      <c r="H523" s="9">
        <v>46035</v>
      </c>
      <c r="I523" s="10" t="s">
        <v>65</v>
      </c>
      <c r="J523" s="10" t="s">
        <v>2</v>
      </c>
      <c r="K523" s="11">
        <v>480</v>
      </c>
      <c r="O523" t="str" cm="1">
        <f t="array" ref="O523">_xlfn.LET(
_xlpm.corp,$I523,_xlpm.key,$M$2:$M$200,_xlpm.name,$N$2:$N$200,_xlpm.hits,_xlfn._xlws.FILTER(_xlpm.name,ISNUMBER(SEARCH(_xlpm.key,_xlpm.corp))),
IFERROR(INDEX(_xlpm.hits,1),_xlpm.corp))</f>
        <v>マルテー</v>
      </c>
      <c r="P523" t="str">
        <f t="shared" si="32"/>
        <v>2026-01-13</v>
      </c>
      <c r="Q523" t="str">
        <f t="shared" si="35"/>
        <v>マルテー</v>
      </c>
      <c r="R523" t="str">
        <f t="shared" si="33"/>
        <v>ベビーリーフ グリーンオーク</v>
      </c>
      <c r="S523">
        <f t="shared" si="34"/>
        <v>480</v>
      </c>
    </row>
    <row r="524" spans="1:19">
      <c r="A524" s="7">
        <v>70978</v>
      </c>
      <c r="B524" s="8" t="s">
        <v>23</v>
      </c>
      <c r="C524" s="9">
        <v>46035</v>
      </c>
      <c r="D524" s="10" t="s">
        <v>65</v>
      </c>
      <c r="E524" s="10" t="s">
        <v>2</v>
      </c>
      <c r="F524" s="11">
        <v>480</v>
      </c>
      <c r="G524" s="12" t="s">
        <v>24</v>
      </c>
      <c r="H524" s="15">
        <v>46035</v>
      </c>
      <c r="I524" s="16" t="s">
        <v>70</v>
      </c>
      <c r="J524" s="16" t="s">
        <v>9</v>
      </c>
      <c r="K524" s="17">
        <v>380</v>
      </c>
      <c r="O524" t="str" cm="1">
        <f t="array" ref="O524">_xlfn.LET(
_xlpm.corp,$I524,_xlpm.key,$M$2:$M$200,_xlpm.name,$N$2:$N$200,_xlpm.hits,_xlfn._xlws.FILTER(_xlpm.name,ISNUMBER(SEARCH(_xlpm.key,_xlpm.corp))),
IFERROR(INDEX(_xlpm.hits,1),_xlpm.corp))</f>
        <v>富士機械</v>
      </c>
      <c r="P524" t="str">
        <f t="shared" si="32"/>
        <v>2026-01-13</v>
      </c>
      <c r="Q524" t="str">
        <f t="shared" si="35"/>
        <v>富士機械</v>
      </c>
      <c r="R524" t="str">
        <f t="shared" si="33"/>
        <v>ベビーリーフ ロロロッサ</v>
      </c>
      <c r="S524">
        <f t="shared" si="34"/>
        <v>380</v>
      </c>
    </row>
    <row r="525" spans="1:19">
      <c r="A525" s="13">
        <v>70977</v>
      </c>
      <c r="B525" s="14" t="s">
        <v>23</v>
      </c>
      <c r="C525" s="15">
        <v>46035</v>
      </c>
      <c r="D525" s="16" t="s">
        <v>70</v>
      </c>
      <c r="E525" s="16" t="s">
        <v>9</v>
      </c>
      <c r="F525" s="17">
        <v>380</v>
      </c>
      <c r="G525" s="18" t="s">
        <v>24</v>
      </c>
      <c r="H525" s="9">
        <v>46035</v>
      </c>
      <c r="I525" s="10" t="s">
        <v>60</v>
      </c>
      <c r="J525" s="10" t="s">
        <v>4</v>
      </c>
      <c r="K525" s="11">
        <v>460</v>
      </c>
      <c r="O525" t="str" cm="1">
        <f t="array" ref="O525">_xlfn.LET(
_xlpm.corp,$I525,_xlpm.key,$M$2:$M$200,_xlpm.name,$N$2:$N$200,_xlpm.hits,_xlfn._xlws.FILTER(_xlpm.name,ISNUMBER(SEARCH(_xlpm.key,_xlpm.corp))),
IFERROR(INDEX(_xlpm.hits,1),_xlpm.corp))</f>
        <v>サンテレホン</v>
      </c>
      <c r="P525" t="str">
        <f t="shared" si="32"/>
        <v>2026-01-13</v>
      </c>
      <c r="Q525" t="str">
        <f t="shared" si="35"/>
        <v>サンテレホン</v>
      </c>
      <c r="R525" t="str">
        <f t="shared" si="33"/>
        <v>ベビーリーフ ピノグリーン</v>
      </c>
      <c r="S525">
        <f t="shared" si="34"/>
        <v>460</v>
      </c>
    </row>
    <row r="526" spans="1:19">
      <c r="A526" s="7">
        <v>70976</v>
      </c>
      <c r="B526" s="8" t="s">
        <v>23</v>
      </c>
      <c r="C526" s="9">
        <v>46035</v>
      </c>
      <c r="D526" s="10" t="s">
        <v>60</v>
      </c>
      <c r="E526" s="10" t="s">
        <v>4</v>
      </c>
      <c r="F526" s="11">
        <v>460</v>
      </c>
      <c r="G526" s="12" t="s">
        <v>24</v>
      </c>
      <c r="H526" s="15">
        <v>46035</v>
      </c>
      <c r="I526" s="16" t="s">
        <v>72</v>
      </c>
      <c r="J526" s="16" t="s">
        <v>11</v>
      </c>
      <c r="K526" s="17">
        <v>860</v>
      </c>
      <c r="O526" t="str" cm="1">
        <f t="array" ref="O526">_xlfn.LET(
_xlpm.corp,$I526,_xlpm.key,$M$2:$M$200,_xlpm.name,$N$2:$N$200,_xlpm.hits,_xlfn._xlws.FILTER(_xlpm.name,ISNUMBER(SEARCH(_xlpm.key,_xlpm.corp))),
IFERROR(INDEX(_xlpm.hits,1),_xlpm.corp))</f>
        <v>岡部</v>
      </c>
      <c r="P526" t="str">
        <f t="shared" si="32"/>
        <v>2026-01-13</v>
      </c>
      <c r="Q526" t="str">
        <f t="shared" si="35"/>
        <v>岡部</v>
      </c>
      <c r="R526" t="str">
        <f t="shared" si="33"/>
        <v>ベビーリーフ レッドオーク</v>
      </c>
      <c r="S526">
        <f t="shared" si="34"/>
        <v>860</v>
      </c>
    </row>
    <row r="527" spans="1:19">
      <c r="A527" s="13">
        <v>70975</v>
      </c>
      <c r="B527" s="14" t="s">
        <v>23</v>
      </c>
      <c r="C527" s="15">
        <v>46035</v>
      </c>
      <c r="D527" s="16" t="s">
        <v>72</v>
      </c>
      <c r="E527" s="16" t="s">
        <v>11</v>
      </c>
      <c r="F527" s="17">
        <v>860</v>
      </c>
      <c r="G527" s="18" t="s">
        <v>24</v>
      </c>
      <c r="H527" s="9">
        <v>46035</v>
      </c>
      <c r="I527" s="10" t="s">
        <v>59</v>
      </c>
      <c r="J527" s="10" t="s">
        <v>2</v>
      </c>
      <c r="K527" s="11">
        <v>680</v>
      </c>
      <c r="O527" t="str" cm="1">
        <f t="array" ref="O527">_xlfn.LET(
_xlpm.corp,$I527,_xlpm.key,$M$2:$M$200,_xlpm.name,$N$2:$N$200,_xlpm.hits,_xlfn._xlws.FILTER(_xlpm.name,ISNUMBER(SEARCH(_xlpm.key,_xlpm.corp))),
IFERROR(INDEX(_xlpm.hits,1),_xlpm.corp))</f>
        <v>三和</v>
      </c>
      <c r="P527" t="str">
        <f t="shared" si="32"/>
        <v>2026-01-13</v>
      </c>
      <c r="Q527" t="str">
        <f t="shared" si="35"/>
        <v>三和</v>
      </c>
      <c r="R527" t="str">
        <f t="shared" si="33"/>
        <v>ベビーリーフ グリーンオーク</v>
      </c>
      <c r="S527">
        <f t="shared" si="34"/>
        <v>680</v>
      </c>
    </row>
    <row r="528" spans="1:19">
      <c r="A528" s="7">
        <v>70974</v>
      </c>
      <c r="B528" s="8" t="s">
        <v>23</v>
      </c>
      <c r="C528" s="9">
        <v>46035</v>
      </c>
      <c r="D528" s="10" t="s">
        <v>59</v>
      </c>
      <c r="E528" s="10" t="s">
        <v>2</v>
      </c>
      <c r="F528" s="11">
        <v>680</v>
      </c>
      <c r="G528" s="12" t="s">
        <v>24</v>
      </c>
      <c r="H528" s="15">
        <v>46035</v>
      </c>
      <c r="I528" s="16" t="s">
        <v>68</v>
      </c>
      <c r="J528" s="16" t="s">
        <v>3</v>
      </c>
      <c r="K528" s="17">
        <v>400</v>
      </c>
      <c r="O528" t="str" cm="1">
        <f t="array" ref="O528">_xlfn.LET(
_xlpm.corp,$I528,_xlpm.key,$M$2:$M$200,_xlpm.name,$N$2:$N$200,_xlpm.hits,_xlfn._xlws.FILTER(_xlpm.name,ISNUMBER(SEARCH(_xlpm.key,_xlpm.corp))),
IFERROR(INDEX(_xlpm.hits,1),_xlpm.corp))</f>
        <v>昭和女子</v>
      </c>
      <c r="P528" t="str">
        <f t="shared" ref="P528:P591" si="36">IFERROR(TEXT(DATEVALUE(SUBSTITUTE(SUBSTITUTE(H528,".","/"),"-","/")),"yyyy-mm-dd"),
TEXT(H528,"yyyy-mm-dd"))</f>
        <v>2026-01-13</v>
      </c>
      <c r="Q528" t="str">
        <f t="shared" si="35"/>
        <v>昭和女子/加工BL</v>
      </c>
      <c r="R528" t="str">
        <f t="shared" ref="R528:R591" si="37">IF(
  AND(ISNUMBER(SEARCH("加工品",SUBSTITUTE(J528,"　"," "))),ISNUMBER(SEARCH("ベビーリーフ",SUBSTITUTE(J528,"　"," ")))),
  "加工BL",
  IF(LEFT(TRIM(SUBSTITUTE(J528,"　"," ")),5)="ベビーリーフ",
     "BL"&amp;TRIM(MID(TRIM(SUBSTITUTE(J528,"　"," ")),FIND(" ",TRIM(SUBSTITUTE(J528,"　"," "))&amp;" ")+1,255)),
     TRIM(SUBSTITUTE(J528,"　"," "))
  )
)</f>
        <v>加工BL</v>
      </c>
      <c r="S528">
        <f t="shared" ref="S528:S591" si="38">IF(K528="", "", --SUBSTITUTE(K528, ",", ""))</f>
        <v>400</v>
      </c>
    </row>
    <row r="529" spans="1:19">
      <c r="A529" s="13">
        <v>70973</v>
      </c>
      <c r="B529" s="14" t="s">
        <v>23</v>
      </c>
      <c r="C529" s="15">
        <v>46035</v>
      </c>
      <c r="D529" s="16" t="s">
        <v>68</v>
      </c>
      <c r="E529" s="16" t="s">
        <v>3</v>
      </c>
      <c r="F529" s="17">
        <v>400</v>
      </c>
      <c r="G529" s="18" t="s">
        <v>24</v>
      </c>
      <c r="H529" s="9">
        <v>46035</v>
      </c>
      <c r="I529" s="10" t="s">
        <v>68</v>
      </c>
      <c r="J529" s="10" t="s">
        <v>2</v>
      </c>
      <c r="K529" s="11">
        <v>460</v>
      </c>
      <c r="O529" t="str" cm="1">
        <f t="array" ref="O529">_xlfn.LET(
_xlpm.corp,$I529,_xlpm.key,$M$2:$M$200,_xlpm.name,$N$2:$N$200,_xlpm.hits,_xlfn._xlws.FILTER(_xlpm.name,ISNUMBER(SEARCH(_xlpm.key,_xlpm.corp))),
IFERROR(INDEX(_xlpm.hits,1),_xlpm.corp))</f>
        <v>昭和女子</v>
      </c>
      <c r="P529" t="str">
        <f t="shared" si="36"/>
        <v>2026-01-13</v>
      </c>
      <c r="Q529" t="str">
        <f t="shared" si="35"/>
        <v>昭和女子</v>
      </c>
      <c r="R529" t="str">
        <f t="shared" si="37"/>
        <v>ベビーリーフ グリーンオーク</v>
      </c>
      <c r="S529">
        <f t="shared" si="38"/>
        <v>460</v>
      </c>
    </row>
    <row r="530" spans="1:19">
      <c r="A530" s="7">
        <v>70972</v>
      </c>
      <c r="B530" s="8" t="s">
        <v>23</v>
      </c>
      <c r="C530" s="9">
        <v>46035</v>
      </c>
      <c r="D530" s="10" t="s">
        <v>68</v>
      </c>
      <c r="E530" s="10" t="s">
        <v>2</v>
      </c>
      <c r="F530" s="11">
        <v>460</v>
      </c>
      <c r="G530" s="12" t="s">
        <v>24</v>
      </c>
      <c r="H530" s="15">
        <v>46035</v>
      </c>
      <c r="I530" s="16" t="s">
        <v>70</v>
      </c>
      <c r="J530" s="16" t="s">
        <v>9</v>
      </c>
      <c r="K530" s="19">
        <v>1300</v>
      </c>
      <c r="O530" t="str" cm="1">
        <f t="array" ref="O530">_xlfn.LET(
_xlpm.corp,$I530,_xlpm.key,$M$2:$M$200,_xlpm.name,$N$2:$N$200,_xlpm.hits,_xlfn._xlws.FILTER(_xlpm.name,ISNUMBER(SEARCH(_xlpm.key,_xlpm.corp))),
IFERROR(INDEX(_xlpm.hits,1),_xlpm.corp))</f>
        <v>富士機械</v>
      </c>
      <c r="P530" t="str">
        <f t="shared" si="36"/>
        <v>2026-01-13</v>
      </c>
      <c r="Q530" t="str">
        <f t="shared" si="35"/>
        <v>富士機械</v>
      </c>
      <c r="R530" t="str">
        <f t="shared" si="37"/>
        <v>ベビーリーフ ロロロッサ</v>
      </c>
      <c r="S530">
        <f t="shared" si="38"/>
        <v>1300</v>
      </c>
    </row>
    <row r="531" spans="1:19">
      <c r="A531" s="13">
        <v>70971</v>
      </c>
      <c r="B531" s="14" t="s">
        <v>23</v>
      </c>
      <c r="C531" s="15">
        <v>46035</v>
      </c>
      <c r="D531" s="16" t="s">
        <v>70</v>
      </c>
      <c r="E531" s="16" t="s">
        <v>9</v>
      </c>
      <c r="F531" s="19">
        <v>1300</v>
      </c>
      <c r="G531" s="18" t="s">
        <v>24</v>
      </c>
      <c r="H531" s="9">
        <v>46035</v>
      </c>
      <c r="I531" s="10" t="s">
        <v>71</v>
      </c>
      <c r="J531" s="10" t="s">
        <v>12</v>
      </c>
      <c r="K531" s="11">
        <v>660</v>
      </c>
      <c r="O531" t="str" cm="1">
        <f t="array" ref="O531">_xlfn.LET(
_xlpm.corp,$I531,_xlpm.key,$M$2:$M$200,_xlpm.name,$N$2:$N$200,_xlpm.hits,_xlfn._xlws.FILTER(_xlpm.name,ISNUMBER(SEARCH(_xlpm.key,_xlpm.corp))),
IFERROR(INDEX(_xlpm.hits,1),_xlpm.corp))</f>
        <v>ソリトン</v>
      </c>
      <c r="P531" t="str">
        <f t="shared" si="36"/>
        <v>2026-01-13</v>
      </c>
      <c r="Q531" t="str">
        <f t="shared" si="35"/>
        <v>ソリトン/葉物野菜</v>
      </c>
      <c r="R531" t="str">
        <f t="shared" si="37"/>
        <v>ブロッコリースプラウト</v>
      </c>
      <c r="S531">
        <f t="shared" si="38"/>
        <v>660</v>
      </c>
    </row>
    <row r="532" spans="1:19">
      <c r="A532" s="7">
        <v>70970</v>
      </c>
      <c r="B532" s="8" t="s">
        <v>23</v>
      </c>
      <c r="C532" s="9">
        <v>46035</v>
      </c>
      <c r="D532" s="10" t="s">
        <v>71</v>
      </c>
      <c r="E532" s="10" t="s">
        <v>12</v>
      </c>
      <c r="F532" s="11">
        <v>660</v>
      </c>
      <c r="G532" s="12" t="s">
        <v>24</v>
      </c>
      <c r="H532" s="15">
        <v>46035</v>
      </c>
      <c r="I532" s="16" t="s">
        <v>61</v>
      </c>
      <c r="J532" s="16" t="s">
        <v>62</v>
      </c>
      <c r="K532" s="19">
        <v>1520</v>
      </c>
      <c r="O532" t="str" cm="1">
        <f t="array" ref="O532">_xlfn.LET(
_xlpm.corp,$I532,_xlpm.key,$M$2:$M$200,_xlpm.name,$N$2:$N$200,_xlpm.hits,_xlfn._xlws.FILTER(_xlpm.name,ISNUMBER(SEARCH(_xlpm.key,_xlpm.corp))),
IFERROR(INDEX(_xlpm.hits,1),_xlpm.corp))</f>
        <v>Adobe</v>
      </c>
      <c r="P532" t="str">
        <f t="shared" si="36"/>
        <v>2026-01-13</v>
      </c>
      <c r="Q532" t="str">
        <f t="shared" si="35"/>
        <v>Adobe</v>
      </c>
      <c r="R532" t="str">
        <f t="shared" si="37"/>
        <v>ベビーリーフ ロログリーン</v>
      </c>
      <c r="S532">
        <f t="shared" si="38"/>
        <v>1520</v>
      </c>
    </row>
    <row r="533" spans="1:19">
      <c r="A533" s="13">
        <v>70969</v>
      </c>
      <c r="B533" s="14" t="s">
        <v>23</v>
      </c>
      <c r="C533" s="15">
        <v>46035</v>
      </c>
      <c r="D533" s="16" t="s">
        <v>61</v>
      </c>
      <c r="E533" s="16" t="s">
        <v>62</v>
      </c>
      <c r="F533" s="19">
        <v>1520</v>
      </c>
      <c r="G533" s="18" t="s">
        <v>24</v>
      </c>
      <c r="H533" s="9">
        <v>46035</v>
      </c>
      <c r="I533" s="10" t="s">
        <v>26</v>
      </c>
      <c r="J533" s="10" t="s">
        <v>11</v>
      </c>
      <c r="K533" s="11">
        <v>140</v>
      </c>
      <c r="O533" t="str" cm="1">
        <f t="array" ref="O533">_xlfn.LET(
_xlpm.corp,$I533,_xlpm.key,$M$2:$M$200,_xlpm.name,$N$2:$N$200,_xlpm.hits,_xlfn._xlws.FILTER(_xlpm.name,ISNUMBER(SEARCH(_xlpm.key,_xlpm.corp))),
IFERROR(INDEX(_xlpm.hits,1),_xlpm.corp))</f>
        <v>日建</v>
      </c>
      <c r="P533" t="str">
        <f t="shared" si="36"/>
        <v>2026-01-13</v>
      </c>
      <c r="Q533" t="str">
        <f t="shared" si="35"/>
        <v>日建</v>
      </c>
      <c r="R533" t="str">
        <f t="shared" si="37"/>
        <v>ベビーリーフ レッドオーク</v>
      </c>
      <c r="S533">
        <f t="shared" si="38"/>
        <v>140</v>
      </c>
    </row>
    <row r="534" spans="1:19">
      <c r="A534" s="7">
        <v>70968</v>
      </c>
      <c r="B534" s="8" t="s">
        <v>23</v>
      </c>
      <c r="C534" s="9">
        <v>46035</v>
      </c>
      <c r="D534" s="10" t="s">
        <v>26</v>
      </c>
      <c r="E534" s="10" t="s">
        <v>11</v>
      </c>
      <c r="F534" s="11">
        <v>140</v>
      </c>
      <c r="G534" s="12" t="s">
        <v>24</v>
      </c>
      <c r="H534" s="15">
        <v>46035</v>
      </c>
      <c r="I534" s="16" t="s">
        <v>66</v>
      </c>
      <c r="J534" s="16" t="s">
        <v>11</v>
      </c>
      <c r="K534" s="17">
        <v>600</v>
      </c>
      <c r="O534" t="str" cm="1">
        <f t="array" ref="O534">_xlfn.LET(
_xlpm.corp,$I534,_xlpm.key,$M$2:$M$200,_xlpm.name,$N$2:$N$200,_xlpm.hits,_xlfn._xlws.FILTER(_xlpm.name,ISNUMBER(SEARCH(_xlpm.key,_xlpm.corp))),
IFERROR(INDEX(_xlpm.hits,1),_xlpm.corp))</f>
        <v>ケイアイ</v>
      </c>
      <c r="P534" t="str">
        <f t="shared" si="36"/>
        <v>2026-01-13</v>
      </c>
      <c r="Q534" t="str">
        <f t="shared" si="35"/>
        <v>ケイアイ</v>
      </c>
      <c r="R534" t="str">
        <f t="shared" si="37"/>
        <v>ベビーリーフ レッドオーク</v>
      </c>
      <c r="S534">
        <f t="shared" si="38"/>
        <v>600</v>
      </c>
    </row>
    <row r="535" spans="1:19">
      <c r="A535" s="13">
        <v>70967</v>
      </c>
      <c r="B535" s="14" t="s">
        <v>23</v>
      </c>
      <c r="C535" s="15">
        <v>46035</v>
      </c>
      <c r="D535" s="16" t="s">
        <v>66</v>
      </c>
      <c r="E535" s="16" t="s">
        <v>11</v>
      </c>
      <c r="F535" s="17">
        <v>600</v>
      </c>
      <c r="G535" s="18" t="s">
        <v>24</v>
      </c>
      <c r="H535" s="9">
        <v>46035</v>
      </c>
      <c r="I535" s="10" t="s">
        <v>27</v>
      </c>
      <c r="J535" s="10" t="s">
        <v>11</v>
      </c>
      <c r="K535" s="11">
        <v>200</v>
      </c>
      <c r="O535" t="str" cm="1">
        <f t="array" ref="O535">_xlfn.LET(
_xlpm.corp,$I535,_xlpm.key,$M$2:$M$200,_xlpm.name,$N$2:$N$200,_xlpm.hits,_xlfn._xlws.FILTER(_xlpm.name,ISNUMBER(SEARCH(_xlpm.key,_xlpm.corp))),
IFERROR(INDEX(_xlpm.hits,1),_xlpm.corp))</f>
        <v>東レ</v>
      </c>
      <c r="P535" t="str">
        <f t="shared" si="36"/>
        <v>2026-01-13</v>
      </c>
      <c r="Q535" t="str">
        <f t="shared" si="35"/>
        <v>東レ</v>
      </c>
      <c r="R535" t="str">
        <f t="shared" si="37"/>
        <v>ベビーリーフ レッドオーク</v>
      </c>
      <c r="S535">
        <f t="shared" si="38"/>
        <v>200</v>
      </c>
    </row>
    <row r="536" spans="1:19">
      <c r="A536" s="7">
        <v>70966</v>
      </c>
      <c r="B536" s="8" t="s">
        <v>23</v>
      </c>
      <c r="C536" s="9">
        <v>46035</v>
      </c>
      <c r="D536" s="10" t="s">
        <v>27</v>
      </c>
      <c r="E536" s="10" t="s">
        <v>11</v>
      </c>
      <c r="F536" s="11">
        <v>200</v>
      </c>
      <c r="G536" s="12" t="s">
        <v>24</v>
      </c>
      <c r="H536" s="15">
        <v>46035</v>
      </c>
      <c r="I536" s="16" t="s">
        <v>57</v>
      </c>
      <c r="J536" s="16" t="s">
        <v>3</v>
      </c>
      <c r="K536" s="17">
        <v>100</v>
      </c>
      <c r="O536" t="str" cm="1">
        <f t="array" ref="O536">_xlfn.LET(
_xlpm.corp,$I536,_xlpm.key,$M$2:$M$200,_xlpm.name,$N$2:$N$200,_xlpm.hits,_xlfn._xlws.FILTER(_xlpm.name,ISNUMBER(SEARCH(_xlpm.key,_xlpm.corp))),
IFERROR(INDEX(_xlpm.hits,1),_xlpm.corp))</f>
        <v>QB</v>
      </c>
      <c r="P536" t="str">
        <f t="shared" si="36"/>
        <v>2026-01-13</v>
      </c>
      <c r="Q536" t="str">
        <f t="shared" si="35"/>
        <v>QB/加工BL</v>
      </c>
      <c r="R536" t="str">
        <f t="shared" si="37"/>
        <v>加工BL</v>
      </c>
      <c r="S536">
        <f t="shared" si="38"/>
        <v>100</v>
      </c>
    </row>
    <row r="537" spans="1:19">
      <c r="A537" s="13">
        <v>70965</v>
      </c>
      <c r="B537" s="14" t="s">
        <v>23</v>
      </c>
      <c r="C537" s="15">
        <v>46035</v>
      </c>
      <c r="D537" s="16" t="s">
        <v>57</v>
      </c>
      <c r="E537" s="16" t="s">
        <v>3</v>
      </c>
      <c r="F537" s="17">
        <v>100</v>
      </c>
      <c r="G537" s="18" t="s">
        <v>24</v>
      </c>
      <c r="H537" s="9">
        <v>46035</v>
      </c>
      <c r="I537" s="10" t="s">
        <v>57</v>
      </c>
      <c r="J537" s="10" t="s">
        <v>3</v>
      </c>
      <c r="K537" s="11">
        <v>280</v>
      </c>
      <c r="O537" t="str" cm="1">
        <f t="array" ref="O537">_xlfn.LET(
_xlpm.corp,$I537,_xlpm.key,$M$2:$M$200,_xlpm.name,$N$2:$N$200,_xlpm.hits,_xlfn._xlws.FILTER(_xlpm.name,ISNUMBER(SEARCH(_xlpm.key,_xlpm.corp))),
IFERROR(INDEX(_xlpm.hits,1),_xlpm.corp))</f>
        <v>QB</v>
      </c>
      <c r="P537" t="str">
        <f t="shared" si="36"/>
        <v>2026-01-13</v>
      </c>
      <c r="Q537" t="str">
        <f t="shared" si="35"/>
        <v>QB/加工BL</v>
      </c>
      <c r="R537" t="str">
        <f t="shared" si="37"/>
        <v>加工BL</v>
      </c>
      <c r="S537">
        <f t="shared" si="38"/>
        <v>280</v>
      </c>
    </row>
    <row r="538" spans="1:19">
      <c r="A538" s="7">
        <v>70964</v>
      </c>
      <c r="B538" s="8" t="s">
        <v>23</v>
      </c>
      <c r="C538" s="9">
        <v>46035</v>
      </c>
      <c r="D538" s="10" t="s">
        <v>57</v>
      </c>
      <c r="E538" s="10" t="s">
        <v>3</v>
      </c>
      <c r="F538" s="11">
        <v>280</v>
      </c>
      <c r="G538" s="12" t="s">
        <v>24</v>
      </c>
      <c r="H538" s="15">
        <v>46035</v>
      </c>
      <c r="I538" s="16" t="s">
        <v>71</v>
      </c>
      <c r="J538" s="16" t="s">
        <v>62</v>
      </c>
      <c r="K538" s="17">
        <v>740</v>
      </c>
      <c r="O538" t="str" cm="1">
        <f t="array" ref="O538">_xlfn.LET(
_xlpm.corp,$I538,_xlpm.key,$M$2:$M$200,_xlpm.name,$N$2:$N$200,_xlpm.hits,_xlfn._xlws.FILTER(_xlpm.name,ISNUMBER(SEARCH(_xlpm.key,_xlpm.corp))),
IFERROR(INDEX(_xlpm.hits,1),_xlpm.corp))</f>
        <v>ソリトン</v>
      </c>
      <c r="P538" t="str">
        <f t="shared" si="36"/>
        <v>2026-01-13</v>
      </c>
      <c r="Q538" t="str">
        <f t="shared" si="35"/>
        <v>ソリトン</v>
      </c>
      <c r="R538" t="str">
        <f t="shared" si="37"/>
        <v>ベビーリーフ ロログリーン</v>
      </c>
      <c r="S538">
        <f t="shared" si="38"/>
        <v>740</v>
      </c>
    </row>
    <row r="539" spans="1:19">
      <c r="A539" s="13">
        <v>70963</v>
      </c>
      <c r="B539" s="14" t="s">
        <v>23</v>
      </c>
      <c r="C539" s="15">
        <v>46035</v>
      </c>
      <c r="D539" s="16" t="s">
        <v>71</v>
      </c>
      <c r="E539" s="16" t="s">
        <v>62</v>
      </c>
      <c r="F539" s="17">
        <v>740</v>
      </c>
      <c r="G539" s="18" t="s">
        <v>24</v>
      </c>
      <c r="H539" s="9">
        <v>46035</v>
      </c>
      <c r="I539" s="10" t="s">
        <v>26</v>
      </c>
      <c r="J539" s="10" t="s">
        <v>29</v>
      </c>
      <c r="K539" s="20">
        <v>1660</v>
      </c>
      <c r="O539" t="str" cm="1">
        <f t="array" ref="O539">_xlfn.LET(
_xlpm.corp,$I539,_xlpm.key,$M$2:$M$200,_xlpm.name,$N$2:$N$200,_xlpm.hits,_xlfn._xlws.FILTER(_xlpm.name,ISNUMBER(SEARCH(_xlpm.key,_xlpm.corp))),
IFERROR(INDEX(_xlpm.hits,1),_xlpm.corp))</f>
        <v>日建</v>
      </c>
      <c r="P539" t="str">
        <f t="shared" si="36"/>
        <v>2026-01-13</v>
      </c>
      <c r="Q539" t="str">
        <f t="shared" si="35"/>
        <v>日建/ミニトマト</v>
      </c>
      <c r="R539" t="str">
        <f t="shared" si="37"/>
        <v>ミニトマト</v>
      </c>
      <c r="S539">
        <f t="shared" si="38"/>
        <v>1660</v>
      </c>
    </row>
    <row r="540" spans="1:19">
      <c r="A540" s="7">
        <v>70962</v>
      </c>
      <c r="B540" s="8" t="s">
        <v>23</v>
      </c>
      <c r="C540" s="9">
        <v>46035</v>
      </c>
      <c r="D540" s="10" t="s">
        <v>26</v>
      </c>
      <c r="E540" s="10" t="s">
        <v>29</v>
      </c>
      <c r="F540" s="20">
        <v>1660</v>
      </c>
      <c r="G540" s="12" t="s">
        <v>24</v>
      </c>
      <c r="H540" s="15">
        <v>46035</v>
      </c>
      <c r="I540" s="16" t="s">
        <v>69</v>
      </c>
      <c r="J540" s="16" t="s">
        <v>9</v>
      </c>
      <c r="K540" s="17">
        <v>40</v>
      </c>
      <c r="O540" t="str" cm="1">
        <f t="array" ref="O540">_xlfn.LET(
_xlpm.corp,$I540,_xlpm.key,$M$2:$M$200,_xlpm.name,$N$2:$N$200,_xlpm.hits,_xlfn._xlws.FILTER(_xlpm.name,ISNUMBER(SEARCH(_xlpm.key,_xlpm.corp))),
IFERROR(INDEX(_xlpm.hits,1),_xlpm.corp))</f>
        <v>バリュエンス</v>
      </c>
      <c r="P540" t="str">
        <f t="shared" si="36"/>
        <v>2026-01-13</v>
      </c>
      <c r="Q540" t="str">
        <f t="shared" si="35"/>
        <v>バリュエンス</v>
      </c>
      <c r="R540" t="str">
        <f t="shared" si="37"/>
        <v>ベビーリーフ ロロロッサ</v>
      </c>
      <c r="S540">
        <f t="shared" si="38"/>
        <v>40</v>
      </c>
    </row>
    <row r="541" spans="1:19">
      <c r="A541" s="13">
        <v>70961</v>
      </c>
      <c r="B541" s="14" t="s">
        <v>23</v>
      </c>
      <c r="C541" s="15">
        <v>46035</v>
      </c>
      <c r="D541" s="16" t="s">
        <v>69</v>
      </c>
      <c r="E541" s="16" t="s">
        <v>9</v>
      </c>
      <c r="F541" s="17">
        <v>40</v>
      </c>
      <c r="G541" s="18" t="s">
        <v>24</v>
      </c>
      <c r="H541" s="9">
        <v>46035</v>
      </c>
      <c r="I541" s="10" t="s">
        <v>61</v>
      </c>
      <c r="J541" s="10" t="s">
        <v>62</v>
      </c>
      <c r="K541" s="11">
        <v>360</v>
      </c>
      <c r="O541" t="str" cm="1">
        <f t="array" ref="O541">_xlfn.LET(
_xlpm.corp,$I541,_xlpm.key,$M$2:$M$200,_xlpm.name,$N$2:$N$200,_xlpm.hits,_xlfn._xlws.FILTER(_xlpm.name,ISNUMBER(SEARCH(_xlpm.key,_xlpm.corp))),
IFERROR(INDEX(_xlpm.hits,1),_xlpm.corp))</f>
        <v>Adobe</v>
      </c>
      <c r="P541" t="str">
        <f t="shared" si="36"/>
        <v>2026-01-13</v>
      </c>
      <c r="Q541" t="str">
        <f t="shared" si="35"/>
        <v>Adobe</v>
      </c>
      <c r="R541" t="str">
        <f t="shared" si="37"/>
        <v>ベビーリーフ ロログリーン</v>
      </c>
      <c r="S541">
        <f t="shared" si="38"/>
        <v>360</v>
      </c>
    </row>
    <row r="542" spans="1:19">
      <c r="A542" s="7">
        <v>70960</v>
      </c>
      <c r="B542" s="8" t="s">
        <v>23</v>
      </c>
      <c r="C542" s="9">
        <v>46035</v>
      </c>
      <c r="D542" s="10" t="s">
        <v>61</v>
      </c>
      <c r="E542" s="10" t="s">
        <v>62</v>
      </c>
      <c r="F542" s="11">
        <v>360</v>
      </c>
      <c r="G542" s="12" t="s">
        <v>24</v>
      </c>
      <c r="H542" s="15">
        <v>46035</v>
      </c>
      <c r="I542" s="16" t="s">
        <v>61</v>
      </c>
      <c r="J542" s="16" t="s">
        <v>62</v>
      </c>
      <c r="K542" s="17">
        <v>980</v>
      </c>
      <c r="O542" t="str" cm="1">
        <f t="array" ref="O542">_xlfn.LET(
_xlpm.corp,$I542,_xlpm.key,$M$2:$M$200,_xlpm.name,$N$2:$N$200,_xlpm.hits,_xlfn._xlws.FILTER(_xlpm.name,ISNUMBER(SEARCH(_xlpm.key,_xlpm.corp))),
IFERROR(INDEX(_xlpm.hits,1),_xlpm.corp))</f>
        <v>Adobe</v>
      </c>
      <c r="P542" t="str">
        <f t="shared" si="36"/>
        <v>2026-01-13</v>
      </c>
      <c r="Q542" t="str">
        <f t="shared" si="35"/>
        <v>Adobe</v>
      </c>
      <c r="R542" t="str">
        <f t="shared" si="37"/>
        <v>ベビーリーフ ロログリーン</v>
      </c>
      <c r="S542">
        <f t="shared" si="38"/>
        <v>980</v>
      </c>
    </row>
    <row r="543" spans="1:19">
      <c r="A543" s="13">
        <v>70959</v>
      </c>
      <c r="B543" s="14" t="s">
        <v>23</v>
      </c>
      <c r="C543" s="15">
        <v>46035</v>
      </c>
      <c r="D543" s="16" t="s">
        <v>61</v>
      </c>
      <c r="E543" s="16" t="s">
        <v>62</v>
      </c>
      <c r="F543" s="17">
        <v>980</v>
      </c>
      <c r="G543" s="18" t="s">
        <v>24</v>
      </c>
      <c r="H543" s="9">
        <v>46035</v>
      </c>
      <c r="I543" s="10" t="s">
        <v>69</v>
      </c>
      <c r="J543" s="10" t="s">
        <v>9</v>
      </c>
      <c r="K543" s="11">
        <v>360</v>
      </c>
      <c r="O543" t="str" cm="1">
        <f t="array" ref="O543">_xlfn.LET(
_xlpm.corp,$I543,_xlpm.key,$M$2:$M$200,_xlpm.name,$N$2:$N$200,_xlpm.hits,_xlfn._xlws.FILTER(_xlpm.name,ISNUMBER(SEARCH(_xlpm.key,_xlpm.corp))),
IFERROR(INDEX(_xlpm.hits,1),_xlpm.corp))</f>
        <v>バリュエンス</v>
      </c>
      <c r="P543" t="str">
        <f t="shared" si="36"/>
        <v>2026-01-13</v>
      </c>
      <c r="Q543" t="str">
        <f t="shared" si="35"/>
        <v>バリュエンス</v>
      </c>
      <c r="R543" t="str">
        <f t="shared" si="37"/>
        <v>ベビーリーフ ロロロッサ</v>
      </c>
      <c r="S543">
        <f t="shared" si="38"/>
        <v>360</v>
      </c>
    </row>
    <row r="544" spans="1:19">
      <c r="A544" s="7">
        <v>70958</v>
      </c>
      <c r="B544" s="8" t="s">
        <v>23</v>
      </c>
      <c r="C544" s="9">
        <v>46035</v>
      </c>
      <c r="D544" s="10" t="s">
        <v>69</v>
      </c>
      <c r="E544" s="10" t="s">
        <v>9</v>
      </c>
      <c r="F544" s="11">
        <v>360</v>
      </c>
      <c r="G544" s="12" t="s">
        <v>24</v>
      </c>
      <c r="H544" s="15">
        <v>46035</v>
      </c>
      <c r="I544" s="16" t="s">
        <v>64</v>
      </c>
      <c r="J544" s="16" t="s">
        <v>3</v>
      </c>
      <c r="K544" s="17">
        <v>200</v>
      </c>
      <c r="O544" t="str" cm="1">
        <f t="array" ref="O544">_xlfn.LET(
_xlpm.corp,$I544,_xlpm.key,$M$2:$M$200,_xlpm.name,$N$2:$N$200,_xlpm.hits,_xlfn._xlws.FILTER(_xlpm.name,ISNUMBER(SEARCH(_xlpm.key,_xlpm.corp))),
IFERROR(INDEX(_xlpm.hits,1),_xlpm.corp))</f>
        <v>NaITO</v>
      </c>
      <c r="P544" t="str">
        <f t="shared" si="36"/>
        <v>2026-01-13</v>
      </c>
      <c r="Q544" t="str">
        <f t="shared" si="35"/>
        <v>NaITO/加工BL</v>
      </c>
      <c r="R544" t="str">
        <f t="shared" si="37"/>
        <v>加工BL</v>
      </c>
      <c r="S544">
        <f t="shared" si="38"/>
        <v>200</v>
      </c>
    </row>
    <row r="545" spans="1:19">
      <c r="A545" s="13">
        <v>70957</v>
      </c>
      <c r="B545" s="14" t="s">
        <v>23</v>
      </c>
      <c r="C545" s="15">
        <v>46035</v>
      </c>
      <c r="D545" s="16" t="s">
        <v>64</v>
      </c>
      <c r="E545" s="16" t="s">
        <v>3</v>
      </c>
      <c r="F545" s="17">
        <v>200</v>
      </c>
      <c r="G545" s="18" t="s">
        <v>24</v>
      </c>
      <c r="H545" s="9">
        <v>46035</v>
      </c>
      <c r="I545" s="10" t="s">
        <v>68</v>
      </c>
      <c r="J545" s="10" t="s">
        <v>3</v>
      </c>
      <c r="K545" s="11">
        <v>360</v>
      </c>
      <c r="O545" t="str" cm="1">
        <f t="array" ref="O545">_xlfn.LET(
_xlpm.corp,$I545,_xlpm.key,$M$2:$M$200,_xlpm.name,$N$2:$N$200,_xlpm.hits,_xlfn._xlws.FILTER(_xlpm.name,ISNUMBER(SEARCH(_xlpm.key,_xlpm.corp))),
IFERROR(INDEX(_xlpm.hits,1),_xlpm.corp))</f>
        <v>昭和女子</v>
      </c>
      <c r="P545" t="str">
        <f t="shared" si="36"/>
        <v>2026-01-13</v>
      </c>
      <c r="Q545" t="str">
        <f t="shared" si="35"/>
        <v>昭和女子/加工BL</v>
      </c>
      <c r="R545" t="str">
        <f t="shared" si="37"/>
        <v>加工BL</v>
      </c>
      <c r="S545">
        <f t="shared" si="38"/>
        <v>360</v>
      </c>
    </row>
    <row r="546" spans="1:19">
      <c r="A546" s="7">
        <v>70956</v>
      </c>
      <c r="B546" s="8" t="s">
        <v>23</v>
      </c>
      <c r="C546" s="9">
        <v>46035</v>
      </c>
      <c r="D546" s="10" t="s">
        <v>68</v>
      </c>
      <c r="E546" s="10" t="s">
        <v>3</v>
      </c>
      <c r="F546" s="11">
        <v>360</v>
      </c>
      <c r="G546" s="12" t="s">
        <v>24</v>
      </c>
      <c r="H546" s="15">
        <v>46035</v>
      </c>
      <c r="I546" s="16" t="s">
        <v>72</v>
      </c>
      <c r="J546" s="16" t="s">
        <v>11</v>
      </c>
      <c r="K546" s="17">
        <v>980</v>
      </c>
      <c r="O546" t="str" cm="1">
        <f t="array" ref="O546">_xlfn.LET(
_xlpm.corp,$I546,_xlpm.key,$M$2:$M$200,_xlpm.name,$N$2:$N$200,_xlpm.hits,_xlfn._xlws.FILTER(_xlpm.name,ISNUMBER(SEARCH(_xlpm.key,_xlpm.corp))),
IFERROR(INDEX(_xlpm.hits,1),_xlpm.corp))</f>
        <v>岡部</v>
      </c>
      <c r="P546" t="str">
        <f t="shared" si="36"/>
        <v>2026-01-13</v>
      </c>
      <c r="Q546" t="str">
        <f t="shared" si="35"/>
        <v>岡部</v>
      </c>
      <c r="R546" t="str">
        <f t="shared" si="37"/>
        <v>ベビーリーフ レッドオーク</v>
      </c>
      <c r="S546">
        <f t="shared" si="38"/>
        <v>980</v>
      </c>
    </row>
    <row r="547" spans="1:19">
      <c r="A547" s="13">
        <v>70955</v>
      </c>
      <c r="B547" s="14" t="s">
        <v>23</v>
      </c>
      <c r="C547" s="15">
        <v>46035</v>
      </c>
      <c r="D547" s="16" t="s">
        <v>72</v>
      </c>
      <c r="E547" s="16" t="s">
        <v>11</v>
      </c>
      <c r="F547" s="17">
        <v>980</v>
      </c>
      <c r="G547" s="18" t="s">
        <v>24</v>
      </c>
      <c r="H547" s="9">
        <v>46035</v>
      </c>
      <c r="I547" s="10" t="s">
        <v>60</v>
      </c>
      <c r="J547" s="10" t="s">
        <v>3</v>
      </c>
      <c r="K547" s="11">
        <v>220</v>
      </c>
      <c r="O547" t="str" cm="1">
        <f t="array" ref="O547">_xlfn.LET(
_xlpm.corp,$I547,_xlpm.key,$M$2:$M$200,_xlpm.name,$N$2:$N$200,_xlpm.hits,_xlfn._xlws.FILTER(_xlpm.name,ISNUMBER(SEARCH(_xlpm.key,_xlpm.corp))),
IFERROR(INDEX(_xlpm.hits,1),_xlpm.corp))</f>
        <v>サンテレホン</v>
      </c>
      <c r="P547" t="str">
        <f t="shared" si="36"/>
        <v>2026-01-13</v>
      </c>
      <c r="Q547" t="str">
        <f t="shared" si="35"/>
        <v>サンテレホン/加工BL</v>
      </c>
      <c r="R547" t="str">
        <f t="shared" si="37"/>
        <v>加工BL</v>
      </c>
      <c r="S547">
        <f t="shared" si="38"/>
        <v>220</v>
      </c>
    </row>
    <row r="548" spans="1:19">
      <c r="A548" s="7">
        <v>70954</v>
      </c>
      <c r="B548" s="8" t="s">
        <v>23</v>
      </c>
      <c r="C548" s="9">
        <v>46035</v>
      </c>
      <c r="D548" s="10" t="s">
        <v>60</v>
      </c>
      <c r="E548" s="10" t="s">
        <v>3</v>
      </c>
      <c r="F548" s="11">
        <v>220</v>
      </c>
      <c r="G548" s="12" t="s">
        <v>24</v>
      </c>
      <c r="H548" s="15">
        <v>46035</v>
      </c>
      <c r="I548" s="16" t="s">
        <v>58</v>
      </c>
      <c r="J548" s="16" t="s">
        <v>4</v>
      </c>
      <c r="K548" s="17">
        <v>200</v>
      </c>
      <c r="O548" t="str" cm="1">
        <f t="array" ref="O548">_xlfn.LET(
_xlpm.corp,$I548,_xlpm.key,$M$2:$M$200,_xlpm.name,$N$2:$N$200,_xlpm.hits,_xlfn._xlws.FILTER(_xlpm.name,ISNUMBER(SEARCH(_xlpm.key,_xlpm.corp))),
IFERROR(INDEX(_xlpm.hits,1),_xlpm.corp))</f>
        <v>慈誠会</v>
      </c>
      <c r="P548" t="str">
        <f t="shared" si="36"/>
        <v>2026-01-13</v>
      </c>
      <c r="Q548" t="str">
        <f t="shared" si="35"/>
        <v>慈誠会</v>
      </c>
      <c r="R548" t="str">
        <f t="shared" si="37"/>
        <v>ベビーリーフ ピノグリーン</v>
      </c>
      <c r="S548">
        <f t="shared" si="38"/>
        <v>200</v>
      </c>
    </row>
    <row r="549" spans="1:19">
      <c r="A549" s="13">
        <v>70953</v>
      </c>
      <c r="B549" s="14" t="s">
        <v>23</v>
      </c>
      <c r="C549" s="15">
        <v>46035</v>
      </c>
      <c r="D549" s="16" t="s">
        <v>58</v>
      </c>
      <c r="E549" s="16" t="s">
        <v>4</v>
      </c>
      <c r="F549" s="17">
        <v>200</v>
      </c>
      <c r="G549" s="18" t="s">
        <v>24</v>
      </c>
      <c r="H549" s="9">
        <v>46035</v>
      </c>
      <c r="I549" s="10" t="s">
        <v>64</v>
      </c>
      <c r="J549" s="10" t="s">
        <v>11</v>
      </c>
      <c r="K549" s="11">
        <v>180</v>
      </c>
      <c r="O549" t="str" cm="1">
        <f t="array" ref="O549">_xlfn.LET(
_xlpm.corp,$I549,_xlpm.key,$M$2:$M$200,_xlpm.name,$N$2:$N$200,_xlpm.hits,_xlfn._xlws.FILTER(_xlpm.name,ISNUMBER(SEARCH(_xlpm.key,_xlpm.corp))),
IFERROR(INDEX(_xlpm.hits,1),_xlpm.corp))</f>
        <v>NaITO</v>
      </c>
      <c r="P549" t="str">
        <f t="shared" si="36"/>
        <v>2026-01-13</v>
      </c>
      <c r="Q549" t="str">
        <f t="shared" si="35"/>
        <v>NaITO</v>
      </c>
      <c r="R549" t="str">
        <f t="shared" si="37"/>
        <v>ベビーリーフ レッドオーク</v>
      </c>
      <c r="S549">
        <f t="shared" si="38"/>
        <v>180</v>
      </c>
    </row>
    <row r="550" spans="1:19">
      <c r="A550" s="7">
        <v>70952</v>
      </c>
      <c r="B550" s="8" t="s">
        <v>23</v>
      </c>
      <c r="C550" s="9">
        <v>46035</v>
      </c>
      <c r="D550" s="10" t="s">
        <v>64</v>
      </c>
      <c r="E550" s="10" t="s">
        <v>11</v>
      </c>
      <c r="F550" s="11">
        <v>180</v>
      </c>
      <c r="G550" s="12" t="s">
        <v>24</v>
      </c>
      <c r="H550" s="15">
        <v>46035</v>
      </c>
      <c r="I550" s="16" t="s">
        <v>57</v>
      </c>
      <c r="J550" s="16" t="s">
        <v>4</v>
      </c>
      <c r="K550" s="17">
        <v>180</v>
      </c>
      <c r="O550" t="str" cm="1">
        <f t="array" ref="O550">_xlfn.LET(
_xlpm.corp,$I550,_xlpm.key,$M$2:$M$200,_xlpm.name,$N$2:$N$200,_xlpm.hits,_xlfn._xlws.FILTER(_xlpm.name,ISNUMBER(SEARCH(_xlpm.key,_xlpm.corp))),
IFERROR(INDEX(_xlpm.hits,1),_xlpm.corp))</f>
        <v>QB</v>
      </c>
      <c r="P550" t="str">
        <f t="shared" si="36"/>
        <v>2026-01-13</v>
      </c>
      <c r="Q550" t="str">
        <f t="shared" si="35"/>
        <v>QB</v>
      </c>
      <c r="R550" t="str">
        <f t="shared" si="37"/>
        <v>ベビーリーフ ピノグリーン</v>
      </c>
      <c r="S550">
        <f t="shared" si="38"/>
        <v>180</v>
      </c>
    </row>
    <row r="551" spans="1:19">
      <c r="A551" s="13">
        <v>70951</v>
      </c>
      <c r="B551" s="14" t="s">
        <v>23</v>
      </c>
      <c r="C551" s="15">
        <v>46035</v>
      </c>
      <c r="D551" s="16" t="s">
        <v>57</v>
      </c>
      <c r="E551" s="16" t="s">
        <v>4</v>
      </c>
      <c r="F551" s="17">
        <v>180</v>
      </c>
      <c r="G551" s="18" t="s">
        <v>24</v>
      </c>
      <c r="H551" s="9">
        <v>46035</v>
      </c>
      <c r="I551" s="10" t="s">
        <v>68</v>
      </c>
      <c r="J551" s="10" t="s">
        <v>2</v>
      </c>
      <c r="K551" s="11">
        <v>560</v>
      </c>
      <c r="O551" t="str" cm="1">
        <f t="array" ref="O551">_xlfn.LET(
_xlpm.corp,$I551,_xlpm.key,$M$2:$M$200,_xlpm.name,$N$2:$N$200,_xlpm.hits,_xlfn._xlws.FILTER(_xlpm.name,ISNUMBER(SEARCH(_xlpm.key,_xlpm.corp))),
IFERROR(INDEX(_xlpm.hits,1),_xlpm.corp))</f>
        <v>昭和女子</v>
      </c>
      <c r="P551" t="str">
        <f t="shared" si="36"/>
        <v>2026-01-13</v>
      </c>
      <c r="Q551" t="str">
        <f t="shared" si="35"/>
        <v>昭和女子</v>
      </c>
      <c r="R551" t="str">
        <f t="shared" si="37"/>
        <v>ベビーリーフ グリーンオーク</v>
      </c>
      <c r="S551">
        <f t="shared" si="38"/>
        <v>560</v>
      </c>
    </row>
    <row r="552" spans="1:19">
      <c r="A552" s="7">
        <v>70950</v>
      </c>
      <c r="B552" s="8" t="s">
        <v>23</v>
      </c>
      <c r="C552" s="9">
        <v>46035</v>
      </c>
      <c r="D552" s="10" t="s">
        <v>68</v>
      </c>
      <c r="E552" s="10" t="s">
        <v>2</v>
      </c>
      <c r="F552" s="11">
        <v>560</v>
      </c>
      <c r="G552" s="12" t="s">
        <v>24</v>
      </c>
      <c r="H552" s="15">
        <v>46035</v>
      </c>
      <c r="I552" s="16" t="s">
        <v>66</v>
      </c>
      <c r="J552" s="16" t="s">
        <v>11</v>
      </c>
      <c r="K552" s="19">
        <v>2220</v>
      </c>
      <c r="O552" t="str" cm="1">
        <f t="array" ref="O552">_xlfn.LET(
_xlpm.corp,$I552,_xlpm.key,$M$2:$M$200,_xlpm.name,$N$2:$N$200,_xlpm.hits,_xlfn._xlws.FILTER(_xlpm.name,ISNUMBER(SEARCH(_xlpm.key,_xlpm.corp))),
IFERROR(INDEX(_xlpm.hits,1),_xlpm.corp))</f>
        <v>ケイアイ</v>
      </c>
      <c r="P552" t="str">
        <f t="shared" si="36"/>
        <v>2026-01-13</v>
      </c>
      <c r="Q552" t="str">
        <f t="shared" si="35"/>
        <v>ケイアイ</v>
      </c>
      <c r="R552" t="str">
        <f t="shared" si="37"/>
        <v>ベビーリーフ レッドオーク</v>
      </c>
      <c r="S552">
        <f t="shared" si="38"/>
        <v>2220</v>
      </c>
    </row>
    <row r="553" spans="1:19">
      <c r="A553" s="13">
        <v>70949</v>
      </c>
      <c r="B553" s="14" t="s">
        <v>23</v>
      </c>
      <c r="C553" s="15">
        <v>46035</v>
      </c>
      <c r="D553" s="16" t="s">
        <v>66</v>
      </c>
      <c r="E553" s="16" t="s">
        <v>11</v>
      </c>
      <c r="F553" s="19">
        <v>2220</v>
      </c>
      <c r="G553" s="18" t="s">
        <v>24</v>
      </c>
      <c r="H553" s="9">
        <v>46035</v>
      </c>
      <c r="I553" s="10" t="s">
        <v>63</v>
      </c>
      <c r="J553" s="10" t="s">
        <v>62</v>
      </c>
      <c r="K553" s="11">
        <v>520</v>
      </c>
      <c r="O553" t="str" cm="1">
        <f t="array" ref="O553">_xlfn.LET(
_xlpm.corp,$I553,_xlpm.key,$M$2:$M$200,_xlpm.name,$N$2:$N$200,_xlpm.hits,_xlfn._xlws.FILTER(_xlpm.name,ISNUMBER(SEARCH(_xlpm.key,_xlpm.corp))),
IFERROR(INDEX(_xlpm.hits,1),_xlpm.corp))</f>
        <v>富士機材</v>
      </c>
      <c r="P553" t="str">
        <f t="shared" si="36"/>
        <v>2026-01-13</v>
      </c>
      <c r="Q553" t="str">
        <f t="shared" si="35"/>
        <v>富士機材</v>
      </c>
      <c r="R553" t="str">
        <f t="shared" si="37"/>
        <v>ベビーリーフ ロログリーン</v>
      </c>
      <c r="S553">
        <f t="shared" si="38"/>
        <v>520</v>
      </c>
    </row>
    <row r="554" spans="1:19">
      <c r="A554" s="7">
        <v>70948</v>
      </c>
      <c r="B554" s="8" t="s">
        <v>23</v>
      </c>
      <c r="C554" s="9">
        <v>46035</v>
      </c>
      <c r="D554" s="10" t="s">
        <v>63</v>
      </c>
      <c r="E554" s="10" t="s">
        <v>62</v>
      </c>
      <c r="F554" s="11">
        <v>520</v>
      </c>
      <c r="G554" s="12" t="s">
        <v>24</v>
      </c>
      <c r="H554" s="15">
        <v>46031</v>
      </c>
      <c r="I554" s="16" t="s">
        <v>72</v>
      </c>
      <c r="J554" s="16" t="s">
        <v>2</v>
      </c>
      <c r="K554" s="17">
        <v>620</v>
      </c>
      <c r="O554" t="str" cm="1">
        <f t="array" ref="O554">_xlfn.LET(
_xlpm.corp,$I554,_xlpm.key,$M$2:$M$200,_xlpm.name,$N$2:$N$200,_xlpm.hits,_xlfn._xlws.FILTER(_xlpm.name,ISNUMBER(SEARCH(_xlpm.key,_xlpm.corp))),
IFERROR(INDEX(_xlpm.hits,1),_xlpm.corp))</f>
        <v>岡部</v>
      </c>
      <c r="P554" t="str">
        <f t="shared" si="36"/>
        <v>2026-01-09</v>
      </c>
      <c r="Q554" t="str">
        <f t="shared" si="35"/>
        <v>岡部</v>
      </c>
      <c r="R554" t="str">
        <f t="shared" si="37"/>
        <v>ベビーリーフ グリーンオーク</v>
      </c>
      <c r="S554">
        <f t="shared" si="38"/>
        <v>620</v>
      </c>
    </row>
    <row r="555" spans="1:19">
      <c r="A555" s="13">
        <v>71009</v>
      </c>
      <c r="B555" s="14" t="s">
        <v>23</v>
      </c>
      <c r="C555" s="15">
        <v>46031</v>
      </c>
      <c r="D555" s="16" t="s">
        <v>72</v>
      </c>
      <c r="E555" s="16" t="s">
        <v>2</v>
      </c>
      <c r="F555" s="17">
        <v>620</v>
      </c>
      <c r="G555" s="18" t="s">
        <v>24</v>
      </c>
      <c r="H555" s="9">
        <v>46031</v>
      </c>
      <c r="I555" s="10" t="s">
        <v>57</v>
      </c>
      <c r="J555" s="10" t="s">
        <v>2</v>
      </c>
      <c r="K555" s="11">
        <v>160</v>
      </c>
      <c r="O555" t="str" cm="1">
        <f t="array" ref="O555">_xlfn.LET(
_xlpm.corp,$I555,_xlpm.key,$M$2:$M$200,_xlpm.name,$N$2:$N$200,_xlpm.hits,_xlfn._xlws.FILTER(_xlpm.name,ISNUMBER(SEARCH(_xlpm.key,_xlpm.corp))),
IFERROR(INDEX(_xlpm.hits,1),_xlpm.corp))</f>
        <v>QB</v>
      </c>
      <c r="P555" t="str">
        <f t="shared" si="36"/>
        <v>2026-01-09</v>
      </c>
      <c r="Q555" t="str">
        <f t="shared" si="35"/>
        <v>QB</v>
      </c>
      <c r="R555" t="str">
        <f t="shared" si="37"/>
        <v>ベビーリーフ グリーンオーク</v>
      </c>
      <c r="S555">
        <f t="shared" si="38"/>
        <v>160</v>
      </c>
    </row>
    <row r="556" spans="1:19">
      <c r="A556" s="7">
        <v>71008</v>
      </c>
      <c r="B556" s="8" t="s">
        <v>23</v>
      </c>
      <c r="C556" s="9">
        <v>46031</v>
      </c>
      <c r="D556" s="10" t="s">
        <v>57</v>
      </c>
      <c r="E556" s="10" t="s">
        <v>2</v>
      </c>
      <c r="F556" s="11">
        <v>160</v>
      </c>
      <c r="G556" s="12" t="s">
        <v>24</v>
      </c>
      <c r="H556" s="15">
        <v>46031</v>
      </c>
      <c r="I556" s="16" t="s">
        <v>59</v>
      </c>
      <c r="J556" s="16" t="s">
        <v>2</v>
      </c>
      <c r="K556" s="17">
        <v>340</v>
      </c>
      <c r="O556" t="str" cm="1">
        <f t="array" ref="O556">_xlfn.LET(
_xlpm.corp,$I556,_xlpm.key,$M$2:$M$200,_xlpm.name,$N$2:$N$200,_xlpm.hits,_xlfn._xlws.FILTER(_xlpm.name,ISNUMBER(SEARCH(_xlpm.key,_xlpm.corp))),
IFERROR(INDEX(_xlpm.hits,1),_xlpm.corp))</f>
        <v>三和</v>
      </c>
      <c r="P556" t="str">
        <f t="shared" si="36"/>
        <v>2026-01-09</v>
      </c>
      <c r="Q556" t="str">
        <f t="shared" si="35"/>
        <v>三和</v>
      </c>
      <c r="R556" t="str">
        <f t="shared" si="37"/>
        <v>ベビーリーフ グリーンオーク</v>
      </c>
      <c r="S556">
        <f t="shared" si="38"/>
        <v>340</v>
      </c>
    </row>
    <row r="557" spans="1:19">
      <c r="A557" s="13">
        <v>71007</v>
      </c>
      <c r="B557" s="14" t="s">
        <v>23</v>
      </c>
      <c r="C557" s="15">
        <v>46031</v>
      </c>
      <c r="D557" s="16" t="s">
        <v>59</v>
      </c>
      <c r="E557" s="16" t="s">
        <v>2</v>
      </c>
      <c r="F557" s="17">
        <v>340</v>
      </c>
      <c r="G557" s="18" t="s">
        <v>24</v>
      </c>
      <c r="H557" s="9">
        <v>46031</v>
      </c>
      <c r="I557" s="10" t="s">
        <v>27</v>
      </c>
      <c r="J557" s="10" t="s">
        <v>3</v>
      </c>
      <c r="K557" s="11">
        <v>380</v>
      </c>
      <c r="O557" t="str" cm="1">
        <f t="array" ref="O557">_xlfn.LET(
_xlpm.corp,$I557,_xlpm.key,$M$2:$M$200,_xlpm.name,$N$2:$N$200,_xlpm.hits,_xlfn._xlws.FILTER(_xlpm.name,ISNUMBER(SEARCH(_xlpm.key,_xlpm.corp))),
IFERROR(INDEX(_xlpm.hits,1),_xlpm.corp))</f>
        <v>東レ</v>
      </c>
      <c r="P557" t="str">
        <f t="shared" si="36"/>
        <v>2026-01-09</v>
      </c>
      <c r="Q557" t="str">
        <f t="shared" si="35"/>
        <v>東レ/加工BL</v>
      </c>
      <c r="R557" t="str">
        <f t="shared" si="37"/>
        <v>加工BL</v>
      </c>
      <c r="S557">
        <f t="shared" si="38"/>
        <v>380</v>
      </c>
    </row>
    <row r="558" spans="1:19">
      <c r="A558" s="7">
        <v>71006</v>
      </c>
      <c r="B558" s="8" t="s">
        <v>23</v>
      </c>
      <c r="C558" s="9">
        <v>46031</v>
      </c>
      <c r="D558" s="10" t="s">
        <v>27</v>
      </c>
      <c r="E558" s="10" t="s">
        <v>3</v>
      </c>
      <c r="F558" s="11">
        <v>380</v>
      </c>
      <c r="G558" s="12" t="s">
        <v>24</v>
      </c>
      <c r="H558" s="15">
        <v>46031</v>
      </c>
      <c r="I558" s="16" t="s">
        <v>66</v>
      </c>
      <c r="J558" s="16" t="s">
        <v>3</v>
      </c>
      <c r="K558" s="17">
        <v>520</v>
      </c>
      <c r="O558" t="str" cm="1">
        <f t="array" ref="O558">_xlfn.LET(
_xlpm.corp,$I558,_xlpm.key,$M$2:$M$200,_xlpm.name,$N$2:$N$200,_xlpm.hits,_xlfn._xlws.FILTER(_xlpm.name,ISNUMBER(SEARCH(_xlpm.key,_xlpm.corp))),
IFERROR(INDEX(_xlpm.hits,1),_xlpm.corp))</f>
        <v>ケイアイ</v>
      </c>
      <c r="P558" t="str">
        <f t="shared" si="36"/>
        <v>2026-01-09</v>
      </c>
      <c r="Q558" t="str">
        <f t="shared" si="35"/>
        <v>ケイアイ/加工BL</v>
      </c>
      <c r="R558" t="str">
        <f t="shared" si="37"/>
        <v>加工BL</v>
      </c>
      <c r="S558">
        <f t="shared" si="38"/>
        <v>520</v>
      </c>
    </row>
    <row r="559" spans="1:19">
      <c r="A559" s="13">
        <v>71005</v>
      </c>
      <c r="B559" s="14" t="s">
        <v>23</v>
      </c>
      <c r="C559" s="15">
        <v>46031</v>
      </c>
      <c r="D559" s="16" t="s">
        <v>66</v>
      </c>
      <c r="E559" s="16" t="s">
        <v>3</v>
      </c>
      <c r="F559" s="17">
        <v>520</v>
      </c>
      <c r="G559" s="18" t="s">
        <v>24</v>
      </c>
      <c r="H559" s="9">
        <v>46031</v>
      </c>
      <c r="I559" s="10" t="s">
        <v>57</v>
      </c>
      <c r="J559" s="10" t="s">
        <v>3</v>
      </c>
      <c r="K559" s="11">
        <v>160</v>
      </c>
      <c r="O559" t="str" cm="1">
        <f t="array" ref="O559">_xlfn.LET(
_xlpm.corp,$I559,_xlpm.key,$M$2:$M$200,_xlpm.name,$N$2:$N$200,_xlpm.hits,_xlfn._xlws.FILTER(_xlpm.name,ISNUMBER(SEARCH(_xlpm.key,_xlpm.corp))),
IFERROR(INDEX(_xlpm.hits,1),_xlpm.corp))</f>
        <v>QB</v>
      </c>
      <c r="P559" t="str">
        <f t="shared" si="36"/>
        <v>2026-01-09</v>
      </c>
      <c r="Q559" t="str">
        <f t="shared" si="35"/>
        <v>QB/加工BL</v>
      </c>
      <c r="R559" t="str">
        <f t="shared" si="37"/>
        <v>加工BL</v>
      </c>
      <c r="S559">
        <f t="shared" si="38"/>
        <v>160</v>
      </c>
    </row>
    <row r="560" spans="1:19">
      <c r="A560" s="7">
        <v>71004</v>
      </c>
      <c r="B560" s="8" t="s">
        <v>23</v>
      </c>
      <c r="C560" s="9">
        <v>46031</v>
      </c>
      <c r="D560" s="10" t="s">
        <v>57</v>
      </c>
      <c r="E560" s="10" t="s">
        <v>3</v>
      </c>
      <c r="F560" s="11">
        <v>160</v>
      </c>
      <c r="G560" s="12" t="s">
        <v>24</v>
      </c>
      <c r="H560" s="15">
        <v>46031</v>
      </c>
      <c r="I560" s="16" t="s">
        <v>61</v>
      </c>
      <c r="J560" s="16" t="s">
        <v>62</v>
      </c>
      <c r="K560" s="17">
        <v>640</v>
      </c>
      <c r="O560" t="str" cm="1">
        <f t="array" ref="O560">_xlfn.LET(
_xlpm.corp,$I560,_xlpm.key,$M$2:$M$200,_xlpm.name,$N$2:$N$200,_xlpm.hits,_xlfn._xlws.FILTER(_xlpm.name,ISNUMBER(SEARCH(_xlpm.key,_xlpm.corp))),
IFERROR(INDEX(_xlpm.hits,1),_xlpm.corp))</f>
        <v>Adobe</v>
      </c>
      <c r="P560" t="str">
        <f t="shared" si="36"/>
        <v>2026-01-09</v>
      </c>
      <c r="Q560" t="str">
        <f t="shared" si="35"/>
        <v>Adobe</v>
      </c>
      <c r="R560" t="str">
        <f t="shared" si="37"/>
        <v>ベビーリーフ ロログリーン</v>
      </c>
      <c r="S560">
        <f t="shared" si="38"/>
        <v>640</v>
      </c>
    </row>
    <row r="561" spans="1:19">
      <c r="A561" s="13">
        <v>71003</v>
      </c>
      <c r="B561" s="14" t="s">
        <v>23</v>
      </c>
      <c r="C561" s="15">
        <v>46031</v>
      </c>
      <c r="D561" s="16" t="s">
        <v>61</v>
      </c>
      <c r="E561" s="16" t="s">
        <v>62</v>
      </c>
      <c r="F561" s="17">
        <v>640</v>
      </c>
      <c r="G561" s="18" t="s">
        <v>24</v>
      </c>
      <c r="H561" s="9">
        <v>46031</v>
      </c>
      <c r="I561" s="10" t="s">
        <v>64</v>
      </c>
      <c r="J561" s="10" t="s">
        <v>11</v>
      </c>
      <c r="K561" s="11">
        <v>520</v>
      </c>
      <c r="O561" t="str" cm="1">
        <f t="array" ref="O561">_xlfn.LET(
_xlpm.corp,$I561,_xlpm.key,$M$2:$M$200,_xlpm.name,$N$2:$N$200,_xlpm.hits,_xlfn._xlws.FILTER(_xlpm.name,ISNUMBER(SEARCH(_xlpm.key,_xlpm.corp))),
IFERROR(INDEX(_xlpm.hits,1),_xlpm.corp))</f>
        <v>NaITO</v>
      </c>
      <c r="P561" t="str">
        <f t="shared" si="36"/>
        <v>2026-01-09</v>
      </c>
      <c r="Q561" t="str">
        <f t="shared" si="35"/>
        <v>NaITO</v>
      </c>
      <c r="R561" t="str">
        <f t="shared" si="37"/>
        <v>ベビーリーフ レッドオーク</v>
      </c>
      <c r="S561">
        <f t="shared" si="38"/>
        <v>520</v>
      </c>
    </row>
    <row r="562" spans="1:19">
      <c r="A562" s="7">
        <v>71002</v>
      </c>
      <c r="B562" s="8" t="s">
        <v>23</v>
      </c>
      <c r="C562" s="9">
        <v>46031</v>
      </c>
      <c r="D562" s="10" t="s">
        <v>64</v>
      </c>
      <c r="E562" s="10" t="s">
        <v>11</v>
      </c>
      <c r="F562" s="11">
        <v>520</v>
      </c>
      <c r="G562" s="12" t="s">
        <v>24</v>
      </c>
      <c r="H562" s="15">
        <v>46031</v>
      </c>
      <c r="I562" s="16" t="s">
        <v>69</v>
      </c>
      <c r="J562" s="16" t="s">
        <v>9</v>
      </c>
      <c r="K562" s="17">
        <v>80</v>
      </c>
      <c r="O562" t="str" cm="1">
        <f t="array" ref="O562">_xlfn.LET(
_xlpm.corp,$I562,_xlpm.key,$M$2:$M$200,_xlpm.name,$N$2:$N$200,_xlpm.hits,_xlfn._xlws.FILTER(_xlpm.name,ISNUMBER(SEARCH(_xlpm.key,_xlpm.corp))),
IFERROR(INDEX(_xlpm.hits,1),_xlpm.corp))</f>
        <v>バリュエンス</v>
      </c>
      <c r="P562" t="str">
        <f t="shared" si="36"/>
        <v>2026-01-09</v>
      </c>
      <c r="Q562" t="str">
        <f t="shared" si="35"/>
        <v>バリュエンス</v>
      </c>
      <c r="R562" t="str">
        <f t="shared" si="37"/>
        <v>ベビーリーフ ロロロッサ</v>
      </c>
      <c r="S562">
        <f t="shared" si="38"/>
        <v>80</v>
      </c>
    </row>
    <row r="563" spans="1:19">
      <c r="A563" s="13">
        <v>71001</v>
      </c>
      <c r="B563" s="14" t="s">
        <v>23</v>
      </c>
      <c r="C563" s="15">
        <v>46031</v>
      </c>
      <c r="D563" s="16" t="s">
        <v>69</v>
      </c>
      <c r="E563" s="16" t="s">
        <v>9</v>
      </c>
      <c r="F563" s="17">
        <v>80</v>
      </c>
      <c r="G563" s="18" t="s">
        <v>24</v>
      </c>
      <c r="H563" s="9">
        <v>46031</v>
      </c>
      <c r="I563" s="10" t="s">
        <v>60</v>
      </c>
      <c r="J563" s="10" t="s">
        <v>3</v>
      </c>
      <c r="K563" s="11">
        <v>40</v>
      </c>
      <c r="O563" t="str" cm="1">
        <f t="array" ref="O563">_xlfn.LET(
_xlpm.corp,$I563,_xlpm.key,$M$2:$M$200,_xlpm.name,$N$2:$N$200,_xlpm.hits,_xlfn._xlws.FILTER(_xlpm.name,ISNUMBER(SEARCH(_xlpm.key,_xlpm.corp))),
IFERROR(INDEX(_xlpm.hits,1),_xlpm.corp))</f>
        <v>サンテレホン</v>
      </c>
      <c r="P563" t="str">
        <f t="shared" si="36"/>
        <v>2026-01-09</v>
      </c>
      <c r="Q563" t="str">
        <f t="shared" si="35"/>
        <v>サンテレホン/加工BL</v>
      </c>
      <c r="R563" t="str">
        <f t="shared" si="37"/>
        <v>加工BL</v>
      </c>
      <c r="S563">
        <f t="shared" si="38"/>
        <v>40</v>
      </c>
    </row>
    <row r="564" spans="1:19">
      <c r="A564" s="7">
        <v>71000</v>
      </c>
      <c r="B564" s="8" t="s">
        <v>23</v>
      </c>
      <c r="C564" s="9">
        <v>46031</v>
      </c>
      <c r="D564" s="10" t="s">
        <v>60</v>
      </c>
      <c r="E564" s="10" t="s">
        <v>3</v>
      </c>
      <c r="F564" s="11">
        <v>40</v>
      </c>
      <c r="G564" s="12" t="s">
        <v>24</v>
      </c>
      <c r="H564" s="15">
        <v>46031</v>
      </c>
      <c r="I564" s="16" t="s">
        <v>70</v>
      </c>
      <c r="J564" s="16" t="s">
        <v>4</v>
      </c>
      <c r="K564" s="17">
        <v>800</v>
      </c>
      <c r="O564" t="str" cm="1">
        <f t="array" ref="O564">_xlfn.LET(
_xlpm.corp,$I564,_xlpm.key,$M$2:$M$200,_xlpm.name,$N$2:$N$200,_xlpm.hits,_xlfn._xlws.FILTER(_xlpm.name,ISNUMBER(SEARCH(_xlpm.key,_xlpm.corp))),
IFERROR(INDEX(_xlpm.hits,1),_xlpm.corp))</f>
        <v>富士機械</v>
      </c>
      <c r="P564" t="str">
        <f t="shared" si="36"/>
        <v>2026-01-09</v>
      </c>
      <c r="Q564" t="str">
        <f t="shared" si="35"/>
        <v>富士機械</v>
      </c>
      <c r="R564" t="str">
        <f t="shared" si="37"/>
        <v>ベビーリーフ ピノグリーン</v>
      </c>
      <c r="S564">
        <f t="shared" si="38"/>
        <v>800</v>
      </c>
    </row>
    <row r="565" spans="1:19">
      <c r="A565" s="13">
        <v>70999</v>
      </c>
      <c r="B565" s="14" t="s">
        <v>23</v>
      </c>
      <c r="C565" s="15">
        <v>46031</v>
      </c>
      <c r="D565" s="16" t="s">
        <v>70</v>
      </c>
      <c r="E565" s="16" t="s">
        <v>4</v>
      </c>
      <c r="F565" s="17">
        <v>800</v>
      </c>
      <c r="G565" s="18" t="s">
        <v>24</v>
      </c>
      <c r="H565" s="9">
        <v>46031</v>
      </c>
      <c r="I565" s="10" t="s">
        <v>57</v>
      </c>
      <c r="J565" s="10" t="s">
        <v>3</v>
      </c>
      <c r="K565" s="11">
        <v>220</v>
      </c>
      <c r="O565" t="str" cm="1">
        <f t="array" ref="O565">_xlfn.LET(
_xlpm.corp,$I565,_xlpm.key,$M$2:$M$200,_xlpm.name,$N$2:$N$200,_xlpm.hits,_xlfn._xlws.FILTER(_xlpm.name,ISNUMBER(SEARCH(_xlpm.key,_xlpm.corp))),
IFERROR(INDEX(_xlpm.hits,1),_xlpm.corp))</f>
        <v>QB</v>
      </c>
      <c r="P565" t="str">
        <f t="shared" si="36"/>
        <v>2026-01-09</v>
      </c>
      <c r="Q565" t="str">
        <f t="shared" si="35"/>
        <v>QB/加工BL</v>
      </c>
      <c r="R565" t="str">
        <f t="shared" si="37"/>
        <v>加工BL</v>
      </c>
      <c r="S565">
        <f t="shared" si="38"/>
        <v>220</v>
      </c>
    </row>
    <row r="566" spans="1:19">
      <c r="A566" s="7">
        <v>70998</v>
      </c>
      <c r="B566" s="8" t="s">
        <v>23</v>
      </c>
      <c r="C566" s="9">
        <v>46031</v>
      </c>
      <c r="D566" s="10" t="s">
        <v>57</v>
      </c>
      <c r="E566" s="10" t="s">
        <v>3</v>
      </c>
      <c r="F566" s="11">
        <v>220</v>
      </c>
      <c r="G566" s="12" t="s">
        <v>24</v>
      </c>
      <c r="H566" s="15">
        <v>46031</v>
      </c>
      <c r="I566" s="16" t="s">
        <v>63</v>
      </c>
      <c r="J566" s="16" t="s">
        <v>62</v>
      </c>
      <c r="K566" s="17">
        <v>300</v>
      </c>
      <c r="O566" t="str" cm="1">
        <f t="array" ref="O566">_xlfn.LET(
_xlpm.corp,$I566,_xlpm.key,$M$2:$M$200,_xlpm.name,$N$2:$N$200,_xlpm.hits,_xlfn._xlws.FILTER(_xlpm.name,ISNUMBER(SEARCH(_xlpm.key,_xlpm.corp))),
IFERROR(INDEX(_xlpm.hits,1),_xlpm.corp))</f>
        <v>富士機材</v>
      </c>
      <c r="P566" t="str">
        <f t="shared" si="36"/>
        <v>2026-01-09</v>
      </c>
      <c r="Q566" t="str">
        <f t="shared" si="35"/>
        <v>富士機材</v>
      </c>
      <c r="R566" t="str">
        <f t="shared" si="37"/>
        <v>ベビーリーフ ロログリーン</v>
      </c>
      <c r="S566">
        <f t="shared" si="38"/>
        <v>300</v>
      </c>
    </row>
    <row r="567" spans="1:19">
      <c r="A567" s="13">
        <v>70997</v>
      </c>
      <c r="B567" s="14" t="s">
        <v>23</v>
      </c>
      <c r="C567" s="15">
        <v>46031</v>
      </c>
      <c r="D567" s="16" t="s">
        <v>63</v>
      </c>
      <c r="E567" s="16" t="s">
        <v>62</v>
      </c>
      <c r="F567" s="17">
        <v>300</v>
      </c>
      <c r="G567" s="18" t="s">
        <v>24</v>
      </c>
      <c r="H567" s="9">
        <v>46031</v>
      </c>
      <c r="I567" s="10" t="s">
        <v>27</v>
      </c>
      <c r="J567" s="10" t="s">
        <v>4</v>
      </c>
      <c r="K567" s="11">
        <v>160</v>
      </c>
      <c r="O567" t="str" cm="1">
        <f t="array" ref="O567">_xlfn.LET(
_xlpm.corp,$I567,_xlpm.key,$M$2:$M$200,_xlpm.name,$N$2:$N$200,_xlpm.hits,_xlfn._xlws.FILTER(_xlpm.name,ISNUMBER(SEARCH(_xlpm.key,_xlpm.corp))),
IFERROR(INDEX(_xlpm.hits,1),_xlpm.corp))</f>
        <v>東レ</v>
      </c>
      <c r="P567" t="str">
        <f t="shared" si="36"/>
        <v>2026-01-09</v>
      </c>
      <c r="Q567" t="str">
        <f t="shared" si="35"/>
        <v>東レ</v>
      </c>
      <c r="R567" t="str">
        <f t="shared" si="37"/>
        <v>ベビーリーフ ピノグリーン</v>
      </c>
      <c r="S567">
        <f t="shared" si="38"/>
        <v>160</v>
      </c>
    </row>
    <row r="568" spans="1:19">
      <c r="A568" s="7">
        <v>70996</v>
      </c>
      <c r="B568" s="8" t="s">
        <v>23</v>
      </c>
      <c r="C568" s="9">
        <v>46031</v>
      </c>
      <c r="D568" s="10" t="s">
        <v>27</v>
      </c>
      <c r="E568" s="10" t="s">
        <v>4</v>
      </c>
      <c r="F568" s="11">
        <v>160</v>
      </c>
      <c r="G568" s="12" t="s">
        <v>24</v>
      </c>
      <c r="H568" s="15">
        <v>46031</v>
      </c>
      <c r="I568" s="16" t="s">
        <v>67</v>
      </c>
      <c r="J568" s="16" t="s">
        <v>4</v>
      </c>
      <c r="K568" s="17">
        <v>40</v>
      </c>
      <c r="O568" t="str" cm="1">
        <f t="array" ref="O568">_xlfn.LET(
_xlpm.corp,$I568,_xlpm.key,$M$2:$M$200,_xlpm.name,$N$2:$N$200,_xlpm.hits,_xlfn._xlws.FILTER(_xlpm.name,ISNUMBER(SEARCH(_xlpm.key,_xlpm.corp))),
IFERROR(INDEX(_xlpm.hits,1),_xlpm.corp))</f>
        <v>日本ロレアル</v>
      </c>
      <c r="P568" t="str">
        <f t="shared" si="36"/>
        <v>2026-01-09</v>
      </c>
      <c r="Q568" t="str">
        <f t="shared" si="35"/>
        <v>日本ロレアル</v>
      </c>
      <c r="R568" t="str">
        <f t="shared" si="37"/>
        <v>ベビーリーフ ピノグリーン</v>
      </c>
      <c r="S568">
        <f t="shared" si="38"/>
        <v>40</v>
      </c>
    </row>
    <row r="569" spans="1:19">
      <c r="A569" s="13">
        <v>70995</v>
      </c>
      <c r="B569" s="14" t="s">
        <v>23</v>
      </c>
      <c r="C569" s="15">
        <v>46031</v>
      </c>
      <c r="D569" s="16" t="s">
        <v>67</v>
      </c>
      <c r="E569" s="16" t="s">
        <v>4</v>
      </c>
      <c r="F569" s="17">
        <v>40</v>
      </c>
      <c r="G569" s="18" t="s">
        <v>24</v>
      </c>
      <c r="H569" s="9">
        <v>46031</v>
      </c>
      <c r="I569" s="10" t="s">
        <v>27</v>
      </c>
      <c r="J569" s="10" t="s">
        <v>2</v>
      </c>
      <c r="K569" s="11">
        <v>320</v>
      </c>
      <c r="O569" t="str" cm="1">
        <f t="array" ref="O569">_xlfn.LET(
_xlpm.corp,$I569,_xlpm.key,$M$2:$M$200,_xlpm.name,$N$2:$N$200,_xlpm.hits,_xlfn._xlws.FILTER(_xlpm.name,ISNUMBER(SEARCH(_xlpm.key,_xlpm.corp))),
IFERROR(INDEX(_xlpm.hits,1),_xlpm.corp))</f>
        <v>東レ</v>
      </c>
      <c r="P569" t="str">
        <f t="shared" si="36"/>
        <v>2026-01-09</v>
      </c>
      <c r="Q569" t="str">
        <f t="shared" si="35"/>
        <v>東レ</v>
      </c>
      <c r="R569" t="str">
        <f t="shared" si="37"/>
        <v>ベビーリーフ グリーンオーク</v>
      </c>
      <c r="S569">
        <f t="shared" si="38"/>
        <v>320</v>
      </c>
    </row>
    <row r="570" spans="1:19">
      <c r="A570" s="7">
        <v>70994</v>
      </c>
      <c r="B570" s="8" t="s">
        <v>23</v>
      </c>
      <c r="C570" s="9">
        <v>46031</v>
      </c>
      <c r="D570" s="10" t="s">
        <v>27</v>
      </c>
      <c r="E570" s="10" t="s">
        <v>2</v>
      </c>
      <c r="F570" s="11">
        <v>320</v>
      </c>
      <c r="G570" s="12" t="s">
        <v>24</v>
      </c>
      <c r="H570" s="15">
        <v>46031</v>
      </c>
      <c r="I570" s="16" t="s">
        <v>27</v>
      </c>
      <c r="J570" s="16" t="s">
        <v>3</v>
      </c>
      <c r="K570" s="17">
        <v>280</v>
      </c>
      <c r="O570" t="str" cm="1">
        <f t="array" ref="O570">_xlfn.LET(
_xlpm.corp,$I570,_xlpm.key,$M$2:$M$200,_xlpm.name,$N$2:$N$200,_xlpm.hits,_xlfn._xlws.FILTER(_xlpm.name,ISNUMBER(SEARCH(_xlpm.key,_xlpm.corp))),
IFERROR(INDEX(_xlpm.hits,1),_xlpm.corp))</f>
        <v>東レ</v>
      </c>
      <c r="P570" t="str">
        <f t="shared" si="36"/>
        <v>2026-01-09</v>
      </c>
      <c r="Q570" t="str">
        <f t="shared" si="35"/>
        <v>東レ/加工BL</v>
      </c>
      <c r="R570" t="str">
        <f t="shared" si="37"/>
        <v>加工BL</v>
      </c>
      <c r="S570">
        <f t="shared" si="38"/>
        <v>280</v>
      </c>
    </row>
    <row r="571" spans="1:19">
      <c r="A571" s="13">
        <v>70993</v>
      </c>
      <c r="B571" s="14" t="s">
        <v>23</v>
      </c>
      <c r="C571" s="15">
        <v>46031</v>
      </c>
      <c r="D571" s="16" t="s">
        <v>27</v>
      </c>
      <c r="E571" s="16" t="s">
        <v>3</v>
      </c>
      <c r="F571" s="17">
        <v>280</v>
      </c>
      <c r="G571" s="18" t="s">
        <v>24</v>
      </c>
      <c r="H571" s="9">
        <v>46031</v>
      </c>
      <c r="I571" s="10" t="s">
        <v>57</v>
      </c>
      <c r="J571" s="10" t="s">
        <v>2</v>
      </c>
      <c r="K571" s="11">
        <v>80</v>
      </c>
      <c r="O571" t="str" cm="1">
        <f t="array" ref="O571">_xlfn.LET(
_xlpm.corp,$I571,_xlpm.key,$M$2:$M$200,_xlpm.name,$N$2:$N$200,_xlpm.hits,_xlfn._xlws.FILTER(_xlpm.name,ISNUMBER(SEARCH(_xlpm.key,_xlpm.corp))),
IFERROR(INDEX(_xlpm.hits,1),_xlpm.corp))</f>
        <v>QB</v>
      </c>
      <c r="P571" t="str">
        <f t="shared" si="36"/>
        <v>2026-01-09</v>
      </c>
      <c r="Q571" t="str">
        <f t="shared" si="35"/>
        <v>QB</v>
      </c>
      <c r="R571" t="str">
        <f t="shared" si="37"/>
        <v>ベビーリーフ グリーンオーク</v>
      </c>
      <c r="S571">
        <f t="shared" si="38"/>
        <v>80</v>
      </c>
    </row>
    <row r="572" spans="1:19">
      <c r="A572" s="7">
        <v>70992</v>
      </c>
      <c r="B572" s="8" t="s">
        <v>23</v>
      </c>
      <c r="C572" s="9">
        <v>46031</v>
      </c>
      <c r="D572" s="10" t="s">
        <v>57</v>
      </c>
      <c r="E572" s="10" t="s">
        <v>2</v>
      </c>
      <c r="F572" s="11">
        <v>80</v>
      </c>
      <c r="G572" s="12" t="s">
        <v>24</v>
      </c>
      <c r="H572" s="15">
        <v>46031</v>
      </c>
      <c r="I572" s="16" t="s">
        <v>26</v>
      </c>
      <c r="J572" s="16" t="s">
        <v>2</v>
      </c>
      <c r="K572" s="17">
        <v>300</v>
      </c>
      <c r="O572" t="str" cm="1">
        <f t="array" ref="O572">_xlfn.LET(
_xlpm.corp,$I572,_xlpm.key,$M$2:$M$200,_xlpm.name,$N$2:$N$200,_xlpm.hits,_xlfn._xlws.FILTER(_xlpm.name,ISNUMBER(SEARCH(_xlpm.key,_xlpm.corp))),
IFERROR(INDEX(_xlpm.hits,1),_xlpm.corp))</f>
        <v>日建</v>
      </c>
      <c r="P572" t="str">
        <f t="shared" si="36"/>
        <v>2026-01-09</v>
      </c>
      <c r="Q572" t="str">
        <f t="shared" si="35"/>
        <v>日建</v>
      </c>
      <c r="R572" t="str">
        <f t="shared" si="37"/>
        <v>ベビーリーフ グリーンオーク</v>
      </c>
      <c r="S572">
        <f t="shared" si="38"/>
        <v>300</v>
      </c>
    </row>
    <row r="573" spans="1:19">
      <c r="A573" s="13">
        <v>70991</v>
      </c>
      <c r="B573" s="14" t="s">
        <v>23</v>
      </c>
      <c r="C573" s="15">
        <v>46031</v>
      </c>
      <c r="D573" s="16" t="s">
        <v>26</v>
      </c>
      <c r="E573" s="16" t="s">
        <v>2</v>
      </c>
      <c r="F573" s="17">
        <v>300</v>
      </c>
      <c r="G573" s="18" t="s">
        <v>24</v>
      </c>
      <c r="H573" s="9">
        <v>46031</v>
      </c>
      <c r="I573" s="10" t="s">
        <v>28</v>
      </c>
      <c r="J573" s="10" t="s">
        <v>2</v>
      </c>
      <c r="K573" s="11">
        <v>220</v>
      </c>
      <c r="O573" t="str" cm="1">
        <f t="array" ref="O573">_xlfn.LET(
_xlpm.corp,$I573,_xlpm.key,$M$2:$M$200,_xlpm.name,$N$2:$N$200,_xlpm.hits,_xlfn._xlws.FILTER(_xlpm.name,ISNUMBER(SEARCH(_xlpm.key,_xlpm.corp))),
IFERROR(INDEX(_xlpm.hits,1),_xlpm.corp))</f>
        <v>牧野フライス</v>
      </c>
      <c r="P573" t="str">
        <f t="shared" si="36"/>
        <v>2026-01-09</v>
      </c>
      <c r="Q573" t="str">
        <f t="shared" si="35"/>
        <v>牧野フライス</v>
      </c>
      <c r="R573" t="str">
        <f t="shared" si="37"/>
        <v>ベビーリーフ グリーンオーク</v>
      </c>
      <c r="S573">
        <f t="shared" si="38"/>
        <v>220</v>
      </c>
    </row>
    <row r="574" spans="1:19">
      <c r="A574" s="7">
        <v>70990</v>
      </c>
      <c r="B574" s="8" t="s">
        <v>23</v>
      </c>
      <c r="C574" s="9">
        <v>46031</v>
      </c>
      <c r="D574" s="10" t="s">
        <v>28</v>
      </c>
      <c r="E574" s="10" t="s">
        <v>2</v>
      </c>
      <c r="F574" s="11">
        <v>220</v>
      </c>
      <c r="G574" s="12" t="s">
        <v>24</v>
      </c>
      <c r="H574" s="15">
        <v>46031</v>
      </c>
      <c r="I574" s="16" t="s">
        <v>25</v>
      </c>
      <c r="J574" s="16" t="s">
        <v>2</v>
      </c>
      <c r="K574" s="17">
        <v>220</v>
      </c>
      <c r="O574" t="str" cm="1">
        <f t="array" ref="O574">_xlfn.LET(
_xlpm.corp,$I574,_xlpm.key,$M$2:$M$200,_xlpm.name,$N$2:$N$200,_xlpm.hits,_xlfn._xlws.FILTER(_xlpm.name,ISNUMBER(SEARCH(_xlpm.key,_xlpm.corp))),
IFERROR(INDEX(_xlpm.hits,1),_xlpm.corp))</f>
        <v>日本ファブテック</v>
      </c>
      <c r="P574" t="str">
        <f t="shared" si="36"/>
        <v>2026-01-09</v>
      </c>
      <c r="Q574" t="str">
        <f t="shared" si="35"/>
        <v>日本ファブテック</v>
      </c>
      <c r="R574" t="str">
        <f t="shared" si="37"/>
        <v>ベビーリーフ グリーンオーク</v>
      </c>
      <c r="S574">
        <f t="shared" si="38"/>
        <v>220</v>
      </c>
    </row>
    <row r="575" spans="1:19">
      <c r="A575" s="13">
        <v>70989</v>
      </c>
      <c r="B575" s="14" t="s">
        <v>23</v>
      </c>
      <c r="C575" s="15">
        <v>46031</v>
      </c>
      <c r="D575" s="16" t="s">
        <v>25</v>
      </c>
      <c r="E575" s="16" t="s">
        <v>2</v>
      </c>
      <c r="F575" s="17">
        <v>220</v>
      </c>
      <c r="G575" s="18" t="s">
        <v>24</v>
      </c>
      <c r="H575" s="9">
        <v>46031</v>
      </c>
      <c r="I575" s="10" t="s">
        <v>27</v>
      </c>
      <c r="J575" s="10" t="s">
        <v>11</v>
      </c>
      <c r="K575" s="11">
        <v>180</v>
      </c>
      <c r="O575" t="str" cm="1">
        <f t="array" ref="O575">_xlfn.LET(
_xlpm.corp,$I575,_xlpm.key,$M$2:$M$200,_xlpm.name,$N$2:$N$200,_xlpm.hits,_xlfn._xlws.FILTER(_xlpm.name,ISNUMBER(SEARCH(_xlpm.key,_xlpm.corp))),
IFERROR(INDEX(_xlpm.hits,1),_xlpm.corp))</f>
        <v>東レ</v>
      </c>
      <c r="P575" t="str">
        <f t="shared" si="36"/>
        <v>2026-01-09</v>
      </c>
      <c r="Q575" t="str">
        <f t="shared" si="35"/>
        <v>東レ</v>
      </c>
      <c r="R575" t="str">
        <f t="shared" si="37"/>
        <v>ベビーリーフ レッドオーク</v>
      </c>
      <c r="S575">
        <f t="shared" si="38"/>
        <v>180</v>
      </c>
    </row>
    <row r="576" spans="1:19">
      <c r="A576" s="7">
        <v>70988</v>
      </c>
      <c r="B576" s="8" t="s">
        <v>23</v>
      </c>
      <c r="C576" s="9">
        <v>46031</v>
      </c>
      <c r="D576" s="10" t="s">
        <v>27</v>
      </c>
      <c r="E576" s="10" t="s">
        <v>11</v>
      </c>
      <c r="F576" s="11">
        <v>180</v>
      </c>
      <c r="G576" s="12" t="s">
        <v>24</v>
      </c>
      <c r="H576" s="15">
        <v>46030</v>
      </c>
      <c r="I576" s="16" t="s">
        <v>59</v>
      </c>
      <c r="J576" s="16" t="s">
        <v>2</v>
      </c>
      <c r="K576" s="17">
        <v>720</v>
      </c>
      <c r="O576" t="str" cm="1">
        <f t="array" ref="O576">_xlfn.LET(
_xlpm.corp,$I576,_xlpm.key,$M$2:$M$200,_xlpm.name,$N$2:$N$200,_xlpm.hits,_xlfn._xlws.FILTER(_xlpm.name,ISNUMBER(SEARCH(_xlpm.key,_xlpm.corp))),
IFERROR(INDEX(_xlpm.hits,1),_xlpm.corp))</f>
        <v>三和</v>
      </c>
      <c r="P576" t="str">
        <f t="shared" si="36"/>
        <v>2026-01-08</v>
      </c>
      <c r="Q576" t="str">
        <f t="shared" si="35"/>
        <v>三和</v>
      </c>
      <c r="R576" t="str">
        <f t="shared" si="37"/>
        <v>ベビーリーフ グリーンオーク</v>
      </c>
      <c r="S576">
        <f t="shared" si="38"/>
        <v>720</v>
      </c>
    </row>
    <row r="577" spans="1:19">
      <c r="A577" s="13">
        <v>71597</v>
      </c>
      <c r="B577" s="14" t="s">
        <v>23</v>
      </c>
      <c r="C577" s="15">
        <v>46030</v>
      </c>
      <c r="D577" s="16" t="s">
        <v>59</v>
      </c>
      <c r="E577" s="16" t="s">
        <v>2</v>
      </c>
      <c r="F577" s="17">
        <v>720</v>
      </c>
      <c r="G577" s="18" t="s">
        <v>24</v>
      </c>
      <c r="H577" s="9">
        <v>46030</v>
      </c>
      <c r="I577" s="10" t="s">
        <v>64</v>
      </c>
      <c r="J577" s="10" t="s">
        <v>11</v>
      </c>
      <c r="K577" s="11">
        <v>520</v>
      </c>
      <c r="O577" t="str" cm="1">
        <f t="array" ref="O577">_xlfn.LET(
_xlpm.corp,$I577,_xlpm.key,$M$2:$M$200,_xlpm.name,$N$2:$N$200,_xlpm.hits,_xlfn._xlws.FILTER(_xlpm.name,ISNUMBER(SEARCH(_xlpm.key,_xlpm.corp))),
IFERROR(INDEX(_xlpm.hits,1),_xlpm.corp))</f>
        <v>NaITO</v>
      </c>
      <c r="P577" t="str">
        <f t="shared" si="36"/>
        <v>2026-01-08</v>
      </c>
      <c r="Q577" t="str">
        <f t="shared" si="35"/>
        <v>NaITO</v>
      </c>
      <c r="R577" t="str">
        <f t="shared" si="37"/>
        <v>ベビーリーフ レッドオーク</v>
      </c>
      <c r="S577">
        <f t="shared" si="38"/>
        <v>520</v>
      </c>
    </row>
    <row r="578" spans="1:19">
      <c r="A578" s="7">
        <v>71596</v>
      </c>
      <c r="B578" s="8" t="s">
        <v>23</v>
      </c>
      <c r="C578" s="9">
        <v>46030</v>
      </c>
      <c r="D578" s="10" t="s">
        <v>64</v>
      </c>
      <c r="E578" s="10" t="s">
        <v>11</v>
      </c>
      <c r="F578" s="11">
        <v>520</v>
      </c>
      <c r="G578" s="12" t="s">
        <v>24</v>
      </c>
      <c r="H578" s="15">
        <v>46030</v>
      </c>
      <c r="I578" s="16" t="s">
        <v>26</v>
      </c>
      <c r="J578" s="16" t="s">
        <v>29</v>
      </c>
      <c r="K578" s="17">
        <v>720</v>
      </c>
      <c r="O578" t="str" cm="1">
        <f t="array" ref="O578">_xlfn.LET(
_xlpm.corp,$I578,_xlpm.key,$M$2:$M$200,_xlpm.name,$N$2:$N$200,_xlpm.hits,_xlfn._xlws.FILTER(_xlpm.name,ISNUMBER(SEARCH(_xlpm.key,_xlpm.corp))),
IFERROR(INDEX(_xlpm.hits,1),_xlpm.corp))</f>
        <v>日建</v>
      </c>
      <c r="P578" t="str">
        <f t="shared" si="36"/>
        <v>2026-01-08</v>
      </c>
      <c r="Q578" t="str">
        <f t="shared" ref="Q578:Q754" si="39">_xlfn.LET(
  _xlpm.corp, $O578,
  _xlpm.crop, $J578,
  _xlpm.suffix,
    IF(ISNUMBER(SEARCH("加工", _xlpm.crop)),      "/加工BL",
    IF(ISNUMBER(SEARCH("ミニトマト", _xlpm.crop)),"/ミニトマト",
    IF(ISNUMBER(SEARCH("イチゴ", _xlpm.crop)),    "/イチゴ",
    IF(ISNUMBER(SEARCH("ベビーリーフ",_xlpm.crop)),"",
       "/葉物野菜"
    )))),
  _xlpm.corp &amp; _xlpm.suffix
)</f>
        <v>日建/ミニトマト</v>
      </c>
      <c r="R578" t="str">
        <f t="shared" si="37"/>
        <v>ミニトマト</v>
      </c>
      <c r="S578">
        <f t="shared" si="38"/>
        <v>720</v>
      </c>
    </row>
    <row r="579" spans="1:19">
      <c r="A579" s="13">
        <v>71595</v>
      </c>
      <c r="B579" s="14" t="s">
        <v>23</v>
      </c>
      <c r="C579" s="15">
        <v>46030</v>
      </c>
      <c r="D579" s="16" t="s">
        <v>26</v>
      </c>
      <c r="E579" s="16" t="s">
        <v>29</v>
      </c>
      <c r="F579" s="17">
        <v>720</v>
      </c>
      <c r="G579" s="18" t="s">
        <v>24</v>
      </c>
      <c r="H579" s="9">
        <v>46030</v>
      </c>
      <c r="I579" s="10" t="s">
        <v>58</v>
      </c>
      <c r="J579" s="10" t="s">
        <v>9</v>
      </c>
      <c r="K579" s="11">
        <v>820</v>
      </c>
      <c r="O579" t="str" cm="1">
        <f t="array" ref="O579">_xlfn.LET(
_xlpm.corp,$I579,_xlpm.key,$M$2:$M$200,_xlpm.name,$N$2:$N$200,_xlpm.hits,_xlfn._xlws.FILTER(_xlpm.name,ISNUMBER(SEARCH(_xlpm.key,_xlpm.corp))),
IFERROR(INDEX(_xlpm.hits,1),_xlpm.corp))</f>
        <v>慈誠会</v>
      </c>
      <c r="P579" t="str">
        <f t="shared" si="36"/>
        <v>2026-01-08</v>
      </c>
      <c r="Q579" t="str">
        <f t="shared" si="39"/>
        <v>慈誠会</v>
      </c>
      <c r="R579" t="str">
        <f t="shared" si="37"/>
        <v>ベビーリーフ ロロロッサ</v>
      </c>
      <c r="S579">
        <f t="shared" si="38"/>
        <v>820</v>
      </c>
    </row>
    <row r="580" spans="1:19">
      <c r="A580" s="7">
        <v>71594</v>
      </c>
      <c r="B580" s="8" t="s">
        <v>23</v>
      </c>
      <c r="C580" s="9">
        <v>46030</v>
      </c>
      <c r="D580" s="10" t="s">
        <v>58</v>
      </c>
      <c r="E580" s="10" t="s">
        <v>9</v>
      </c>
      <c r="F580" s="11">
        <v>820</v>
      </c>
      <c r="G580" s="12" t="s">
        <v>24</v>
      </c>
      <c r="H580" s="15">
        <v>46030</v>
      </c>
      <c r="I580" s="16" t="s">
        <v>70</v>
      </c>
      <c r="J580" s="16" t="s">
        <v>9</v>
      </c>
      <c r="K580" s="17">
        <v>640</v>
      </c>
      <c r="O580" t="str" cm="1">
        <f t="array" ref="O580">_xlfn.LET(
_xlpm.corp,$I580,_xlpm.key,$M$2:$M$200,_xlpm.name,$N$2:$N$200,_xlpm.hits,_xlfn._xlws.FILTER(_xlpm.name,ISNUMBER(SEARCH(_xlpm.key,_xlpm.corp))),
IFERROR(INDEX(_xlpm.hits,1),_xlpm.corp))</f>
        <v>富士機械</v>
      </c>
      <c r="P580" t="str">
        <f t="shared" si="36"/>
        <v>2026-01-08</v>
      </c>
      <c r="Q580" t="str">
        <f t="shared" si="39"/>
        <v>富士機械</v>
      </c>
      <c r="R580" t="str">
        <f t="shared" si="37"/>
        <v>ベビーリーフ ロロロッサ</v>
      </c>
      <c r="S580">
        <f t="shared" si="38"/>
        <v>640</v>
      </c>
    </row>
    <row r="581" spans="1:19">
      <c r="A581" s="13">
        <v>71593</v>
      </c>
      <c r="B581" s="14" t="s">
        <v>23</v>
      </c>
      <c r="C581" s="15">
        <v>46030</v>
      </c>
      <c r="D581" s="16" t="s">
        <v>70</v>
      </c>
      <c r="E581" s="16" t="s">
        <v>9</v>
      </c>
      <c r="F581" s="17">
        <v>640</v>
      </c>
      <c r="G581" s="18" t="s">
        <v>24</v>
      </c>
      <c r="H581" s="9">
        <v>46030</v>
      </c>
      <c r="I581" s="10" t="s">
        <v>26</v>
      </c>
      <c r="J581" s="10" t="s">
        <v>2</v>
      </c>
      <c r="K581" s="11">
        <v>220</v>
      </c>
      <c r="O581" t="str" cm="1">
        <f t="array" ref="O581">_xlfn.LET(
_xlpm.corp,$I581,_xlpm.key,$M$2:$M$200,_xlpm.name,$N$2:$N$200,_xlpm.hits,_xlfn._xlws.FILTER(_xlpm.name,ISNUMBER(SEARCH(_xlpm.key,_xlpm.corp))),
IFERROR(INDEX(_xlpm.hits,1),_xlpm.corp))</f>
        <v>日建</v>
      </c>
      <c r="P581" t="str">
        <f t="shared" si="36"/>
        <v>2026-01-08</v>
      </c>
      <c r="Q581" t="str">
        <f t="shared" si="39"/>
        <v>日建</v>
      </c>
      <c r="R581" t="str">
        <f t="shared" si="37"/>
        <v>ベビーリーフ グリーンオーク</v>
      </c>
      <c r="S581">
        <f t="shared" si="38"/>
        <v>220</v>
      </c>
    </row>
    <row r="582" spans="1:19">
      <c r="A582" s="7">
        <v>71592</v>
      </c>
      <c r="B582" s="8" t="s">
        <v>23</v>
      </c>
      <c r="C582" s="9">
        <v>46030</v>
      </c>
      <c r="D582" s="10" t="s">
        <v>26</v>
      </c>
      <c r="E582" s="10" t="s">
        <v>2</v>
      </c>
      <c r="F582" s="11">
        <v>220</v>
      </c>
      <c r="G582" s="12" t="s">
        <v>24</v>
      </c>
      <c r="H582" s="15">
        <v>46030</v>
      </c>
      <c r="I582" s="16" t="s">
        <v>65</v>
      </c>
      <c r="J582" s="16" t="s">
        <v>2</v>
      </c>
      <c r="K582" s="17">
        <v>700</v>
      </c>
      <c r="O582" t="str" cm="1">
        <f t="array" ref="O582">_xlfn.LET(
_xlpm.corp,$I582,_xlpm.key,$M$2:$M$200,_xlpm.name,$N$2:$N$200,_xlpm.hits,_xlfn._xlws.FILTER(_xlpm.name,ISNUMBER(SEARCH(_xlpm.key,_xlpm.corp))),
IFERROR(INDEX(_xlpm.hits,1),_xlpm.corp))</f>
        <v>マルテー</v>
      </c>
      <c r="P582" t="str">
        <f t="shared" si="36"/>
        <v>2026-01-08</v>
      </c>
      <c r="Q582" t="str">
        <f t="shared" si="39"/>
        <v>マルテー</v>
      </c>
      <c r="R582" t="str">
        <f t="shared" si="37"/>
        <v>ベビーリーフ グリーンオーク</v>
      </c>
      <c r="S582">
        <f t="shared" si="38"/>
        <v>700</v>
      </c>
    </row>
    <row r="583" spans="1:19">
      <c r="A583" s="13">
        <v>71591</v>
      </c>
      <c r="B583" s="14" t="s">
        <v>23</v>
      </c>
      <c r="C583" s="15">
        <v>46030</v>
      </c>
      <c r="D583" s="16" t="s">
        <v>65</v>
      </c>
      <c r="E583" s="16" t="s">
        <v>2</v>
      </c>
      <c r="F583" s="17">
        <v>700</v>
      </c>
      <c r="G583" s="18" t="s">
        <v>24</v>
      </c>
      <c r="H583" s="9">
        <v>46030</v>
      </c>
      <c r="I583" s="10" t="s">
        <v>65</v>
      </c>
      <c r="J583" s="10" t="s">
        <v>2</v>
      </c>
      <c r="K583" s="11">
        <v>500</v>
      </c>
      <c r="O583" t="str" cm="1">
        <f t="array" ref="O583">_xlfn.LET(
_xlpm.corp,$I583,_xlpm.key,$M$2:$M$200,_xlpm.name,$N$2:$N$200,_xlpm.hits,_xlfn._xlws.FILTER(_xlpm.name,ISNUMBER(SEARCH(_xlpm.key,_xlpm.corp))),
IFERROR(INDEX(_xlpm.hits,1),_xlpm.corp))</f>
        <v>マルテー</v>
      </c>
      <c r="P583" t="str">
        <f t="shared" si="36"/>
        <v>2026-01-08</v>
      </c>
      <c r="Q583" t="str">
        <f t="shared" si="39"/>
        <v>マルテー</v>
      </c>
      <c r="R583" t="str">
        <f t="shared" si="37"/>
        <v>ベビーリーフ グリーンオーク</v>
      </c>
      <c r="S583">
        <f t="shared" si="38"/>
        <v>500</v>
      </c>
    </row>
    <row r="584" spans="1:19">
      <c r="A584" s="7">
        <v>71590</v>
      </c>
      <c r="B584" s="8" t="s">
        <v>23</v>
      </c>
      <c r="C584" s="9">
        <v>46030</v>
      </c>
      <c r="D584" s="10" t="s">
        <v>65</v>
      </c>
      <c r="E584" s="10" t="s">
        <v>2</v>
      </c>
      <c r="F584" s="11">
        <v>500</v>
      </c>
      <c r="G584" s="12" t="s">
        <v>24</v>
      </c>
      <c r="H584" s="15">
        <v>46030</v>
      </c>
      <c r="I584" s="16" t="s">
        <v>68</v>
      </c>
      <c r="J584" s="16" t="s">
        <v>3</v>
      </c>
      <c r="K584" s="17">
        <v>440</v>
      </c>
      <c r="O584" t="str" cm="1">
        <f t="array" ref="O584">_xlfn.LET(
_xlpm.corp,$I584,_xlpm.key,$M$2:$M$200,_xlpm.name,$N$2:$N$200,_xlpm.hits,_xlfn._xlws.FILTER(_xlpm.name,ISNUMBER(SEARCH(_xlpm.key,_xlpm.corp))),
IFERROR(INDEX(_xlpm.hits,1),_xlpm.corp))</f>
        <v>昭和女子</v>
      </c>
      <c r="P584" t="str">
        <f t="shared" si="36"/>
        <v>2026-01-08</v>
      </c>
      <c r="Q584" t="str">
        <f t="shared" si="39"/>
        <v>昭和女子/加工BL</v>
      </c>
      <c r="R584" t="str">
        <f t="shared" si="37"/>
        <v>加工BL</v>
      </c>
      <c r="S584">
        <f t="shared" si="38"/>
        <v>440</v>
      </c>
    </row>
    <row r="585" spans="1:19">
      <c r="A585" s="13">
        <v>71589</v>
      </c>
      <c r="B585" s="14" t="s">
        <v>23</v>
      </c>
      <c r="C585" s="15">
        <v>46030</v>
      </c>
      <c r="D585" s="16" t="s">
        <v>68</v>
      </c>
      <c r="E585" s="16" t="s">
        <v>3</v>
      </c>
      <c r="F585" s="17">
        <v>440</v>
      </c>
      <c r="G585" s="18" t="s">
        <v>24</v>
      </c>
      <c r="H585" s="9">
        <v>46030</v>
      </c>
      <c r="I585" s="10" t="s">
        <v>68</v>
      </c>
      <c r="J585" s="10" t="s">
        <v>2</v>
      </c>
      <c r="K585" s="11">
        <v>640</v>
      </c>
      <c r="O585" t="str" cm="1">
        <f t="array" ref="O585">_xlfn.LET(
_xlpm.corp,$I585,_xlpm.key,$M$2:$M$200,_xlpm.name,$N$2:$N$200,_xlpm.hits,_xlfn._xlws.FILTER(_xlpm.name,ISNUMBER(SEARCH(_xlpm.key,_xlpm.corp))),
IFERROR(INDEX(_xlpm.hits,1),_xlpm.corp))</f>
        <v>昭和女子</v>
      </c>
      <c r="P585" t="str">
        <f t="shared" si="36"/>
        <v>2026-01-08</v>
      </c>
      <c r="Q585" t="str">
        <f t="shared" si="39"/>
        <v>昭和女子</v>
      </c>
      <c r="R585" t="str">
        <f t="shared" si="37"/>
        <v>ベビーリーフ グリーンオーク</v>
      </c>
      <c r="S585">
        <f t="shared" si="38"/>
        <v>640</v>
      </c>
    </row>
    <row r="586" spans="1:19">
      <c r="A586" s="7">
        <v>71588</v>
      </c>
      <c r="B586" s="8" t="s">
        <v>23</v>
      </c>
      <c r="C586" s="9">
        <v>46030</v>
      </c>
      <c r="D586" s="10" t="s">
        <v>68</v>
      </c>
      <c r="E586" s="10" t="s">
        <v>2</v>
      </c>
      <c r="F586" s="11">
        <v>640</v>
      </c>
      <c r="G586" s="12" t="s">
        <v>24</v>
      </c>
      <c r="H586" s="15">
        <v>46030</v>
      </c>
      <c r="I586" s="16" t="s">
        <v>69</v>
      </c>
      <c r="J586" s="16" t="s">
        <v>2</v>
      </c>
      <c r="K586" s="17">
        <v>600</v>
      </c>
      <c r="O586" t="str" cm="1">
        <f t="array" ref="O586">_xlfn.LET(
_xlpm.corp,$I586,_xlpm.key,$M$2:$M$200,_xlpm.name,$N$2:$N$200,_xlpm.hits,_xlfn._xlws.FILTER(_xlpm.name,ISNUMBER(SEARCH(_xlpm.key,_xlpm.corp))),
IFERROR(INDEX(_xlpm.hits,1),_xlpm.corp))</f>
        <v>バリュエンス</v>
      </c>
      <c r="P586" t="str">
        <f t="shared" si="36"/>
        <v>2026-01-08</v>
      </c>
      <c r="Q586" t="str">
        <f t="shared" si="39"/>
        <v>バリュエンス</v>
      </c>
      <c r="R586" t="str">
        <f t="shared" si="37"/>
        <v>ベビーリーフ グリーンオーク</v>
      </c>
      <c r="S586">
        <f t="shared" si="38"/>
        <v>600</v>
      </c>
    </row>
    <row r="587" spans="1:19">
      <c r="A587" s="13">
        <v>71587</v>
      </c>
      <c r="B587" s="14" t="s">
        <v>23</v>
      </c>
      <c r="C587" s="15">
        <v>46030</v>
      </c>
      <c r="D587" s="16" t="s">
        <v>69</v>
      </c>
      <c r="E587" s="16" t="s">
        <v>2</v>
      </c>
      <c r="F587" s="17">
        <v>600</v>
      </c>
      <c r="G587" s="18" t="s">
        <v>24</v>
      </c>
      <c r="H587" s="9">
        <v>46030</v>
      </c>
      <c r="I587" s="10" t="s">
        <v>28</v>
      </c>
      <c r="J587" s="10" t="s">
        <v>2</v>
      </c>
      <c r="K587" s="11">
        <v>540</v>
      </c>
      <c r="O587" t="str" cm="1">
        <f t="array" ref="O587">_xlfn.LET(
_xlpm.corp,$I587,_xlpm.key,$M$2:$M$200,_xlpm.name,$N$2:$N$200,_xlpm.hits,_xlfn._xlws.FILTER(_xlpm.name,ISNUMBER(SEARCH(_xlpm.key,_xlpm.corp))),
IFERROR(INDEX(_xlpm.hits,1),_xlpm.corp))</f>
        <v>牧野フライス</v>
      </c>
      <c r="P587" t="str">
        <f t="shared" si="36"/>
        <v>2026-01-08</v>
      </c>
      <c r="Q587" t="str">
        <f t="shared" si="39"/>
        <v>牧野フライス</v>
      </c>
      <c r="R587" t="str">
        <f t="shared" si="37"/>
        <v>ベビーリーフ グリーンオーク</v>
      </c>
      <c r="S587">
        <f t="shared" si="38"/>
        <v>540</v>
      </c>
    </row>
    <row r="588" spans="1:19">
      <c r="A588" s="7">
        <v>71586</v>
      </c>
      <c r="B588" s="8" t="s">
        <v>23</v>
      </c>
      <c r="C588" s="9">
        <v>46030</v>
      </c>
      <c r="D588" s="10" t="s">
        <v>28</v>
      </c>
      <c r="E588" s="10" t="s">
        <v>2</v>
      </c>
      <c r="F588" s="11">
        <v>540</v>
      </c>
      <c r="G588" s="12" t="s">
        <v>24</v>
      </c>
      <c r="H588" s="15">
        <v>46030</v>
      </c>
      <c r="I588" s="16" t="s">
        <v>56</v>
      </c>
      <c r="J588" s="16" t="s">
        <v>3</v>
      </c>
      <c r="K588" s="17">
        <v>60</v>
      </c>
      <c r="O588" t="str" cm="1">
        <f t="array" ref="O588">_xlfn.LET(
_xlpm.corp,$I588,_xlpm.key,$M$2:$M$200,_xlpm.name,$N$2:$N$200,_xlpm.hits,_xlfn._xlws.FILTER(_xlpm.name,ISNUMBER(SEARCH(_xlpm.key,_xlpm.corp))),
IFERROR(INDEX(_xlpm.hits,1),_xlpm.corp))</f>
        <v>サンセイランディック</v>
      </c>
      <c r="P588" t="str">
        <f t="shared" si="36"/>
        <v>2026-01-08</v>
      </c>
      <c r="Q588" t="str">
        <f t="shared" si="39"/>
        <v>サンセイランディック/加工BL</v>
      </c>
      <c r="R588" t="str">
        <f t="shared" si="37"/>
        <v>加工BL</v>
      </c>
      <c r="S588">
        <f t="shared" si="38"/>
        <v>60</v>
      </c>
    </row>
    <row r="589" spans="1:19">
      <c r="A589" s="13">
        <v>71585</v>
      </c>
      <c r="B589" s="14" t="s">
        <v>23</v>
      </c>
      <c r="C589" s="15">
        <v>46030</v>
      </c>
      <c r="D589" s="16" t="s">
        <v>56</v>
      </c>
      <c r="E589" s="16" t="s">
        <v>3</v>
      </c>
      <c r="F589" s="17">
        <v>60</v>
      </c>
      <c r="G589" s="18" t="s">
        <v>24</v>
      </c>
      <c r="H589" s="9">
        <v>46030</v>
      </c>
      <c r="I589" s="10" t="s">
        <v>56</v>
      </c>
      <c r="J589" s="10" t="s">
        <v>2</v>
      </c>
      <c r="K589" s="11">
        <v>140</v>
      </c>
      <c r="O589" t="str" cm="1">
        <f t="array" ref="O589">_xlfn.LET(
_xlpm.corp,$I589,_xlpm.key,$M$2:$M$200,_xlpm.name,$N$2:$N$200,_xlpm.hits,_xlfn._xlws.FILTER(_xlpm.name,ISNUMBER(SEARCH(_xlpm.key,_xlpm.corp))),
IFERROR(INDEX(_xlpm.hits,1),_xlpm.corp))</f>
        <v>サンセイランディック</v>
      </c>
      <c r="P589" t="str">
        <f t="shared" si="36"/>
        <v>2026-01-08</v>
      </c>
      <c r="Q589" t="str">
        <f t="shared" si="39"/>
        <v>サンセイランディック</v>
      </c>
      <c r="R589" t="str">
        <f t="shared" si="37"/>
        <v>ベビーリーフ グリーンオーク</v>
      </c>
      <c r="S589">
        <f t="shared" si="38"/>
        <v>140</v>
      </c>
    </row>
    <row r="590" spans="1:19">
      <c r="A590" s="7">
        <v>71584</v>
      </c>
      <c r="B590" s="8" t="s">
        <v>23</v>
      </c>
      <c r="C590" s="9">
        <v>46030</v>
      </c>
      <c r="D590" s="10" t="s">
        <v>56</v>
      </c>
      <c r="E590" s="10" t="s">
        <v>2</v>
      </c>
      <c r="F590" s="11">
        <v>140</v>
      </c>
      <c r="G590" s="12" t="s">
        <v>24</v>
      </c>
      <c r="H590" s="15">
        <v>46030</v>
      </c>
      <c r="I590" s="16" t="s">
        <v>66</v>
      </c>
      <c r="J590" s="16" t="s">
        <v>12</v>
      </c>
      <c r="K590" s="19">
        <v>2160</v>
      </c>
      <c r="O590" t="str" cm="1">
        <f t="array" ref="O590">_xlfn.LET(
_xlpm.corp,$I590,_xlpm.key,$M$2:$M$200,_xlpm.name,$N$2:$N$200,_xlpm.hits,_xlfn._xlws.FILTER(_xlpm.name,ISNUMBER(SEARCH(_xlpm.key,_xlpm.corp))),
IFERROR(INDEX(_xlpm.hits,1),_xlpm.corp))</f>
        <v>ケイアイ</v>
      </c>
      <c r="P590" t="str">
        <f t="shared" si="36"/>
        <v>2026-01-08</v>
      </c>
      <c r="Q590" t="str">
        <f t="shared" si="39"/>
        <v>ケイアイ/葉物野菜</v>
      </c>
      <c r="R590" t="str">
        <f t="shared" si="37"/>
        <v>ブロッコリースプラウト</v>
      </c>
      <c r="S590">
        <f t="shared" si="38"/>
        <v>2160</v>
      </c>
    </row>
    <row r="591" spans="1:19">
      <c r="A591" s="13">
        <v>71583</v>
      </c>
      <c r="B591" s="14" t="s">
        <v>23</v>
      </c>
      <c r="C591" s="15">
        <v>46030</v>
      </c>
      <c r="D591" s="16" t="s">
        <v>66</v>
      </c>
      <c r="E591" s="16" t="s">
        <v>12</v>
      </c>
      <c r="F591" s="19">
        <v>2160</v>
      </c>
      <c r="G591" s="18" t="s">
        <v>24</v>
      </c>
      <c r="H591" s="9">
        <v>46030</v>
      </c>
      <c r="I591" s="10" t="s">
        <v>59</v>
      </c>
      <c r="J591" s="10" t="s">
        <v>2</v>
      </c>
      <c r="K591" s="11">
        <v>580</v>
      </c>
      <c r="O591" t="str" cm="1">
        <f t="array" ref="O591">_xlfn.LET(
_xlpm.corp,$I591,_xlpm.key,$M$2:$M$200,_xlpm.name,$N$2:$N$200,_xlpm.hits,_xlfn._xlws.FILTER(_xlpm.name,ISNUMBER(SEARCH(_xlpm.key,_xlpm.corp))),
IFERROR(INDEX(_xlpm.hits,1),_xlpm.corp))</f>
        <v>三和</v>
      </c>
      <c r="P591" t="str">
        <f t="shared" si="36"/>
        <v>2026-01-08</v>
      </c>
      <c r="Q591" t="str">
        <f t="shared" si="39"/>
        <v>三和</v>
      </c>
      <c r="R591" t="str">
        <f t="shared" si="37"/>
        <v>ベビーリーフ グリーンオーク</v>
      </c>
      <c r="S591">
        <f t="shared" si="38"/>
        <v>580</v>
      </c>
    </row>
    <row r="592" spans="1:19">
      <c r="A592" s="7">
        <v>71582</v>
      </c>
      <c r="B592" s="8" t="s">
        <v>23</v>
      </c>
      <c r="C592" s="9">
        <v>46030</v>
      </c>
      <c r="D592" s="10" t="s">
        <v>59</v>
      </c>
      <c r="E592" s="10" t="s">
        <v>2</v>
      </c>
      <c r="F592" s="11">
        <v>580</v>
      </c>
      <c r="G592" s="12" t="s">
        <v>24</v>
      </c>
      <c r="H592" s="15">
        <v>46030</v>
      </c>
      <c r="I592" s="16" t="s">
        <v>58</v>
      </c>
      <c r="J592" s="16" t="s">
        <v>9</v>
      </c>
      <c r="K592" s="17">
        <v>600</v>
      </c>
      <c r="O592" t="str" cm="1">
        <f t="array" ref="O592">_xlfn.LET(
_xlpm.corp,$I592,_xlpm.key,$M$2:$M$200,_xlpm.name,$N$2:$N$200,_xlpm.hits,_xlfn._xlws.FILTER(_xlpm.name,ISNUMBER(SEARCH(_xlpm.key,_xlpm.corp))),
IFERROR(INDEX(_xlpm.hits,1),_xlpm.corp))</f>
        <v>慈誠会</v>
      </c>
      <c r="P592" t="str">
        <f t="shared" ref="P592:P593" si="40">IFERROR(TEXT(DATEVALUE(SUBSTITUTE(SUBSTITUTE(H592,".","/"),"-","/")),"yyyy-mm-dd"),
TEXT(H592,"yyyy-mm-dd"))</f>
        <v>2026-01-08</v>
      </c>
      <c r="Q592" t="str">
        <f t="shared" si="39"/>
        <v>慈誠会</v>
      </c>
      <c r="R592" t="str">
        <f t="shared" ref="R592:R593" si="41">IF(
  AND(ISNUMBER(SEARCH("加工品",SUBSTITUTE(J592,"　"," "))),ISNUMBER(SEARCH("ベビーリーフ",SUBSTITUTE(J592,"　"," ")))),
  "加工BL",
  IF(LEFT(TRIM(SUBSTITUTE(J592,"　"," ")),5)="ベビーリーフ",
     "BL"&amp;TRIM(MID(TRIM(SUBSTITUTE(J592,"　"," ")),FIND(" ",TRIM(SUBSTITUTE(J592,"　"," "))&amp;" ")+1,255)),
     TRIM(SUBSTITUTE(J592,"　"," "))
  )
)</f>
        <v>ベビーリーフ ロロロッサ</v>
      </c>
      <c r="S592">
        <f t="shared" ref="S592:S593" si="42">IF(K592="", "", --SUBSTITUTE(K592, ",", ""))</f>
        <v>600</v>
      </c>
    </row>
    <row r="593" spans="1:19">
      <c r="A593" s="13">
        <v>71581</v>
      </c>
      <c r="B593" s="14" t="s">
        <v>23</v>
      </c>
      <c r="C593" s="15">
        <v>46030</v>
      </c>
      <c r="D593" s="16" t="s">
        <v>58</v>
      </c>
      <c r="E593" s="16" t="s">
        <v>9</v>
      </c>
      <c r="F593" s="17">
        <v>600</v>
      </c>
      <c r="G593" s="18" t="s">
        <v>24</v>
      </c>
      <c r="H593" s="9">
        <v>46030</v>
      </c>
      <c r="I593" s="10" t="s">
        <v>60</v>
      </c>
      <c r="J593" s="10" t="s">
        <v>3</v>
      </c>
      <c r="K593" s="11">
        <v>200</v>
      </c>
      <c r="O593" t="str" cm="1">
        <f t="array" ref="O593">_xlfn.LET(
_xlpm.corp,$I593,_xlpm.key,$M$2:$M$200,_xlpm.name,$N$2:$N$200,_xlpm.hits,_xlfn._xlws.FILTER(_xlpm.name,ISNUMBER(SEARCH(_xlpm.key,_xlpm.corp))),
IFERROR(INDEX(_xlpm.hits,1),_xlpm.corp))</f>
        <v>サンテレホン</v>
      </c>
      <c r="P593" t="str">
        <f t="shared" si="40"/>
        <v>2026-01-08</v>
      </c>
      <c r="Q593" t="str">
        <f t="shared" si="39"/>
        <v>サンテレホン/加工BL</v>
      </c>
      <c r="R593" t="str">
        <f t="shared" si="41"/>
        <v>加工BL</v>
      </c>
      <c r="S593">
        <f t="shared" si="42"/>
        <v>200</v>
      </c>
    </row>
    <row r="594" spans="1:19">
      <c r="A594" s="7">
        <v>71580</v>
      </c>
      <c r="B594" s="8" t="s">
        <v>23</v>
      </c>
      <c r="C594" s="9">
        <v>46030</v>
      </c>
      <c r="D594" s="10" t="s">
        <v>60</v>
      </c>
      <c r="E594" s="10" t="s">
        <v>3</v>
      </c>
      <c r="F594" s="11">
        <v>200</v>
      </c>
      <c r="G594" s="12" t="s">
        <v>24</v>
      </c>
      <c r="H594" s="15">
        <v>46030</v>
      </c>
      <c r="I594" s="16" t="s">
        <v>60</v>
      </c>
      <c r="J594" s="16" t="s">
        <v>262</v>
      </c>
      <c r="K594" s="17">
        <v>230</v>
      </c>
      <c r="O594" t="str" cm="1">
        <f t="array" ref="O594">_xlfn.LET(
_xlpm.corp,$I594,_xlpm.key,$M$2:$M$200,_xlpm.name,$N$2:$N$200,_xlpm.hits,_xlfn._xlws.FILTER(_xlpm.name,ISNUMBER(SEARCH(_xlpm.key,_xlpm.corp))),
IFERROR(INDEX(_xlpm.hits,1),_xlpm.corp))</f>
        <v>サンテレホン</v>
      </c>
      <c r="P594" t="str">
        <f t="shared" ref="P594:P657" si="43">IFERROR(TEXT(DATEVALUE(SUBSTITUTE(SUBSTITUTE(H594,".","/"),"-","/")),"yyyy-mm-dd"),
TEXT(H594,"yyyy-mm-dd"))</f>
        <v>2026-01-08</v>
      </c>
      <c r="Q594" t="str">
        <f t="shared" si="39"/>
        <v>サンテレホン/葉物野菜</v>
      </c>
      <c r="R594" t="str">
        <f t="shared" ref="R594:R657" si="44">IF(
  AND(ISNUMBER(SEARCH("加工品",SUBSTITUTE(J594,"　"," "))),ISNUMBER(SEARCH("ベビーリーフ",SUBSTITUTE(J594,"　"," ")))),
  "加工BL",
  IF(LEFT(TRIM(SUBSTITUTE(J594,"　"," ")),5)="ベビーリーフ",
     "BL"&amp;TRIM(MID(TRIM(SUBSTITUTE(J594,"　"," ")),FIND(" ",TRIM(SUBSTITUTE(J594,"　"," "))&amp;" ")+1,255)),
     TRIM(SUBSTITUTE(J594,"　"," "))
  )
)</f>
        <v>マイクロリーフ ピノグリーン</v>
      </c>
      <c r="S594">
        <f t="shared" ref="S594:S657" si="45">IF(K594="", "", --SUBSTITUTE(K594, ",", ""))</f>
        <v>230</v>
      </c>
    </row>
    <row r="595" spans="1:19">
      <c r="A595" s="13">
        <v>71579</v>
      </c>
      <c r="B595" s="14" t="s">
        <v>23</v>
      </c>
      <c r="C595" s="15">
        <v>46030</v>
      </c>
      <c r="D595" s="16" t="s">
        <v>60</v>
      </c>
      <c r="E595" s="16" t="s">
        <v>262</v>
      </c>
      <c r="F595" s="17">
        <v>230</v>
      </c>
      <c r="G595" s="18" t="s">
        <v>24</v>
      </c>
      <c r="H595" s="9">
        <v>46030</v>
      </c>
      <c r="I595" s="10" t="s">
        <v>67</v>
      </c>
      <c r="J595" s="10" t="s">
        <v>2</v>
      </c>
      <c r="K595" s="11">
        <v>20</v>
      </c>
      <c r="O595" t="str" cm="1">
        <f t="array" ref="O595">_xlfn.LET(
_xlpm.corp,$I595,_xlpm.key,$M$2:$M$200,_xlpm.name,$N$2:$N$200,_xlpm.hits,_xlfn._xlws.FILTER(_xlpm.name,ISNUMBER(SEARCH(_xlpm.key,_xlpm.corp))),
IFERROR(INDEX(_xlpm.hits,1),_xlpm.corp))</f>
        <v>日本ロレアル</v>
      </c>
      <c r="P595" t="str">
        <f t="shared" si="43"/>
        <v>2026-01-08</v>
      </c>
      <c r="Q595" t="str">
        <f t="shared" si="39"/>
        <v>日本ロレアル</v>
      </c>
      <c r="R595" t="str">
        <f t="shared" si="44"/>
        <v>ベビーリーフ グリーンオーク</v>
      </c>
      <c r="S595">
        <f t="shared" si="45"/>
        <v>20</v>
      </c>
    </row>
    <row r="596" spans="1:19">
      <c r="A596" s="7">
        <v>71578</v>
      </c>
      <c r="B596" s="8" t="s">
        <v>23</v>
      </c>
      <c r="C596" s="9">
        <v>46030</v>
      </c>
      <c r="D596" s="10" t="s">
        <v>67</v>
      </c>
      <c r="E596" s="10" t="s">
        <v>2</v>
      </c>
      <c r="F596" s="11">
        <v>20</v>
      </c>
      <c r="G596" s="12" t="s">
        <v>24</v>
      </c>
      <c r="H596" s="15">
        <v>46030</v>
      </c>
      <c r="I596" s="16" t="s">
        <v>66</v>
      </c>
      <c r="J596" s="16" t="s">
        <v>11</v>
      </c>
      <c r="K596" s="17">
        <v>520</v>
      </c>
      <c r="O596" t="str" cm="1">
        <f t="array" ref="O596">_xlfn.LET(
_xlpm.corp,$I596,_xlpm.key,$M$2:$M$200,_xlpm.name,$N$2:$N$200,_xlpm.hits,_xlfn._xlws.FILTER(_xlpm.name,ISNUMBER(SEARCH(_xlpm.key,_xlpm.corp))),
IFERROR(INDEX(_xlpm.hits,1),_xlpm.corp))</f>
        <v>ケイアイ</v>
      </c>
      <c r="P596" t="str">
        <f t="shared" si="43"/>
        <v>2026-01-08</v>
      </c>
      <c r="Q596" t="str">
        <f t="shared" si="39"/>
        <v>ケイアイ</v>
      </c>
      <c r="R596" t="str">
        <f t="shared" si="44"/>
        <v>ベビーリーフ レッドオーク</v>
      </c>
      <c r="S596">
        <f t="shared" si="45"/>
        <v>520</v>
      </c>
    </row>
    <row r="597" spans="1:19">
      <c r="A597" s="13">
        <v>71577</v>
      </c>
      <c r="B597" s="14" t="s">
        <v>23</v>
      </c>
      <c r="C597" s="15">
        <v>46030</v>
      </c>
      <c r="D597" s="16" t="s">
        <v>66</v>
      </c>
      <c r="E597" s="16" t="s">
        <v>11</v>
      </c>
      <c r="F597" s="17">
        <v>520</v>
      </c>
      <c r="G597" s="18" t="s">
        <v>24</v>
      </c>
      <c r="H597" s="9">
        <v>46030</v>
      </c>
      <c r="I597" s="10" t="s">
        <v>28</v>
      </c>
      <c r="J597" s="10" t="s">
        <v>2</v>
      </c>
      <c r="K597" s="11">
        <v>280</v>
      </c>
      <c r="O597" t="str" cm="1">
        <f t="array" ref="O597">_xlfn.LET(
_xlpm.corp,$I597,_xlpm.key,$M$2:$M$200,_xlpm.name,$N$2:$N$200,_xlpm.hits,_xlfn._xlws.FILTER(_xlpm.name,ISNUMBER(SEARCH(_xlpm.key,_xlpm.corp))),
IFERROR(INDEX(_xlpm.hits,1),_xlpm.corp))</f>
        <v>牧野フライス</v>
      </c>
      <c r="P597" t="str">
        <f t="shared" si="43"/>
        <v>2026-01-08</v>
      </c>
      <c r="Q597" t="str">
        <f t="shared" si="39"/>
        <v>牧野フライス</v>
      </c>
      <c r="R597" t="str">
        <f t="shared" si="44"/>
        <v>ベビーリーフ グリーンオーク</v>
      </c>
      <c r="S597">
        <f t="shared" si="45"/>
        <v>280</v>
      </c>
    </row>
    <row r="598" spans="1:19">
      <c r="A598" s="7">
        <v>71576</v>
      </c>
      <c r="B598" s="8" t="s">
        <v>23</v>
      </c>
      <c r="C598" s="9">
        <v>46030</v>
      </c>
      <c r="D598" s="10" t="s">
        <v>28</v>
      </c>
      <c r="E598" s="10" t="s">
        <v>2</v>
      </c>
      <c r="F598" s="11">
        <v>280</v>
      </c>
      <c r="G598" s="12" t="s">
        <v>24</v>
      </c>
      <c r="H598" s="15">
        <v>46030</v>
      </c>
      <c r="I598" s="16" t="s">
        <v>72</v>
      </c>
      <c r="J598" s="16" t="s">
        <v>2</v>
      </c>
      <c r="K598" s="17">
        <v>980</v>
      </c>
      <c r="O598" t="str" cm="1">
        <f t="array" ref="O598">_xlfn.LET(
_xlpm.corp,$I598,_xlpm.key,$M$2:$M$200,_xlpm.name,$N$2:$N$200,_xlpm.hits,_xlfn._xlws.FILTER(_xlpm.name,ISNUMBER(SEARCH(_xlpm.key,_xlpm.corp))),
IFERROR(INDEX(_xlpm.hits,1),_xlpm.corp))</f>
        <v>岡部</v>
      </c>
      <c r="P598" t="str">
        <f t="shared" si="43"/>
        <v>2026-01-08</v>
      </c>
      <c r="Q598" t="str">
        <f t="shared" si="39"/>
        <v>岡部</v>
      </c>
      <c r="R598" t="str">
        <f t="shared" si="44"/>
        <v>ベビーリーフ グリーンオーク</v>
      </c>
      <c r="S598">
        <f t="shared" si="45"/>
        <v>980</v>
      </c>
    </row>
    <row r="599" spans="1:19">
      <c r="A599" s="13">
        <v>71575</v>
      </c>
      <c r="B599" s="14" t="s">
        <v>23</v>
      </c>
      <c r="C599" s="15">
        <v>46030</v>
      </c>
      <c r="D599" s="16" t="s">
        <v>72</v>
      </c>
      <c r="E599" s="16" t="s">
        <v>2</v>
      </c>
      <c r="F599" s="17">
        <v>980</v>
      </c>
      <c r="G599" s="18" t="s">
        <v>24</v>
      </c>
      <c r="H599" s="9">
        <v>46030</v>
      </c>
      <c r="I599" s="10" t="s">
        <v>63</v>
      </c>
      <c r="J599" s="10" t="s">
        <v>62</v>
      </c>
      <c r="K599" s="11">
        <v>640</v>
      </c>
      <c r="O599" t="str" cm="1">
        <f t="array" ref="O599">_xlfn.LET(
_xlpm.corp,$I599,_xlpm.key,$M$2:$M$200,_xlpm.name,$N$2:$N$200,_xlpm.hits,_xlfn._xlws.FILTER(_xlpm.name,ISNUMBER(SEARCH(_xlpm.key,_xlpm.corp))),
IFERROR(INDEX(_xlpm.hits,1),_xlpm.corp))</f>
        <v>富士機材</v>
      </c>
      <c r="P599" t="str">
        <f t="shared" si="43"/>
        <v>2026-01-08</v>
      </c>
      <c r="Q599" t="str">
        <f t="shared" si="39"/>
        <v>富士機材</v>
      </c>
      <c r="R599" t="str">
        <f t="shared" si="44"/>
        <v>ベビーリーフ ロログリーン</v>
      </c>
      <c r="S599">
        <f t="shared" si="45"/>
        <v>640</v>
      </c>
    </row>
    <row r="600" spans="1:19">
      <c r="A600" s="7">
        <v>71574</v>
      </c>
      <c r="B600" s="8" t="s">
        <v>23</v>
      </c>
      <c r="C600" s="9">
        <v>46030</v>
      </c>
      <c r="D600" s="10" t="s">
        <v>63</v>
      </c>
      <c r="E600" s="10" t="s">
        <v>62</v>
      </c>
      <c r="F600" s="11">
        <v>640</v>
      </c>
      <c r="G600" s="12" t="s">
        <v>24</v>
      </c>
      <c r="H600" s="15">
        <v>46030</v>
      </c>
      <c r="I600" s="16" t="s">
        <v>57</v>
      </c>
      <c r="J600" s="16" t="s">
        <v>3</v>
      </c>
      <c r="K600" s="17">
        <v>160</v>
      </c>
      <c r="O600" t="str" cm="1">
        <f t="array" ref="O600">_xlfn.LET(
_xlpm.corp,$I600,_xlpm.key,$M$2:$M$200,_xlpm.name,$N$2:$N$200,_xlpm.hits,_xlfn._xlws.FILTER(_xlpm.name,ISNUMBER(SEARCH(_xlpm.key,_xlpm.corp))),
IFERROR(INDEX(_xlpm.hits,1),_xlpm.corp))</f>
        <v>QB</v>
      </c>
      <c r="P600" t="str">
        <f t="shared" si="43"/>
        <v>2026-01-08</v>
      </c>
      <c r="Q600" t="str">
        <f t="shared" si="39"/>
        <v>QB/加工BL</v>
      </c>
      <c r="R600" t="str">
        <f t="shared" si="44"/>
        <v>加工BL</v>
      </c>
      <c r="S600">
        <f t="shared" si="45"/>
        <v>160</v>
      </c>
    </row>
    <row r="601" spans="1:19">
      <c r="A601" s="13">
        <v>71573</v>
      </c>
      <c r="B601" s="14" t="s">
        <v>23</v>
      </c>
      <c r="C601" s="15">
        <v>46030</v>
      </c>
      <c r="D601" s="16" t="s">
        <v>57</v>
      </c>
      <c r="E601" s="16" t="s">
        <v>3</v>
      </c>
      <c r="F601" s="17">
        <v>160</v>
      </c>
      <c r="G601" s="18" t="s">
        <v>24</v>
      </c>
      <c r="H601" s="9">
        <v>46030</v>
      </c>
      <c r="I601" s="10" t="s">
        <v>57</v>
      </c>
      <c r="J601" s="10" t="s">
        <v>4</v>
      </c>
      <c r="K601" s="11">
        <v>140</v>
      </c>
      <c r="O601" t="str" cm="1">
        <f t="array" ref="O601">_xlfn.LET(
_xlpm.corp,$I601,_xlpm.key,$M$2:$M$200,_xlpm.name,$N$2:$N$200,_xlpm.hits,_xlfn._xlws.FILTER(_xlpm.name,ISNUMBER(SEARCH(_xlpm.key,_xlpm.corp))),
IFERROR(INDEX(_xlpm.hits,1),_xlpm.corp))</f>
        <v>QB</v>
      </c>
      <c r="P601" t="str">
        <f t="shared" si="43"/>
        <v>2026-01-08</v>
      </c>
      <c r="Q601" t="str">
        <f t="shared" si="39"/>
        <v>QB</v>
      </c>
      <c r="R601" t="str">
        <f t="shared" si="44"/>
        <v>ベビーリーフ ピノグリーン</v>
      </c>
      <c r="S601">
        <f t="shared" si="45"/>
        <v>140</v>
      </c>
    </row>
    <row r="602" spans="1:19">
      <c r="A602" s="7">
        <v>71572</v>
      </c>
      <c r="B602" s="8" t="s">
        <v>23</v>
      </c>
      <c r="C602" s="9">
        <v>46030</v>
      </c>
      <c r="D602" s="10" t="s">
        <v>57</v>
      </c>
      <c r="E602" s="10" t="s">
        <v>4</v>
      </c>
      <c r="F602" s="11">
        <v>140</v>
      </c>
      <c r="G602" s="12" t="s">
        <v>24</v>
      </c>
      <c r="H602" s="15">
        <v>46030</v>
      </c>
      <c r="I602" s="16" t="s">
        <v>59</v>
      </c>
      <c r="J602" s="16" t="s">
        <v>2</v>
      </c>
      <c r="K602" s="17">
        <v>740</v>
      </c>
      <c r="O602" t="str" cm="1">
        <f t="array" ref="O602">_xlfn.LET(
_xlpm.corp,$I602,_xlpm.key,$M$2:$M$200,_xlpm.name,$N$2:$N$200,_xlpm.hits,_xlfn._xlws.FILTER(_xlpm.name,ISNUMBER(SEARCH(_xlpm.key,_xlpm.corp))),
IFERROR(INDEX(_xlpm.hits,1),_xlpm.corp))</f>
        <v>三和</v>
      </c>
      <c r="P602" t="str">
        <f t="shared" si="43"/>
        <v>2026-01-08</v>
      </c>
      <c r="Q602" t="str">
        <f t="shared" si="39"/>
        <v>三和</v>
      </c>
      <c r="R602" t="str">
        <f t="shared" si="44"/>
        <v>ベビーリーフ グリーンオーク</v>
      </c>
      <c r="S602">
        <f t="shared" si="45"/>
        <v>740</v>
      </c>
    </row>
    <row r="603" spans="1:19">
      <c r="A603" s="13">
        <v>71571</v>
      </c>
      <c r="B603" s="14" t="s">
        <v>23</v>
      </c>
      <c r="C603" s="15">
        <v>46030</v>
      </c>
      <c r="D603" s="16" t="s">
        <v>59</v>
      </c>
      <c r="E603" s="16" t="s">
        <v>2</v>
      </c>
      <c r="F603" s="17">
        <v>740</v>
      </c>
      <c r="G603" s="18" t="s">
        <v>24</v>
      </c>
      <c r="H603" s="9">
        <v>46030</v>
      </c>
      <c r="I603" s="10" t="s">
        <v>27</v>
      </c>
      <c r="J603" s="10" t="s">
        <v>3</v>
      </c>
      <c r="K603" s="11">
        <v>860</v>
      </c>
      <c r="O603" t="str" cm="1">
        <f t="array" ref="O603">_xlfn.LET(
_xlpm.corp,$I603,_xlpm.key,$M$2:$M$200,_xlpm.name,$N$2:$N$200,_xlpm.hits,_xlfn._xlws.FILTER(_xlpm.name,ISNUMBER(SEARCH(_xlpm.key,_xlpm.corp))),
IFERROR(INDEX(_xlpm.hits,1),_xlpm.corp))</f>
        <v>東レ</v>
      </c>
      <c r="P603" t="str">
        <f t="shared" si="43"/>
        <v>2026-01-08</v>
      </c>
      <c r="Q603" t="str">
        <f t="shared" si="39"/>
        <v>東レ/加工BL</v>
      </c>
      <c r="R603" t="str">
        <f t="shared" si="44"/>
        <v>加工BL</v>
      </c>
      <c r="S603">
        <f t="shared" si="45"/>
        <v>860</v>
      </c>
    </row>
    <row r="604" spans="1:19">
      <c r="A604" s="7">
        <v>71570</v>
      </c>
      <c r="B604" s="8" t="s">
        <v>23</v>
      </c>
      <c r="C604" s="9">
        <v>46030</v>
      </c>
      <c r="D604" s="10" t="s">
        <v>27</v>
      </c>
      <c r="E604" s="10" t="s">
        <v>3</v>
      </c>
      <c r="F604" s="11">
        <v>860</v>
      </c>
      <c r="G604" s="12" t="s">
        <v>24</v>
      </c>
      <c r="H604" s="15">
        <v>46030</v>
      </c>
      <c r="I604" s="16" t="s">
        <v>27</v>
      </c>
      <c r="J604" s="16" t="s">
        <v>4</v>
      </c>
      <c r="K604" s="17">
        <v>680</v>
      </c>
      <c r="O604" t="str" cm="1">
        <f t="array" ref="O604">_xlfn.LET(
_xlpm.corp,$I604,_xlpm.key,$M$2:$M$200,_xlpm.name,$N$2:$N$200,_xlpm.hits,_xlfn._xlws.FILTER(_xlpm.name,ISNUMBER(SEARCH(_xlpm.key,_xlpm.corp))),
IFERROR(INDEX(_xlpm.hits,1),_xlpm.corp))</f>
        <v>東レ</v>
      </c>
      <c r="P604" t="str">
        <f t="shared" si="43"/>
        <v>2026-01-08</v>
      </c>
      <c r="Q604" t="str">
        <f t="shared" si="39"/>
        <v>東レ</v>
      </c>
      <c r="R604" t="str">
        <f t="shared" si="44"/>
        <v>ベビーリーフ ピノグリーン</v>
      </c>
      <c r="S604">
        <f t="shared" si="45"/>
        <v>680</v>
      </c>
    </row>
    <row r="605" spans="1:19">
      <c r="A605" s="13">
        <v>71569</v>
      </c>
      <c r="B605" s="14" t="s">
        <v>23</v>
      </c>
      <c r="C605" s="15">
        <v>46030</v>
      </c>
      <c r="D605" s="16" t="s">
        <v>27</v>
      </c>
      <c r="E605" s="16" t="s">
        <v>4</v>
      </c>
      <c r="F605" s="17">
        <v>680</v>
      </c>
      <c r="G605" s="18" t="s">
        <v>24</v>
      </c>
      <c r="H605" s="9">
        <v>46030</v>
      </c>
      <c r="I605" s="10" t="s">
        <v>27</v>
      </c>
      <c r="J605" s="10" t="s">
        <v>11</v>
      </c>
      <c r="K605" s="20">
        <v>1380</v>
      </c>
      <c r="O605" t="str" cm="1">
        <f t="array" ref="O605">_xlfn.LET(
_xlpm.corp,$I605,_xlpm.key,$M$2:$M$200,_xlpm.name,$N$2:$N$200,_xlpm.hits,_xlfn._xlws.FILTER(_xlpm.name,ISNUMBER(SEARCH(_xlpm.key,_xlpm.corp))),
IFERROR(INDEX(_xlpm.hits,1),_xlpm.corp))</f>
        <v>東レ</v>
      </c>
      <c r="P605" t="str">
        <f t="shared" si="43"/>
        <v>2026-01-08</v>
      </c>
      <c r="Q605" t="str">
        <f t="shared" si="39"/>
        <v>東レ</v>
      </c>
      <c r="R605" t="str">
        <f t="shared" si="44"/>
        <v>ベビーリーフ レッドオーク</v>
      </c>
      <c r="S605">
        <f t="shared" si="45"/>
        <v>1380</v>
      </c>
    </row>
    <row r="606" spans="1:19">
      <c r="A606" s="7">
        <v>71568</v>
      </c>
      <c r="B606" s="8" t="s">
        <v>23</v>
      </c>
      <c r="C606" s="9">
        <v>46030</v>
      </c>
      <c r="D606" s="10" t="s">
        <v>27</v>
      </c>
      <c r="E606" s="10" t="s">
        <v>11</v>
      </c>
      <c r="F606" s="20">
        <v>1380</v>
      </c>
      <c r="G606" s="12" t="s">
        <v>24</v>
      </c>
      <c r="H606" s="15">
        <v>46030</v>
      </c>
      <c r="I606" s="16" t="s">
        <v>26</v>
      </c>
      <c r="J606" s="16" t="s">
        <v>2</v>
      </c>
      <c r="K606" s="17">
        <v>180</v>
      </c>
      <c r="O606" t="str" cm="1">
        <f t="array" ref="O606">_xlfn.LET(
_xlpm.corp,$I606,_xlpm.key,$M$2:$M$200,_xlpm.name,$N$2:$N$200,_xlpm.hits,_xlfn._xlws.FILTER(_xlpm.name,ISNUMBER(SEARCH(_xlpm.key,_xlpm.corp))),
IFERROR(INDEX(_xlpm.hits,1),_xlpm.corp))</f>
        <v>日建</v>
      </c>
      <c r="P606" t="str">
        <f t="shared" si="43"/>
        <v>2026-01-08</v>
      </c>
      <c r="Q606" t="str">
        <f t="shared" si="39"/>
        <v>日建</v>
      </c>
      <c r="R606" t="str">
        <f t="shared" si="44"/>
        <v>ベビーリーフ グリーンオーク</v>
      </c>
      <c r="S606">
        <f t="shared" si="45"/>
        <v>180</v>
      </c>
    </row>
    <row r="607" spans="1:19">
      <c r="A607" s="13">
        <v>71567</v>
      </c>
      <c r="B607" s="14" t="s">
        <v>23</v>
      </c>
      <c r="C607" s="15">
        <v>46030</v>
      </c>
      <c r="D607" s="16" t="s">
        <v>26</v>
      </c>
      <c r="E607" s="16" t="s">
        <v>2</v>
      </c>
      <c r="F607" s="17">
        <v>180</v>
      </c>
      <c r="G607" s="18" t="s">
        <v>24</v>
      </c>
      <c r="H607" s="9">
        <v>46030</v>
      </c>
      <c r="I607" s="10" t="s">
        <v>65</v>
      </c>
      <c r="J607" s="10" t="s">
        <v>2</v>
      </c>
      <c r="K607" s="11">
        <v>360</v>
      </c>
      <c r="O607" t="str" cm="1">
        <f t="array" ref="O607">_xlfn.LET(
_xlpm.corp,$I607,_xlpm.key,$M$2:$M$200,_xlpm.name,$N$2:$N$200,_xlpm.hits,_xlfn._xlws.FILTER(_xlpm.name,ISNUMBER(SEARCH(_xlpm.key,_xlpm.corp))),
IFERROR(INDEX(_xlpm.hits,1),_xlpm.corp))</f>
        <v>マルテー</v>
      </c>
      <c r="P607" t="str">
        <f t="shared" si="43"/>
        <v>2026-01-08</v>
      </c>
      <c r="Q607" t="str">
        <f t="shared" si="39"/>
        <v>マルテー</v>
      </c>
      <c r="R607" t="str">
        <f t="shared" si="44"/>
        <v>ベビーリーフ グリーンオーク</v>
      </c>
      <c r="S607">
        <f t="shared" si="45"/>
        <v>360</v>
      </c>
    </row>
    <row r="608" spans="1:19">
      <c r="A608" s="7">
        <v>71566</v>
      </c>
      <c r="B608" s="8" t="s">
        <v>23</v>
      </c>
      <c r="C608" s="9">
        <v>46030</v>
      </c>
      <c r="D608" s="10" t="s">
        <v>65</v>
      </c>
      <c r="E608" s="10" t="s">
        <v>2</v>
      </c>
      <c r="F608" s="11">
        <v>360</v>
      </c>
      <c r="G608" s="12" t="s">
        <v>24</v>
      </c>
      <c r="H608" s="15">
        <v>46030</v>
      </c>
      <c r="I608" s="16" t="s">
        <v>26</v>
      </c>
      <c r="J608" s="16" t="s">
        <v>2</v>
      </c>
      <c r="K608" s="17">
        <v>180</v>
      </c>
      <c r="O608" t="str" cm="1">
        <f t="array" ref="O608">_xlfn.LET(
_xlpm.corp,$I608,_xlpm.key,$M$2:$M$200,_xlpm.name,$N$2:$N$200,_xlpm.hits,_xlfn._xlws.FILTER(_xlpm.name,ISNUMBER(SEARCH(_xlpm.key,_xlpm.corp))),
IFERROR(INDEX(_xlpm.hits,1),_xlpm.corp))</f>
        <v>日建</v>
      </c>
      <c r="P608" t="str">
        <f t="shared" si="43"/>
        <v>2026-01-08</v>
      </c>
      <c r="Q608" t="str">
        <f t="shared" si="39"/>
        <v>日建</v>
      </c>
      <c r="R608" t="str">
        <f t="shared" si="44"/>
        <v>ベビーリーフ グリーンオーク</v>
      </c>
      <c r="S608">
        <f t="shared" si="45"/>
        <v>180</v>
      </c>
    </row>
    <row r="609" spans="1:19">
      <c r="A609" s="13">
        <v>71565</v>
      </c>
      <c r="B609" s="14" t="s">
        <v>23</v>
      </c>
      <c r="C609" s="15">
        <v>46030</v>
      </c>
      <c r="D609" s="16" t="s">
        <v>26</v>
      </c>
      <c r="E609" s="16" t="s">
        <v>2</v>
      </c>
      <c r="F609" s="17">
        <v>180</v>
      </c>
      <c r="G609" s="18" t="s">
        <v>24</v>
      </c>
      <c r="H609" s="9">
        <v>46030</v>
      </c>
      <c r="I609" s="10" t="s">
        <v>72</v>
      </c>
      <c r="J609" s="10" t="s">
        <v>11</v>
      </c>
      <c r="K609" s="11">
        <v>120</v>
      </c>
      <c r="O609" t="str" cm="1">
        <f t="array" ref="O609">_xlfn.LET(
_xlpm.corp,$I609,_xlpm.key,$M$2:$M$200,_xlpm.name,$N$2:$N$200,_xlpm.hits,_xlfn._xlws.FILTER(_xlpm.name,ISNUMBER(SEARCH(_xlpm.key,_xlpm.corp))),
IFERROR(INDEX(_xlpm.hits,1),_xlpm.corp))</f>
        <v>岡部</v>
      </c>
      <c r="P609" t="str">
        <f t="shared" si="43"/>
        <v>2026-01-08</v>
      </c>
      <c r="Q609" t="str">
        <f t="shared" si="39"/>
        <v>岡部</v>
      </c>
      <c r="R609" t="str">
        <f t="shared" si="44"/>
        <v>ベビーリーフ レッドオーク</v>
      </c>
      <c r="S609">
        <f t="shared" si="45"/>
        <v>120</v>
      </c>
    </row>
    <row r="610" spans="1:19">
      <c r="A610" s="7">
        <v>71564</v>
      </c>
      <c r="B610" s="8" t="s">
        <v>23</v>
      </c>
      <c r="C610" s="9">
        <v>46030</v>
      </c>
      <c r="D610" s="10" t="s">
        <v>72</v>
      </c>
      <c r="E610" s="10" t="s">
        <v>11</v>
      </c>
      <c r="F610" s="11">
        <v>120</v>
      </c>
      <c r="G610" s="12" t="s">
        <v>24</v>
      </c>
      <c r="H610" s="15">
        <v>46030</v>
      </c>
      <c r="I610" s="16" t="s">
        <v>70</v>
      </c>
      <c r="J610" s="16" t="s">
        <v>9</v>
      </c>
      <c r="K610" s="17">
        <v>540</v>
      </c>
      <c r="O610" t="str" cm="1">
        <f t="array" ref="O610">_xlfn.LET(
_xlpm.corp,$I610,_xlpm.key,$M$2:$M$200,_xlpm.name,$N$2:$N$200,_xlpm.hits,_xlfn._xlws.FILTER(_xlpm.name,ISNUMBER(SEARCH(_xlpm.key,_xlpm.corp))),
IFERROR(INDEX(_xlpm.hits,1),_xlpm.corp))</f>
        <v>富士機械</v>
      </c>
      <c r="P610" t="str">
        <f t="shared" si="43"/>
        <v>2026-01-08</v>
      </c>
      <c r="Q610" t="str">
        <f t="shared" si="39"/>
        <v>富士機械</v>
      </c>
      <c r="R610" t="str">
        <f t="shared" si="44"/>
        <v>ベビーリーフ ロロロッサ</v>
      </c>
      <c r="S610">
        <f t="shared" si="45"/>
        <v>540</v>
      </c>
    </row>
    <row r="611" spans="1:19">
      <c r="A611" s="13">
        <v>71563</v>
      </c>
      <c r="B611" s="14" t="s">
        <v>23</v>
      </c>
      <c r="C611" s="15">
        <v>46030</v>
      </c>
      <c r="D611" s="16" t="s">
        <v>70</v>
      </c>
      <c r="E611" s="16" t="s">
        <v>9</v>
      </c>
      <c r="F611" s="17">
        <v>540</v>
      </c>
      <c r="G611" s="18" t="s">
        <v>24</v>
      </c>
      <c r="H611" s="9">
        <v>46030</v>
      </c>
      <c r="I611" s="10" t="s">
        <v>70</v>
      </c>
      <c r="J611" s="10" t="s">
        <v>9</v>
      </c>
      <c r="K611" s="11">
        <v>440</v>
      </c>
      <c r="O611" t="str" cm="1">
        <f t="array" ref="O611">_xlfn.LET(
_xlpm.corp,$I611,_xlpm.key,$M$2:$M$200,_xlpm.name,$N$2:$N$200,_xlpm.hits,_xlfn._xlws.FILTER(_xlpm.name,ISNUMBER(SEARCH(_xlpm.key,_xlpm.corp))),
IFERROR(INDEX(_xlpm.hits,1),_xlpm.corp))</f>
        <v>富士機械</v>
      </c>
      <c r="P611" t="str">
        <f t="shared" si="43"/>
        <v>2026-01-08</v>
      </c>
      <c r="Q611" t="str">
        <f t="shared" si="39"/>
        <v>富士機械</v>
      </c>
      <c r="R611" t="str">
        <f t="shared" si="44"/>
        <v>ベビーリーフ ロロロッサ</v>
      </c>
      <c r="S611">
        <f t="shared" si="45"/>
        <v>440</v>
      </c>
    </row>
    <row r="612" spans="1:19">
      <c r="A612" s="7">
        <v>71562</v>
      </c>
      <c r="B612" s="8" t="s">
        <v>23</v>
      </c>
      <c r="C612" s="9">
        <v>46030</v>
      </c>
      <c r="D612" s="10" t="s">
        <v>70</v>
      </c>
      <c r="E612" s="10" t="s">
        <v>9</v>
      </c>
      <c r="F612" s="11">
        <v>440</v>
      </c>
      <c r="G612" s="12" t="s">
        <v>24</v>
      </c>
      <c r="H612" s="15">
        <v>46030</v>
      </c>
      <c r="I612" s="16" t="s">
        <v>66</v>
      </c>
      <c r="J612" s="16" t="s">
        <v>11</v>
      </c>
      <c r="K612" s="17">
        <v>800</v>
      </c>
      <c r="O612" t="str" cm="1">
        <f t="array" ref="O612">_xlfn.LET(
_xlpm.corp,$I612,_xlpm.key,$M$2:$M$200,_xlpm.name,$N$2:$N$200,_xlpm.hits,_xlfn._xlws.FILTER(_xlpm.name,ISNUMBER(SEARCH(_xlpm.key,_xlpm.corp))),
IFERROR(INDEX(_xlpm.hits,1),_xlpm.corp))</f>
        <v>ケイアイ</v>
      </c>
      <c r="P612" t="str">
        <f t="shared" si="43"/>
        <v>2026-01-08</v>
      </c>
      <c r="Q612" t="str">
        <f t="shared" si="39"/>
        <v>ケイアイ</v>
      </c>
      <c r="R612" t="str">
        <f t="shared" si="44"/>
        <v>ベビーリーフ レッドオーク</v>
      </c>
      <c r="S612">
        <f t="shared" si="45"/>
        <v>800</v>
      </c>
    </row>
    <row r="613" spans="1:19">
      <c r="A613" s="13">
        <v>71561</v>
      </c>
      <c r="B613" s="14" t="s">
        <v>23</v>
      </c>
      <c r="C613" s="15">
        <v>46030</v>
      </c>
      <c r="D613" s="16" t="s">
        <v>66</v>
      </c>
      <c r="E613" s="16" t="s">
        <v>11</v>
      </c>
      <c r="F613" s="17">
        <v>800</v>
      </c>
      <c r="G613" s="18" t="s">
        <v>24</v>
      </c>
      <c r="H613" s="9">
        <v>46029</v>
      </c>
      <c r="I613" s="10" t="s">
        <v>65</v>
      </c>
      <c r="J613" s="10" t="s">
        <v>10</v>
      </c>
      <c r="K613" s="11">
        <v>138</v>
      </c>
      <c r="O613" t="str" cm="1">
        <f t="array" ref="O613">_xlfn.LET(
_xlpm.corp,$I613,_xlpm.key,$M$2:$M$200,_xlpm.name,$N$2:$N$200,_xlpm.hits,_xlfn._xlws.FILTER(_xlpm.name,ISNUMBER(SEARCH(_xlpm.key,_xlpm.corp))),
IFERROR(INDEX(_xlpm.hits,1),_xlpm.corp))</f>
        <v>マルテー</v>
      </c>
      <c r="P613" t="str">
        <f t="shared" si="43"/>
        <v>2026-01-07</v>
      </c>
      <c r="Q613" t="str">
        <f t="shared" si="39"/>
        <v>マルテー/加工BL</v>
      </c>
      <c r="R613" t="str">
        <f t="shared" si="44"/>
        <v>加工品 イチゴ</v>
      </c>
      <c r="S613">
        <f t="shared" si="45"/>
        <v>138</v>
      </c>
    </row>
    <row r="614" spans="1:19">
      <c r="A614" s="7">
        <v>73444</v>
      </c>
      <c r="B614" s="8" t="s">
        <v>23</v>
      </c>
      <c r="C614" s="9">
        <v>46029</v>
      </c>
      <c r="D614" s="10" t="s">
        <v>65</v>
      </c>
      <c r="E614" s="10" t="s">
        <v>10</v>
      </c>
      <c r="F614" s="11">
        <v>138</v>
      </c>
      <c r="G614" s="12" t="s">
        <v>24</v>
      </c>
      <c r="H614" s="15">
        <v>46029</v>
      </c>
      <c r="I614" s="16" t="s">
        <v>65</v>
      </c>
      <c r="J614" s="16" t="s">
        <v>8</v>
      </c>
      <c r="K614" s="17">
        <v>365</v>
      </c>
      <c r="O614" t="str" cm="1">
        <f t="array" ref="O614">_xlfn.LET(
_xlpm.corp,$I614,_xlpm.key,$M$2:$M$200,_xlpm.name,$N$2:$N$200,_xlpm.hits,_xlfn._xlws.FILTER(_xlpm.name,ISNUMBER(SEARCH(_xlpm.key,_xlpm.corp))),
IFERROR(INDEX(_xlpm.hits,1),_xlpm.corp))</f>
        <v>マルテー</v>
      </c>
      <c r="P614" t="str">
        <f t="shared" si="43"/>
        <v>2026-01-07</v>
      </c>
      <c r="Q614" t="str">
        <f t="shared" si="39"/>
        <v>マルテー/イチゴ</v>
      </c>
      <c r="R614" t="str">
        <f t="shared" si="44"/>
        <v>イチゴ</v>
      </c>
      <c r="S614">
        <f t="shared" si="45"/>
        <v>365</v>
      </c>
    </row>
    <row r="615" spans="1:19">
      <c r="A615" s="13">
        <v>73443</v>
      </c>
      <c r="B615" s="14" t="s">
        <v>23</v>
      </c>
      <c r="C615" s="15">
        <v>46029</v>
      </c>
      <c r="D615" s="16" t="s">
        <v>65</v>
      </c>
      <c r="E615" s="16" t="s">
        <v>8</v>
      </c>
      <c r="F615" s="17">
        <v>365</v>
      </c>
      <c r="G615" s="18" t="s">
        <v>24</v>
      </c>
      <c r="H615" s="9">
        <v>46029</v>
      </c>
      <c r="I615" s="10" t="s">
        <v>67</v>
      </c>
      <c r="J615" s="10" t="s">
        <v>4</v>
      </c>
      <c r="K615" s="11">
        <v>80</v>
      </c>
      <c r="O615" t="str" cm="1">
        <f t="array" ref="O615">_xlfn.LET(
_xlpm.corp,$I615,_xlpm.key,$M$2:$M$200,_xlpm.name,$N$2:$N$200,_xlpm.hits,_xlfn._xlws.FILTER(_xlpm.name,ISNUMBER(SEARCH(_xlpm.key,_xlpm.corp))),
IFERROR(INDEX(_xlpm.hits,1),_xlpm.corp))</f>
        <v>日本ロレアル</v>
      </c>
      <c r="P615" t="str">
        <f t="shared" si="43"/>
        <v>2026-01-07</v>
      </c>
      <c r="Q615" t="str">
        <f t="shared" si="39"/>
        <v>日本ロレアル</v>
      </c>
      <c r="R615" t="str">
        <f t="shared" si="44"/>
        <v>ベビーリーフ ピノグリーン</v>
      </c>
      <c r="S615">
        <f t="shared" si="45"/>
        <v>80</v>
      </c>
    </row>
    <row r="616" spans="1:19">
      <c r="A616" s="7">
        <v>71560</v>
      </c>
      <c r="B616" s="8" t="s">
        <v>23</v>
      </c>
      <c r="C616" s="9">
        <v>46029</v>
      </c>
      <c r="D616" s="10" t="s">
        <v>67</v>
      </c>
      <c r="E616" s="10" t="s">
        <v>4</v>
      </c>
      <c r="F616" s="11">
        <v>80</v>
      </c>
      <c r="G616" s="12" t="s">
        <v>24</v>
      </c>
      <c r="H616" s="15">
        <v>46029</v>
      </c>
      <c r="I616" s="16" t="s">
        <v>26</v>
      </c>
      <c r="J616" s="16" t="s">
        <v>3</v>
      </c>
      <c r="K616" s="17">
        <v>380</v>
      </c>
      <c r="O616" t="str" cm="1">
        <f t="array" ref="O616">_xlfn.LET(
_xlpm.corp,$I616,_xlpm.key,$M$2:$M$200,_xlpm.name,$N$2:$N$200,_xlpm.hits,_xlfn._xlws.FILTER(_xlpm.name,ISNUMBER(SEARCH(_xlpm.key,_xlpm.corp))),
IFERROR(INDEX(_xlpm.hits,1),_xlpm.corp))</f>
        <v>日建</v>
      </c>
      <c r="P616" t="str">
        <f t="shared" si="43"/>
        <v>2026-01-07</v>
      </c>
      <c r="Q616" t="str">
        <f t="shared" si="39"/>
        <v>日建/加工BL</v>
      </c>
      <c r="R616" t="str">
        <f t="shared" si="44"/>
        <v>加工BL</v>
      </c>
      <c r="S616">
        <f t="shared" si="45"/>
        <v>380</v>
      </c>
    </row>
    <row r="617" spans="1:19">
      <c r="A617" s="13">
        <v>71559</v>
      </c>
      <c r="B617" s="14" t="s">
        <v>23</v>
      </c>
      <c r="C617" s="15">
        <v>46029</v>
      </c>
      <c r="D617" s="16" t="s">
        <v>26</v>
      </c>
      <c r="E617" s="16" t="s">
        <v>3</v>
      </c>
      <c r="F617" s="17">
        <v>380</v>
      </c>
      <c r="G617" s="18" t="s">
        <v>24</v>
      </c>
      <c r="H617" s="9">
        <v>46029</v>
      </c>
      <c r="I617" s="10" t="s">
        <v>26</v>
      </c>
      <c r="J617" s="10" t="s">
        <v>2</v>
      </c>
      <c r="K617" s="11">
        <v>100</v>
      </c>
      <c r="O617" t="str" cm="1">
        <f t="array" ref="O617">_xlfn.LET(
_xlpm.corp,$I617,_xlpm.key,$M$2:$M$200,_xlpm.name,$N$2:$N$200,_xlpm.hits,_xlfn._xlws.FILTER(_xlpm.name,ISNUMBER(SEARCH(_xlpm.key,_xlpm.corp))),
IFERROR(INDEX(_xlpm.hits,1),_xlpm.corp))</f>
        <v>日建</v>
      </c>
      <c r="P617" t="str">
        <f t="shared" si="43"/>
        <v>2026-01-07</v>
      </c>
      <c r="Q617" t="str">
        <f t="shared" si="39"/>
        <v>日建</v>
      </c>
      <c r="R617" t="str">
        <f t="shared" si="44"/>
        <v>ベビーリーフ グリーンオーク</v>
      </c>
      <c r="S617">
        <f t="shared" si="45"/>
        <v>100</v>
      </c>
    </row>
    <row r="618" spans="1:19">
      <c r="A618" s="7">
        <v>71558</v>
      </c>
      <c r="B618" s="8" t="s">
        <v>23</v>
      </c>
      <c r="C618" s="9">
        <v>46029</v>
      </c>
      <c r="D618" s="10" t="s">
        <v>26</v>
      </c>
      <c r="E618" s="10" t="s">
        <v>2</v>
      </c>
      <c r="F618" s="11">
        <v>100</v>
      </c>
      <c r="G618" s="12" t="s">
        <v>24</v>
      </c>
      <c r="H618" s="15">
        <v>46029</v>
      </c>
      <c r="I618" s="16" t="s">
        <v>26</v>
      </c>
      <c r="J618" s="16" t="s">
        <v>9</v>
      </c>
      <c r="K618" s="17">
        <v>360</v>
      </c>
      <c r="O618" t="str" cm="1">
        <f t="array" ref="O618">_xlfn.LET(
_xlpm.corp,$I618,_xlpm.key,$M$2:$M$200,_xlpm.name,$N$2:$N$200,_xlpm.hits,_xlfn._xlws.FILTER(_xlpm.name,ISNUMBER(SEARCH(_xlpm.key,_xlpm.corp))),
IFERROR(INDEX(_xlpm.hits,1),_xlpm.corp))</f>
        <v>日建</v>
      </c>
      <c r="P618" t="str">
        <f t="shared" si="43"/>
        <v>2026-01-07</v>
      </c>
      <c r="Q618" t="str">
        <f t="shared" si="39"/>
        <v>日建</v>
      </c>
      <c r="R618" t="str">
        <f t="shared" si="44"/>
        <v>ベビーリーフ ロロロッサ</v>
      </c>
      <c r="S618">
        <f t="shared" si="45"/>
        <v>360</v>
      </c>
    </row>
    <row r="619" spans="1:19">
      <c r="A619" s="13">
        <v>71557</v>
      </c>
      <c r="B619" s="14" t="s">
        <v>23</v>
      </c>
      <c r="C619" s="15">
        <v>46029</v>
      </c>
      <c r="D619" s="16" t="s">
        <v>26</v>
      </c>
      <c r="E619" s="16" t="s">
        <v>9</v>
      </c>
      <c r="F619" s="17">
        <v>360</v>
      </c>
      <c r="G619" s="18" t="s">
        <v>24</v>
      </c>
      <c r="H619" s="9">
        <v>46029</v>
      </c>
      <c r="I619" s="10" t="s">
        <v>61</v>
      </c>
      <c r="J619" s="10" t="s">
        <v>3</v>
      </c>
      <c r="K619" s="11">
        <v>180</v>
      </c>
      <c r="O619" t="str" cm="1">
        <f t="array" ref="O619">_xlfn.LET(
_xlpm.corp,$I619,_xlpm.key,$M$2:$M$200,_xlpm.name,$N$2:$N$200,_xlpm.hits,_xlfn._xlws.FILTER(_xlpm.name,ISNUMBER(SEARCH(_xlpm.key,_xlpm.corp))),
IFERROR(INDEX(_xlpm.hits,1),_xlpm.corp))</f>
        <v>Adobe</v>
      </c>
      <c r="P619" t="str">
        <f t="shared" si="43"/>
        <v>2026-01-07</v>
      </c>
      <c r="Q619" t="str">
        <f t="shared" si="39"/>
        <v>Adobe/加工BL</v>
      </c>
      <c r="R619" t="str">
        <f t="shared" si="44"/>
        <v>加工BL</v>
      </c>
      <c r="S619">
        <f t="shared" si="45"/>
        <v>180</v>
      </c>
    </row>
    <row r="620" spans="1:19">
      <c r="A620" s="7">
        <v>71556</v>
      </c>
      <c r="B620" s="8" t="s">
        <v>23</v>
      </c>
      <c r="C620" s="9">
        <v>46029</v>
      </c>
      <c r="D620" s="10" t="s">
        <v>61</v>
      </c>
      <c r="E620" s="10" t="s">
        <v>3</v>
      </c>
      <c r="F620" s="11">
        <v>180</v>
      </c>
      <c r="G620" s="12" t="s">
        <v>24</v>
      </c>
      <c r="H620" s="15">
        <v>46029</v>
      </c>
      <c r="I620" s="16" t="s">
        <v>61</v>
      </c>
      <c r="J620" s="16" t="s">
        <v>62</v>
      </c>
      <c r="K620" s="19">
        <v>1100</v>
      </c>
      <c r="O620" t="str" cm="1">
        <f t="array" ref="O620">_xlfn.LET(
_xlpm.corp,$I620,_xlpm.key,$M$2:$M$200,_xlpm.name,$N$2:$N$200,_xlpm.hits,_xlfn._xlws.FILTER(_xlpm.name,ISNUMBER(SEARCH(_xlpm.key,_xlpm.corp))),
IFERROR(INDEX(_xlpm.hits,1),_xlpm.corp))</f>
        <v>Adobe</v>
      </c>
      <c r="P620" t="str">
        <f t="shared" si="43"/>
        <v>2026-01-07</v>
      </c>
      <c r="Q620" t="str">
        <f t="shared" si="39"/>
        <v>Adobe</v>
      </c>
      <c r="R620" t="str">
        <f t="shared" si="44"/>
        <v>ベビーリーフ ロログリーン</v>
      </c>
      <c r="S620">
        <f t="shared" si="45"/>
        <v>1100</v>
      </c>
    </row>
    <row r="621" spans="1:19">
      <c r="A621" s="13">
        <v>71555</v>
      </c>
      <c r="B621" s="14" t="s">
        <v>23</v>
      </c>
      <c r="C621" s="15">
        <v>46029</v>
      </c>
      <c r="D621" s="16" t="s">
        <v>61</v>
      </c>
      <c r="E621" s="16" t="s">
        <v>62</v>
      </c>
      <c r="F621" s="19">
        <v>1100</v>
      </c>
      <c r="G621" s="18" t="s">
        <v>24</v>
      </c>
      <c r="H621" s="9">
        <v>46029</v>
      </c>
      <c r="I621" s="10" t="s">
        <v>61</v>
      </c>
      <c r="J621" s="10" t="s">
        <v>62</v>
      </c>
      <c r="K621" s="20">
        <v>1100</v>
      </c>
      <c r="O621" t="str" cm="1">
        <f t="array" ref="O621">_xlfn.LET(
_xlpm.corp,$I621,_xlpm.key,$M$2:$M$200,_xlpm.name,$N$2:$N$200,_xlpm.hits,_xlfn._xlws.FILTER(_xlpm.name,ISNUMBER(SEARCH(_xlpm.key,_xlpm.corp))),
IFERROR(INDEX(_xlpm.hits,1),_xlpm.corp))</f>
        <v>Adobe</v>
      </c>
      <c r="P621" t="str">
        <f t="shared" si="43"/>
        <v>2026-01-07</v>
      </c>
      <c r="Q621" t="str">
        <f t="shared" si="39"/>
        <v>Adobe</v>
      </c>
      <c r="R621" t="str">
        <f t="shared" si="44"/>
        <v>ベビーリーフ ロログリーン</v>
      </c>
      <c r="S621">
        <f t="shared" si="45"/>
        <v>1100</v>
      </c>
    </row>
    <row r="622" spans="1:19">
      <c r="A622" s="7">
        <v>71554</v>
      </c>
      <c r="B622" s="8" t="s">
        <v>23</v>
      </c>
      <c r="C622" s="9">
        <v>46029</v>
      </c>
      <c r="D622" s="10" t="s">
        <v>61</v>
      </c>
      <c r="E622" s="10" t="s">
        <v>62</v>
      </c>
      <c r="F622" s="20">
        <v>1100</v>
      </c>
      <c r="G622" s="12" t="s">
        <v>24</v>
      </c>
      <c r="H622" s="15">
        <v>46029</v>
      </c>
      <c r="I622" s="16" t="s">
        <v>65</v>
      </c>
      <c r="J622" s="16" t="s">
        <v>2</v>
      </c>
      <c r="K622" s="17">
        <v>640</v>
      </c>
      <c r="O622" t="str" cm="1">
        <f t="array" ref="O622">_xlfn.LET(
_xlpm.corp,$I622,_xlpm.key,$M$2:$M$200,_xlpm.name,$N$2:$N$200,_xlpm.hits,_xlfn._xlws.FILTER(_xlpm.name,ISNUMBER(SEARCH(_xlpm.key,_xlpm.corp))),
IFERROR(INDEX(_xlpm.hits,1),_xlpm.corp))</f>
        <v>マルテー</v>
      </c>
      <c r="P622" t="str">
        <f t="shared" si="43"/>
        <v>2026-01-07</v>
      </c>
      <c r="Q622" t="str">
        <f t="shared" si="39"/>
        <v>マルテー</v>
      </c>
      <c r="R622" t="str">
        <f t="shared" si="44"/>
        <v>ベビーリーフ グリーンオーク</v>
      </c>
      <c r="S622">
        <f t="shared" si="45"/>
        <v>640</v>
      </c>
    </row>
    <row r="623" spans="1:19">
      <c r="A623" s="13">
        <v>71553</v>
      </c>
      <c r="B623" s="14" t="s">
        <v>23</v>
      </c>
      <c r="C623" s="15">
        <v>46029</v>
      </c>
      <c r="D623" s="16" t="s">
        <v>65</v>
      </c>
      <c r="E623" s="16" t="s">
        <v>2</v>
      </c>
      <c r="F623" s="17">
        <v>640</v>
      </c>
      <c r="G623" s="18" t="s">
        <v>24</v>
      </c>
      <c r="H623" s="9">
        <v>46029</v>
      </c>
      <c r="I623" s="10" t="s">
        <v>65</v>
      </c>
      <c r="J623" s="10" t="s">
        <v>2</v>
      </c>
      <c r="K623" s="11">
        <v>740</v>
      </c>
      <c r="O623" t="str" cm="1">
        <f t="array" ref="O623">_xlfn.LET(
_xlpm.corp,$I623,_xlpm.key,$M$2:$M$200,_xlpm.name,$N$2:$N$200,_xlpm.hits,_xlfn._xlws.FILTER(_xlpm.name,ISNUMBER(SEARCH(_xlpm.key,_xlpm.corp))),
IFERROR(INDEX(_xlpm.hits,1),_xlpm.corp))</f>
        <v>マルテー</v>
      </c>
      <c r="P623" t="str">
        <f t="shared" si="43"/>
        <v>2026-01-07</v>
      </c>
      <c r="Q623" t="str">
        <f t="shared" si="39"/>
        <v>マルテー</v>
      </c>
      <c r="R623" t="str">
        <f t="shared" si="44"/>
        <v>ベビーリーフ グリーンオーク</v>
      </c>
      <c r="S623">
        <f t="shared" si="45"/>
        <v>740</v>
      </c>
    </row>
    <row r="624" spans="1:19">
      <c r="A624" s="7">
        <v>71552</v>
      </c>
      <c r="B624" s="8" t="s">
        <v>23</v>
      </c>
      <c r="C624" s="9">
        <v>46029</v>
      </c>
      <c r="D624" s="10" t="s">
        <v>65</v>
      </c>
      <c r="E624" s="10" t="s">
        <v>2</v>
      </c>
      <c r="F624" s="11">
        <v>740</v>
      </c>
      <c r="G624" s="12" t="s">
        <v>24</v>
      </c>
      <c r="H624" s="15">
        <v>46029</v>
      </c>
      <c r="I624" s="16" t="s">
        <v>27</v>
      </c>
      <c r="J624" s="16" t="s">
        <v>62</v>
      </c>
      <c r="K624" s="17">
        <v>440</v>
      </c>
      <c r="O624" t="str" cm="1">
        <f t="array" ref="O624">_xlfn.LET(
_xlpm.corp,$I624,_xlpm.key,$M$2:$M$200,_xlpm.name,$N$2:$N$200,_xlpm.hits,_xlfn._xlws.FILTER(_xlpm.name,ISNUMBER(SEARCH(_xlpm.key,_xlpm.corp))),
IFERROR(INDEX(_xlpm.hits,1),_xlpm.corp))</f>
        <v>東レ</v>
      </c>
      <c r="P624" t="str">
        <f t="shared" si="43"/>
        <v>2026-01-07</v>
      </c>
      <c r="Q624" t="str">
        <f t="shared" si="39"/>
        <v>東レ</v>
      </c>
      <c r="R624" t="str">
        <f t="shared" si="44"/>
        <v>ベビーリーフ ロログリーン</v>
      </c>
      <c r="S624">
        <f t="shared" si="45"/>
        <v>440</v>
      </c>
    </row>
    <row r="625" spans="1:19">
      <c r="A625" s="13">
        <v>71551</v>
      </c>
      <c r="B625" s="14" t="s">
        <v>23</v>
      </c>
      <c r="C625" s="15">
        <v>46029</v>
      </c>
      <c r="D625" s="16" t="s">
        <v>27</v>
      </c>
      <c r="E625" s="16" t="s">
        <v>62</v>
      </c>
      <c r="F625" s="17">
        <v>440</v>
      </c>
      <c r="G625" s="18" t="s">
        <v>24</v>
      </c>
      <c r="H625" s="9">
        <v>46029</v>
      </c>
      <c r="I625" s="10" t="s">
        <v>27</v>
      </c>
      <c r="J625" s="10" t="s">
        <v>3</v>
      </c>
      <c r="K625" s="20">
        <v>1120</v>
      </c>
      <c r="O625" t="str" cm="1">
        <f t="array" ref="O625">_xlfn.LET(
_xlpm.corp,$I625,_xlpm.key,$M$2:$M$200,_xlpm.name,$N$2:$N$200,_xlpm.hits,_xlfn._xlws.FILTER(_xlpm.name,ISNUMBER(SEARCH(_xlpm.key,_xlpm.corp))),
IFERROR(INDEX(_xlpm.hits,1),_xlpm.corp))</f>
        <v>東レ</v>
      </c>
      <c r="P625" t="str">
        <f t="shared" si="43"/>
        <v>2026-01-07</v>
      </c>
      <c r="Q625" t="str">
        <f t="shared" si="39"/>
        <v>東レ/加工BL</v>
      </c>
      <c r="R625" t="str">
        <f t="shared" si="44"/>
        <v>加工BL</v>
      </c>
      <c r="S625">
        <f t="shared" si="45"/>
        <v>1120</v>
      </c>
    </row>
    <row r="626" spans="1:19">
      <c r="A626" s="7">
        <v>71550</v>
      </c>
      <c r="B626" s="8" t="s">
        <v>23</v>
      </c>
      <c r="C626" s="9">
        <v>46029</v>
      </c>
      <c r="D626" s="10" t="s">
        <v>27</v>
      </c>
      <c r="E626" s="10" t="s">
        <v>3</v>
      </c>
      <c r="F626" s="20">
        <v>1120</v>
      </c>
      <c r="G626" s="12" t="s">
        <v>24</v>
      </c>
      <c r="H626" s="15">
        <v>46029</v>
      </c>
      <c r="I626" s="16" t="s">
        <v>58</v>
      </c>
      <c r="J626" s="16" t="s">
        <v>9</v>
      </c>
      <c r="K626" s="17">
        <v>640</v>
      </c>
      <c r="O626" t="str" cm="1">
        <f t="array" ref="O626">_xlfn.LET(
_xlpm.corp,$I626,_xlpm.key,$M$2:$M$200,_xlpm.name,$N$2:$N$200,_xlpm.hits,_xlfn._xlws.FILTER(_xlpm.name,ISNUMBER(SEARCH(_xlpm.key,_xlpm.corp))),
IFERROR(INDEX(_xlpm.hits,1),_xlpm.corp))</f>
        <v>慈誠会</v>
      </c>
      <c r="P626" t="str">
        <f t="shared" si="43"/>
        <v>2026-01-07</v>
      </c>
      <c r="Q626" t="str">
        <f t="shared" si="39"/>
        <v>慈誠会</v>
      </c>
      <c r="R626" t="str">
        <f t="shared" si="44"/>
        <v>ベビーリーフ ロロロッサ</v>
      </c>
      <c r="S626">
        <f t="shared" si="45"/>
        <v>640</v>
      </c>
    </row>
    <row r="627" spans="1:19">
      <c r="A627" s="13">
        <v>71549</v>
      </c>
      <c r="B627" s="14" t="s">
        <v>23</v>
      </c>
      <c r="C627" s="15">
        <v>46029</v>
      </c>
      <c r="D627" s="16" t="s">
        <v>58</v>
      </c>
      <c r="E627" s="16" t="s">
        <v>9</v>
      </c>
      <c r="F627" s="17">
        <v>640</v>
      </c>
      <c r="G627" s="18" t="s">
        <v>24</v>
      </c>
      <c r="H627" s="9">
        <v>46029</v>
      </c>
      <c r="I627" s="10" t="s">
        <v>69</v>
      </c>
      <c r="J627" s="10" t="s">
        <v>9</v>
      </c>
      <c r="K627" s="11">
        <v>620</v>
      </c>
      <c r="O627" t="str" cm="1">
        <f t="array" ref="O627">_xlfn.LET(
_xlpm.corp,$I627,_xlpm.key,$M$2:$M$200,_xlpm.name,$N$2:$N$200,_xlpm.hits,_xlfn._xlws.FILTER(_xlpm.name,ISNUMBER(SEARCH(_xlpm.key,_xlpm.corp))),
IFERROR(INDEX(_xlpm.hits,1),_xlpm.corp))</f>
        <v>バリュエンス</v>
      </c>
      <c r="P627" t="str">
        <f t="shared" si="43"/>
        <v>2026-01-07</v>
      </c>
      <c r="Q627" t="str">
        <f t="shared" si="39"/>
        <v>バリュエンス</v>
      </c>
      <c r="R627" t="str">
        <f t="shared" si="44"/>
        <v>ベビーリーフ ロロロッサ</v>
      </c>
      <c r="S627">
        <f t="shared" si="45"/>
        <v>620</v>
      </c>
    </row>
    <row r="628" spans="1:19">
      <c r="A628" s="7">
        <v>71548</v>
      </c>
      <c r="B628" s="8" t="s">
        <v>23</v>
      </c>
      <c r="C628" s="9">
        <v>46029</v>
      </c>
      <c r="D628" s="10" t="s">
        <v>69</v>
      </c>
      <c r="E628" s="10" t="s">
        <v>9</v>
      </c>
      <c r="F628" s="11">
        <v>620</v>
      </c>
      <c r="G628" s="12" t="s">
        <v>24</v>
      </c>
      <c r="H628" s="15">
        <v>46029</v>
      </c>
      <c r="I628" s="16" t="s">
        <v>28</v>
      </c>
      <c r="J628" s="16" t="s">
        <v>2</v>
      </c>
      <c r="K628" s="17">
        <v>260</v>
      </c>
      <c r="O628" t="str" cm="1">
        <f t="array" ref="O628">_xlfn.LET(
_xlpm.corp,$I628,_xlpm.key,$M$2:$M$200,_xlpm.name,$N$2:$N$200,_xlpm.hits,_xlfn._xlws.FILTER(_xlpm.name,ISNUMBER(SEARCH(_xlpm.key,_xlpm.corp))),
IFERROR(INDEX(_xlpm.hits,1),_xlpm.corp))</f>
        <v>牧野フライス</v>
      </c>
      <c r="P628" t="str">
        <f t="shared" si="43"/>
        <v>2026-01-07</v>
      </c>
      <c r="Q628" t="str">
        <f t="shared" si="39"/>
        <v>牧野フライス</v>
      </c>
      <c r="R628" t="str">
        <f t="shared" si="44"/>
        <v>ベビーリーフ グリーンオーク</v>
      </c>
      <c r="S628">
        <f t="shared" si="45"/>
        <v>260</v>
      </c>
    </row>
    <row r="629" spans="1:19">
      <c r="A629" s="13">
        <v>71547</v>
      </c>
      <c r="B629" s="14" t="s">
        <v>23</v>
      </c>
      <c r="C629" s="15">
        <v>46029</v>
      </c>
      <c r="D629" s="16" t="s">
        <v>28</v>
      </c>
      <c r="E629" s="16" t="s">
        <v>2</v>
      </c>
      <c r="F629" s="17">
        <v>260</v>
      </c>
      <c r="G629" s="18" t="s">
        <v>24</v>
      </c>
      <c r="H629" s="9">
        <v>46029</v>
      </c>
      <c r="I629" s="10" t="s">
        <v>25</v>
      </c>
      <c r="J629" s="10" t="s">
        <v>2</v>
      </c>
      <c r="K629" s="11">
        <v>560</v>
      </c>
      <c r="O629" t="str" cm="1">
        <f t="array" ref="O629">_xlfn.LET(
_xlpm.corp,$I629,_xlpm.key,$M$2:$M$200,_xlpm.name,$N$2:$N$200,_xlpm.hits,_xlfn._xlws.FILTER(_xlpm.name,ISNUMBER(SEARCH(_xlpm.key,_xlpm.corp))),
IFERROR(INDEX(_xlpm.hits,1),_xlpm.corp))</f>
        <v>日本ファブテック</v>
      </c>
      <c r="P629" t="str">
        <f t="shared" si="43"/>
        <v>2026-01-07</v>
      </c>
      <c r="Q629" t="str">
        <f t="shared" si="39"/>
        <v>日本ファブテック</v>
      </c>
      <c r="R629" t="str">
        <f t="shared" si="44"/>
        <v>ベビーリーフ グリーンオーク</v>
      </c>
      <c r="S629">
        <f t="shared" si="45"/>
        <v>560</v>
      </c>
    </row>
    <row r="630" spans="1:19">
      <c r="A630" s="7">
        <v>71546</v>
      </c>
      <c r="B630" s="8" t="s">
        <v>23</v>
      </c>
      <c r="C630" s="9">
        <v>46029</v>
      </c>
      <c r="D630" s="10" t="s">
        <v>25</v>
      </c>
      <c r="E630" s="10" t="s">
        <v>2</v>
      </c>
      <c r="F630" s="11">
        <v>560</v>
      </c>
      <c r="G630" s="12" t="s">
        <v>24</v>
      </c>
      <c r="H630" s="15">
        <v>46029</v>
      </c>
      <c r="I630" s="16" t="s">
        <v>27</v>
      </c>
      <c r="J630" s="16" t="s">
        <v>9</v>
      </c>
      <c r="K630" s="17">
        <v>240</v>
      </c>
      <c r="O630" t="str" cm="1">
        <f t="array" ref="O630">_xlfn.LET(
_xlpm.corp,$I630,_xlpm.key,$M$2:$M$200,_xlpm.name,$N$2:$N$200,_xlpm.hits,_xlfn._xlws.FILTER(_xlpm.name,ISNUMBER(SEARCH(_xlpm.key,_xlpm.corp))),
IFERROR(INDEX(_xlpm.hits,1),_xlpm.corp))</f>
        <v>東レ</v>
      </c>
      <c r="P630" t="str">
        <f t="shared" si="43"/>
        <v>2026-01-07</v>
      </c>
      <c r="Q630" t="str">
        <f t="shared" si="39"/>
        <v>東レ</v>
      </c>
      <c r="R630" t="str">
        <f t="shared" si="44"/>
        <v>ベビーリーフ ロロロッサ</v>
      </c>
      <c r="S630">
        <f t="shared" si="45"/>
        <v>240</v>
      </c>
    </row>
    <row r="631" spans="1:19">
      <c r="A631" s="13">
        <v>71545</v>
      </c>
      <c r="B631" s="14" t="s">
        <v>23</v>
      </c>
      <c r="C631" s="15">
        <v>46029</v>
      </c>
      <c r="D631" s="16" t="s">
        <v>27</v>
      </c>
      <c r="E631" s="16" t="s">
        <v>9</v>
      </c>
      <c r="F631" s="17">
        <v>240</v>
      </c>
      <c r="G631" s="18" t="s">
        <v>24</v>
      </c>
      <c r="H631" s="9">
        <v>46029</v>
      </c>
      <c r="I631" s="10" t="s">
        <v>26</v>
      </c>
      <c r="J631" s="10" t="s">
        <v>3</v>
      </c>
      <c r="K631" s="11">
        <v>140</v>
      </c>
      <c r="O631" t="str" cm="1">
        <f t="array" ref="O631">_xlfn.LET(
_xlpm.corp,$I631,_xlpm.key,$M$2:$M$200,_xlpm.name,$N$2:$N$200,_xlpm.hits,_xlfn._xlws.FILTER(_xlpm.name,ISNUMBER(SEARCH(_xlpm.key,_xlpm.corp))),
IFERROR(INDEX(_xlpm.hits,1),_xlpm.corp))</f>
        <v>日建</v>
      </c>
      <c r="P631" t="str">
        <f t="shared" si="43"/>
        <v>2026-01-07</v>
      </c>
      <c r="Q631" t="str">
        <f t="shared" si="39"/>
        <v>日建/加工BL</v>
      </c>
      <c r="R631" t="str">
        <f t="shared" si="44"/>
        <v>加工BL</v>
      </c>
      <c r="S631">
        <f t="shared" si="45"/>
        <v>140</v>
      </c>
    </row>
    <row r="632" spans="1:19">
      <c r="A632" s="7">
        <v>71544</v>
      </c>
      <c r="B632" s="8" t="s">
        <v>23</v>
      </c>
      <c r="C632" s="9">
        <v>46029</v>
      </c>
      <c r="D632" s="10" t="s">
        <v>26</v>
      </c>
      <c r="E632" s="10" t="s">
        <v>3</v>
      </c>
      <c r="F632" s="11">
        <v>140</v>
      </c>
      <c r="G632" s="12" t="s">
        <v>24</v>
      </c>
      <c r="H632" s="15">
        <v>46029</v>
      </c>
      <c r="I632" s="16" t="s">
        <v>69</v>
      </c>
      <c r="J632" s="16" t="s">
        <v>62</v>
      </c>
      <c r="K632" s="17">
        <v>220</v>
      </c>
      <c r="O632" t="str" cm="1">
        <f t="array" ref="O632">_xlfn.LET(
_xlpm.corp,$I632,_xlpm.key,$M$2:$M$200,_xlpm.name,$N$2:$N$200,_xlpm.hits,_xlfn._xlws.FILTER(_xlpm.name,ISNUMBER(SEARCH(_xlpm.key,_xlpm.corp))),
IFERROR(INDEX(_xlpm.hits,1),_xlpm.corp))</f>
        <v>バリュエンス</v>
      </c>
      <c r="P632" t="str">
        <f t="shared" si="43"/>
        <v>2026-01-07</v>
      </c>
      <c r="Q632" t="str">
        <f t="shared" si="39"/>
        <v>バリュエンス</v>
      </c>
      <c r="R632" t="str">
        <f t="shared" si="44"/>
        <v>ベビーリーフ ロログリーン</v>
      </c>
      <c r="S632">
        <f t="shared" si="45"/>
        <v>220</v>
      </c>
    </row>
    <row r="633" spans="1:19">
      <c r="A633" s="13">
        <v>71543</v>
      </c>
      <c r="B633" s="14" t="s">
        <v>23</v>
      </c>
      <c r="C633" s="15">
        <v>46029</v>
      </c>
      <c r="D633" s="16" t="s">
        <v>69</v>
      </c>
      <c r="E633" s="16" t="s">
        <v>62</v>
      </c>
      <c r="F633" s="17">
        <v>220</v>
      </c>
      <c r="G633" s="18" t="s">
        <v>24</v>
      </c>
      <c r="H633" s="9">
        <v>46029</v>
      </c>
      <c r="I633" s="10" t="s">
        <v>26</v>
      </c>
      <c r="J633" s="10" t="s">
        <v>3</v>
      </c>
      <c r="K633" s="11">
        <v>100</v>
      </c>
      <c r="O633" t="str" cm="1">
        <f t="array" ref="O633">_xlfn.LET(
_xlpm.corp,$I633,_xlpm.key,$M$2:$M$200,_xlpm.name,$N$2:$N$200,_xlpm.hits,_xlfn._xlws.FILTER(_xlpm.name,ISNUMBER(SEARCH(_xlpm.key,_xlpm.corp))),
IFERROR(INDEX(_xlpm.hits,1),_xlpm.corp))</f>
        <v>日建</v>
      </c>
      <c r="P633" t="str">
        <f t="shared" si="43"/>
        <v>2026-01-07</v>
      </c>
      <c r="Q633" t="str">
        <f t="shared" si="39"/>
        <v>日建/加工BL</v>
      </c>
      <c r="R633" t="str">
        <f t="shared" si="44"/>
        <v>加工BL</v>
      </c>
      <c r="S633">
        <f t="shared" si="45"/>
        <v>100</v>
      </c>
    </row>
    <row r="634" spans="1:19">
      <c r="A634" s="7">
        <v>71542</v>
      </c>
      <c r="B634" s="8" t="s">
        <v>23</v>
      </c>
      <c r="C634" s="9">
        <v>46029</v>
      </c>
      <c r="D634" s="10" t="s">
        <v>26</v>
      </c>
      <c r="E634" s="10" t="s">
        <v>3</v>
      </c>
      <c r="F634" s="11">
        <v>100</v>
      </c>
      <c r="G634" s="12" t="s">
        <v>24</v>
      </c>
      <c r="H634" s="15">
        <v>46029</v>
      </c>
      <c r="I634" s="16" t="s">
        <v>68</v>
      </c>
      <c r="J634" s="16" t="s">
        <v>3</v>
      </c>
      <c r="K634" s="17">
        <v>200</v>
      </c>
      <c r="O634" t="str" cm="1">
        <f t="array" ref="O634">_xlfn.LET(
_xlpm.corp,$I634,_xlpm.key,$M$2:$M$200,_xlpm.name,$N$2:$N$200,_xlpm.hits,_xlfn._xlws.FILTER(_xlpm.name,ISNUMBER(SEARCH(_xlpm.key,_xlpm.corp))),
IFERROR(INDEX(_xlpm.hits,1),_xlpm.corp))</f>
        <v>昭和女子</v>
      </c>
      <c r="P634" t="str">
        <f t="shared" si="43"/>
        <v>2026-01-07</v>
      </c>
      <c r="Q634" t="str">
        <f t="shared" si="39"/>
        <v>昭和女子/加工BL</v>
      </c>
      <c r="R634" t="str">
        <f t="shared" si="44"/>
        <v>加工BL</v>
      </c>
      <c r="S634">
        <f t="shared" si="45"/>
        <v>200</v>
      </c>
    </row>
    <row r="635" spans="1:19">
      <c r="A635" s="13">
        <v>71541</v>
      </c>
      <c r="B635" s="14" t="s">
        <v>23</v>
      </c>
      <c r="C635" s="15">
        <v>46029</v>
      </c>
      <c r="D635" s="16" t="s">
        <v>68</v>
      </c>
      <c r="E635" s="16" t="s">
        <v>3</v>
      </c>
      <c r="F635" s="17">
        <v>200</v>
      </c>
      <c r="G635" s="18" t="s">
        <v>24</v>
      </c>
      <c r="H635" s="9">
        <v>46029</v>
      </c>
      <c r="I635" s="10" t="s">
        <v>68</v>
      </c>
      <c r="J635" s="10" t="s">
        <v>2</v>
      </c>
      <c r="K635" s="11">
        <v>420</v>
      </c>
      <c r="O635" t="str" cm="1">
        <f t="array" ref="O635">_xlfn.LET(
_xlpm.corp,$I635,_xlpm.key,$M$2:$M$200,_xlpm.name,$N$2:$N$200,_xlpm.hits,_xlfn._xlws.FILTER(_xlpm.name,ISNUMBER(SEARCH(_xlpm.key,_xlpm.corp))),
IFERROR(INDEX(_xlpm.hits,1),_xlpm.corp))</f>
        <v>昭和女子</v>
      </c>
      <c r="P635" t="str">
        <f t="shared" si="43"/>
        <v>2026-01-07</v>
      </c>
      <c r="Q635" t="str">
        <f t="shared" si="39"/>
        <v>昭和女子</v>
      </c>
      <c r="R635" t="str">
        <f t="shared" si="44"/>
        <v>ベビーリーフ グリーンオーク</v>
      </c>
      <c r="S635">
        <f t="shared" si="45"/>
        <v>420</v>
      </c>
    </row>
    <row r="636" spans="1:19">
      <c r="A636" s="7">
        <v>71540</v>
      </c>
      <c r="B636" s="8" t="s">
        <v>23</v>
      </c>
      <c r="C636" s="9">
        <v>46029</v>
      </c>
      <c r="D636" s="10" t="s">
        <v>68</v>
      </c>
      <c r="E636" s="10" t="s">
        <v>2</v>
      </c>
      <c r="F636" s="11">
        <v>420</v>
      </c>
      <c r="G636" s="12" t="s">
        <v>24</v>
      </c>
      <c r="H636" s="15">
        <v>46029</v>
      </c>
      <c r="I636" s="16" t="s">
        <v>66</v>
      </c>
      <c r="J636" s="16" t="s">
        <v>3</v>
      </c>
      <c r="K636" s="17">
        <v>280</v>
      </c>
      <c r="O636" t="str" cm="1">
        <f t="array" ref="O636">_xlfn.LET(
_xlpm.corp,$I636,_xlpm.key,$M$2:$M$200,_xlpm.name,$N$2:$N$200,_xlpm.hits,_xlfn._xlws.FILTER(_xlpm.name,ISNUMBER(SEARCH(_xlpm.key,_xlpm.corp))),
IFERROR(INDEX(_xlpm.hits,1),_xlpm.corp))</f>
        <v>ケイアイ</v>
      </c>
      <c r="P636" t="str">
        <f t="shared" si="43"/>
        <v>2026-01-07</v>
      </c>
      <c r="Q636" t="str">
        <f t="shared" si="39"/>
        <v>ケイアイ/加工BL</v>
      </c>
      <c r="R636" t="str">
        <f t="shared" si="44"/>
        <v>加工BL</v>
      </c>
      <c r="S636">
        <f t="shared" si="45"/>
        <v>280</v>
      </c>
    </row>
    <row r="637" spans="1:19">
      <c r="A637" s="13">
        <v>71539</v>
      </c>
      <c r="B637" s="14" t="s">
        <v>23</v>
      </c>
      <c r="C637" s="15">
        <v>46029</v>
      </c>
      <c r="D637" s="16" t="s">
        <v>66</v>
      </c>
      <c r="E637" s="16" t="s">
        <v>3</v>
      </c>
      <c r="F637" s="17">
        <v>280</v>
      </c>
      <c r="G637" s="18" t="s">
        <v>24</v>
      </c>
      <c r="H637" s="9">
        <v>46029</v>
      </c>
      <c r="I637" s="10" t="s">
        <v>56</v>
      </c>
      <c r="J637" s="10" t="s">
        <v>73</v>
      </c>
      <c r="K637" s="11">
        <v>240</v>
      </c>
      <c r="O637" t="str" cm="1">
        <f t="array" ref="O637">_xlfn.LET(
_xlpm.corp,$I637,_xlpm.key,$M$2:$M$200,_xlpm.name,$N$2:$N$200,_xlpm.hits,_xlfn._xlws.FILTER(_xlpm.name,ISNUMBER(SEARCH(_xlpm.key,_xlpm.corp))),
IFERROR(INDEX(_xlpm.hits,1),_xlpm.corp))</f>
        <v>サンセイランディック</v>
      </c>
      <c r="P637" t="str">
        <f t="shared" si="43"/>
        <v>2026-01-07</v>
      </c>
      <c r="Q637" t="str">
        <f t="shared" si="39"/>
        <v>サンセイランディック/葉物野菜</v>
      </c>
      <c r="R637" t="str">
        <f t="shared" si="44"/>
        <v>ラディッシュ</v>
      </c>
      <c r="S637">
        <f t="shared" si="45"/>
        <v>240</v>
      </c>
    </row>
    <row r="638" spans="1:19">
      <c r="A638" s="7">
        <v>71538</v>
      </c>
      <c r="B638" s="8" t="s">
        <v>23</v>
      </c>
      <c r="C638" s="9">
        <v>46029</v>
      </c>
      <c r="D638" s="10" t="s">
        <v>56</v>
      </c>
      <c r="E638" s="10" t="s">
        <v>73</v>
      </c>
      <c r="F638" s="11">
        <v>240</v>
      </c>
      <c r="G638" s="12" t="s">
        <v>24</v>
      </c>
      <c r="H638" s="15">
        <v>46029</v>
      </c>
      <c r="I638" s="16" t="s">
        <v>63</v>
      </c>
      <c r="J638" s="16" t="s">
        <v>9</v>
      </c>
      <c r="K638" s="17">
        <v>780</v>
      </c>
      <c r="O638" t="str" cm="1">
        <f t="array" ref="O638">_xlfn.LET(
_xlpm.corp,$I638,_xlpm.key,$M$2:$M$200,_xlpm.name,$N$2:$N$200,_xlpm.hits,_xlfn._xlws.FILTER(_xlpm.name,ISNUMBER(SEARCH(_xlpm.key,_xlpm.corp))),
IFERROR(INDEX(_xlpm.hits,1),_xlpm.corp))</f>
        <v>富士機材</v>
      </c>
      <c r="P638" t="str">
        <f t="shared" si="43"/>
        <v>2026-01-07</v>
      </c>
      <c r="Q638" t="str">
        <f t="shared" si="39"/>
        <v>富士機材</v>
      </c>
      <c r="R638" t="str">
        <f t="shared" si="44"/>
        <v>ベビーリーフ ロロロッサ</v>
      </c>
      <c r="S638">
        <f t="shared" si="45"/>
        <v>780</v>
      </c>
    </row>
    <row r="639" spans="1:19">
      <c r="A639" s="13">
        <v>71537</v>
      </c>
      <c r="B639" s="14" t="s">
        <v>23</v>
      </c>
      <c r="C639" s="15">
        <v>46029</v>
      </c>
      <c r="D639" s="16" t="s">
        <v>63</v>
      </c>
      <c r="E639" s="16" t="s">
        <v>9</v>
      </c>
      <c r="F639" s="17">
        <v>780</v>
      </c>
      <c r="G639" s="18" t="s">
        <v>24</v>
      </c>
      <c r="H639" s="9">
        <v>46029</v>
      </c>
      <c r="I639" s="10" t="s">
        <v>27</v>
      </c>
      <c r="J639" s="10" t="s">
        <v>11</v>
      </c>
      <c r="K639" s="20">
        <v>1260</v>
      </c>
      <c r="O639" t="str" cm="1">
        <f t="array" ref="O639">_xlfn.LET(
_xlpm.corp,$I639,_xlpm.key,$M$2:$M$200,_xlpm.name,$N$2:$N$200,_xlpm.hits,_xlfn._xlws.FILTER(_xlpm.name,ISNUMBER(SEARCH(_xlpm.key,_xlpm.corp))),
IFERROR(INDEX(_xlpm.hits,1),_xlpm.corp))</f>
        <v>東レ</v>
      </c>
      <c r="P639" t="str">
        <f t="shared" si="43"/>
        <v>2026-01-07</v>
      </c>
      <c r="Q639" t="str">
        <f t="shared" si="39"/>
        <v>東レ</v>
      </c>
      <c r="R639" t="str">
        <f t="shared" si="44"/>
        <v>ベビーリーフ レッドオーク</v>
      </c>
      <c r="S639">
        <f t="shared" si="45"/>
        <v>1260</v>
      </c>
    </row>
    <row r="640" spans="1:19">
      <c r="A640" s="7">
        <v>71536</v>
      </c>
      <c r="B640" s="8" t="s">
        <v>23</v>
      </c>
      <c r="C640" s="9">
        <v>46029</v>
      </c>
      <c r="D640" s="10" t="s">
        <v>27</v>
      </c>
      <c r="E640" s="10" t="s">
        <v>11</v>
      </c>
      <c r="F640" s="20">
        <v>1260</v>
      </c>
      <c r="G640" s="12" t="s">
        <v>24</v>
      </c>
      <c r="H640" s="15">
        <v>46029</v>
      </c>
      <c r="I640" s="16" t="s">
        <v>70</v>
      </c>
      <c r="J640" s="16" t="s">
        <v>9</v>
      </c>
      <c r="K640" s="19">
        <v>1160</v>
      </c>
      <c r="O640" t="str" cm="1">
        <f t="array" ref="O640">_xlfn.LET(
_xlpm.corp,$I640,_xlpm.key,$M$2:$M$200,_xlpm.name,$N$2:$N$200,_xlpm.hits,_xlfn._xlws.FILTER(_xlpm.name,ISNUMBER(SEARCH(_xlpm.key,_xlpm.corp))),
IFERROR(INDEX(_xlpm.hits,1),_xlpm.corp))</f>
        <v>富士機械</v>
      </c>
      <c r="P640" t="str">
        <f t="shared" si="43"/>
        <v>2026-01-07</v>
      </c>
      <c r="Q640" t="str">
        <f t="shared" si="39"/>
        <v>富士機械</v>
      </c>
      <c r="R640" t="str">
        <f t="shared" si="44"/>
        <v>ベビーリーフ ロロロッサ</v>
      </c>
      <c r="S640">
        <f t="shared" si="45"/>
        <v>1160</v>
      </c>
    </row>
    <row r="641" spans="1:19">
      <c r="A641" s="13">
        <v>71535</v>
      </c>
      <c r="B641" s="14" t="s">
        <v>23</v>
      </c>
      <c r="C641" s="15">
        <v>46029</v>
      </c>
      <c r="D641" s="16" t="s">
        <v>70</v>
      </c>
      <c r="E641" s="16" t="s">
        <v>9</v>
      </c>
      <c r="F641" s="19">
        <v>1160</v>
      </c>
      <c r="G641" s="18" t="s">
        <v>24</v>
      </c>
      <c r="H641" s="9">
        <v>46029</v>
      </c>
      <c r="I641" s="10" t="s">
        <v>58</v>
      </c>
      <c r="J641" s="10" t="s">
        <v>9</v>
      </c>
      <c r="K641" s="11">
        <v>400</v>
      </c>
      <c r="O641" t="str" cm="1">
        <f t="array" ref="O641">_xlfn.LET(
_xlpm.corp,$I641,_xlpm.key,$M$2:$M$200,_xlpm.name,$N$2:$N$200,_xlpm.hits,_xlfn._xlws.FILTER(_xlpm.name,ISNUMBER(SEARCH(_xlpm.key,_xlpm.corp))),
IFERROR(INDEX(_xlpm.hits,1),_xlpm.corp))</f>
        <v>慈誠会</v>
      </c>
      <c r="P641" t="str">
        <f t="shared" si="43"/>
        <v>2026-01-07</v>
      </c>
      <c r="Q641" t="str">
        <f t="shared" si="39"/>
        <v>慈誠会</v>
      </c>
      <c r="R641" t="str">
        <f t="shared" si="44"/>
        <v>ベビーリーフ ロロロッサ</v>
      </c>
      <c r="S641">
        <f t="shared" si="45"/>
        <v>400</v>
      </c>
    </row>
    <row r="642" spans="1:19">
      <c r="A642" s="7">
        <v>71534</v>
      </c>
      <c r="B642" s="8" t="s">
        <v>23</v>
      </c>
      <c r="C642" s="9">
        <v>46029</v>
      </c>
      <c r="D642" s="10" t="s">
        <v>58</v>
      </c>
      <c r="E642" s="10" t="s">
        <v>9</v>
      </c>
      <c r="F642" s="11">
        <v>400</v>
      </c>
      <c r="G642" s="12" t="s">
        <v>24</v>
      </c>
      <c r="H642" s="15">
        <v>46029</v>
      </c>
      <c r="I642" s="16" t="s">
        <v>27</v>
      </c>
      <c r="J642" s="16" t="s">
        <v>62</v>
      </c>
      <c r="K642" s="17">
        <v>80</v>
      </c>
      <c r="O642" t="str" cm="1">
        <f t="array" ref="O642">_xlfn.LET(
_xlpm.corp,$I642,_xlpm.key,$M$2:$M$200,_xlpm.name,$N$2:$N$200,_xlpm.hits,_xlfn._xlws.FILTER(_xlpm.name,ISNUMBER(SEARCH(_xlpm.key,_xlpm.corp))),
IFERROR(INDEX(_xlpm.hits,1),_xlpm.corp))</f>
        <v>東レ</v>
      </c>
      <c r="P642" t="str">
        <f t="shared" si="43"/>
        <v>2026-01-07</v>
      </c>
      <c r="Q642" t="str">
        <f t="shared" si="39"/>
        <v>東レ</v>
      </c>
      <c r="R642" t="str">
        <f t="shared" si="44"/>
        <v>ベビーリーフ ロログリーン</v>
      </c>
      <c r="S642">
        <f t="shared" si="45"/>
        <v>80</v>
      </c>
    </row>
    <row r="643" spans="1:19">
      <c r="A643" s="13">
        <v>71533</v>
      </c>
      <c r="B643" s="14" t="s">
        <v>23</v>
      </c>
      <c r="C643" s="15">
        <v>46029</v>
      </c>
      <c r="D643" s="16" t="s">
        <v>27</v>
      </c>
      <c r="E643" s="16" t="s">
        <v>62</v>
      </c>
      <c r="F643" s="17">
        <v>80</v>
      </c>
      <c r="G643" s="18" t="s">
        <v>24</v>
      </c>
      <c r="H643" s="9">
        <v>46029</v>
      </c>
      <c r="I643" s="10" t="s">
        <v>71</v>
      </c>
      <c r="J643" s="10" t="s">
        <v>62</v>
      </c>
      <c r="K643" s="20">
        <v>1060</v>
      </c>
      <c r="O643" t="str" cm="1">
        <f t="array" ref="O643">_xlfn.LET(
_xlpm.corp,$I643,_xlpm.key,$M$2:$M$200,_xlpm.name,$N$2:$N$200,_xlpm.hits,_xlfn._xlws.FILTER(_xlpm.name,ISNUMBER(SEARCH(_xlpm.key,_xlpm.corp))),
IFERROR(INDEX(_xlpm.hits,1),_xlpm.corp))</f>
        <v>ソリトン</v>
      </c>
      <c r="P643" t="str">
        <f t="shared" si="43"/>
        <v>2026-01-07</v>
      </c>
      <c r="Q643" t="str">
        <f t="shared" si="39"/>
        <v>ソリトン</v>
      </c>
      <c r="R643" t="str">
        <f t="shared" si="44"/>
        <v>ベビーリーフ ロログリーン</v>
      </c>
      <c r="S643">
        <f t="shared" si="45"/>
        <v>1060</v>
      </c>
    </row>
    <row r="644" spans="1:19">
      <c r="A644" s="7">
        <v>71532</v>
      </c>
      <c r="B644" s="8" t="s">
        <v>23</v>
      </c>
      <c r="C644" s="9">
        <v>46029</v>
      </c>
      <c r="D644" s="10" t="s">
        <v>71</v>
      </c>
      <c r="E644" s="10" t="s">
        <v>62</v>
      </c>
      <c r="F644" s="20">
        <v>1060</v>
      </c>
      <c r="G644" s="12" t="s">
        <v>24</v>
      </c>
      <c r="H644" s="15">
        <v>46029</v>
      </c>
      <c r="I644" s="16" t="s">
        <v>64</v>
      </c>
      <c r="J644" s="16" t="s">
        <v>11</v>
      </c>
      <c r="K644" s="17">
        <v>660</v>
      </c>
      <c r="O644" t="str" cm="1">
        <f t="array" ref="O644">_xlfn.LET(
_xlpm.corp,$I644,_xlpm.key,$M$2:$M$200,_xlpm.name,$N$2:$N$200,_xlpm.hits,_xlfn._xlws.FILTER(_xlpm.name,ISNUMBER(SEARCH(_xlpm.key,_xlpm.corp))),
IFERROR(INDEX(_xlpm.hits,1),_xlpm.corp))</f>
        <v>NaITO</v>
      </c>
      <c r="P644" t="str">
        <f t="shared" si="43"/>
        <v>2026-01-07</v>
      </c>
      <c r="Q644" t="str">
        <f t="shared" si="39"/>
        <v>NaITO</v>
      </c>
      <c r="R644" t="str">
        <f t="shared" si="44"/>
        <v>ベビーリーフ レッドオーク</v>
      </c>
      <c r="S644">
        <f t="shared" si="45"/>
        <v>660</v>
      </c>
    </row>
    <row r="645" spans="1:19">
      <c r="A645" s="13">
        <v>71531</v>
      </c>
      <c r="B645" s="14" t="s">
        <v>23</v>
      </c>
      <c r="C645" s="15">
        <v>46029</v>
      </c>
      <c r="D645" s="16" t="s">
        <v>64</v>
      </c>
      <c r="E645" s="16" t="s">
        <v>11</v>
      </c>
      <c r="F645" s="17">
        <v>660</v>
      </c>
      <c r="G645" s="18" t="s">
        <v>24</v>
      </c>
      <c r="H645" s="9">
        <v>46029</v>
      </c>
      <c r="I645" s="10" t="s">
        <v>61</v>
      </c>
      <c r="J645" s="10" t="s">
        <v>62</v>
      </c>
      <c r="K645" s="20">
        <v>1460</v>
      </c>
      <c r="O645" t="str" cm="1">
        <f t="array" ref="O645">_xlfn.LET(
_xlpm.corp,$I645,_xlpm.key,$M$2:$M$200,_xlpm.name,$N$2:$N$200,_xlpm.hits,_xlfn._xlws.FILTER(_xlpm.name,ISNUMBER(SEARCH(_xlpm.key,_xlpm.corp))),
IFERROR(INDEX(_xlpm.hits,1),_xlpm.corp))</f>
        <v>Adobe</v>
      </c>
      <c r="P645" t="str">
        <f t="shared" si="43"/>
        <v>2026-01-07</v>
      </c>
      <c r="Q645" t="str">
        <f t="shared" si="39"/>
        <v>Adobe</v>
      </c>
      <c r="R645" t="str">
        <f t="shared" si="44"/>
        <v>ベビーリーフ ロログリーン</v>
      </c>
      <c r="S645">
        <f t="shared" si="45"/>
        <v>1460</v>
      </c>
    </row>
    <row r="646" spans="1:19">
      <c r="A646" s="7">
        <v>71530</v>
      </c>
      <c r="B646" s="8" t="s">
        <v>23</v>
      </c>
      <c r="C646" s="9">
        <v>46029</v>
      </c>
      <c r="D646" s="10" t="s">
        <v>61</v>
      </c>
      <c r="E646" s="10" t="s">
        <v>62</v>
      </c>
      <c r="F646" s="20">
        <v>1460</v>
      </c>
      <c r="G646" s="12" t="s">
        <v>24</v>
      </c>
      <c r="H646" s="15">
        <v>46029</v>
      </c>
      <c r="I646" s="16" t="s">
        <v>26</v>
      </c>
      <c r="J646" s="16" t="s">
        <v>3</v>
      </c>
      <c r="K646" s="17">
        <v>100</v>
      </c>
      <c r="O646" t="str" cm="1">
        <f t="array" ref="O646">_xlfn.LET(
_xlpm.corp,$I646,_xlpm.key,$M$2:$M$200,_xlpm.name,$N$2:$N$200,_xlpm.hits,_xlfn._xlws.FILTER(_xlpm.name,ISNUMBER(SEARCH(_xlpm.key,_xlpm.corp))),
IFERROR(INDEX(_xlpm.hits,1),_xlpm.corp))</f>
        <v>日建</v>
      </c>
      <c r="P646" t="str">
        <f t="shared" si="43"/>
        <v>2026-01-07</v>
      </c>
      <c r="Q646" t="str">
        <f t="shared" si="39"/>
        <v>日建/加工BL</v>
      </c>
      <c r="R646" t="str">
        <f t="shared" si="44"/>
        <v>加工BL</v>
      </c>
      <c r="S646">
        <f t="shared" si="45"/>
        <v>100</v>
      </c>
    </row>
    <row r="647" spans="1:19">
      <c r="A647" s="13">
        <v>71529</v>
      </c>
      <c r="B647" s="14" t="s">
        <v>23</v>
      </c>
      <c r="C647" s="15">
        <v>46029</v>
      </c>
      <c r="D647" s="16" t="s">
        <v>26</v>
      </c>
      <c r="E647" s="16" t="s">
        <v>3</v>
      </c>
      <c r="F647" s="17">
        <v>100</v>
      </c>
      <c r="G647" s="18" t="s">
        <v>24</v>
      </c>
      <c r="H647" s="9">
        <v>46029</v>
      </c>
      <c r="I647" s="10" t="s">
        <v>26</v>
      </c>
      <c r="J647" s="10" t="s">
        <v>9</v>
      </c>
      <c r="K647" s="11">
        <v>340</v>
      </c>
      <c r="O647" t="str" cm="1">
        <f t="array" ref="O647">_xlfn.LET(
_xlpm.corp,$I647,_xlpm.key,$M$2:$M$200,_xlpm.name,$N$2:$N$200,_xlpm.hits,_xlfn._xlws.FILTER(_xlpm.name,ISNUMBER(SEARCH(_xlpm.key,_xlpm.corp))),
IFERROR(INDEX(_xlpm.hits,1),_xlpm.corp))</f>
        <v>日建</v>
      </c>
      <c r="P647" t="str">
        <f t="shared" si="43"/>
        <v>2026-01-07</v>
      </c>
      <c r="Q647" t="str">
        <f t="shared" si="39"/>
        <v>日建</v>
      </c>
      <c r="R647" t="str">
        <f t="shared" si="44"/>
        <v>ベビーリーフ ロロロッサ</v>
      </c>
      <c r="S647">
        <f t="shared" si="45"/>
        <v>340</v>
      </c>
    </row>
    <row r="648" spans="1:19">
      <c r="A648" s="7">
        <v>71528</v>
      </c>
      <c r="B648" s="8" t="s">
        <v>23</v>
      </c>
      <c r="C648" s="9">
        <v>46029</v>
      </c>
      <c r="D648" s="10" t="s">
        <v>26</v>
      </c>
      <c r="E648" s="10" t="s">
        <v>9</v>
      </c>
      <c r="F648" s="11">
        <v>340</v>
      </c>
      <c r="G648" s="12" t="s">
        <v>24</v>
      </c>
      <c r="H648" s="15">
        <v>46029</v>
      </c>
      <c r="I648" s="16" t="s">
        <v>63</v>
      </c>
      <c r="J648" s="16" t="s">
        <v>62</v>
      </c>
      <c r="K648" s="17">
        <v>700</v>
      </c>
      <c r="O648" t="str" cm="1">
        <f t="array" ref="O648">_xlfn.LET(
_xlpm.corp,$I648,_xlpm.key,$M$2:$M$200,_xlpm.name,$N$2:$N$200,_xlpm.hits,_xlfn._xlws.FILTER(_xlpm.name,ISNUMBER(SEARCH(_xlpm.key,_xlpm.corp))),
IFERROR(INDEX(_xlpm.hits,1),_xlpm.corp))</f>
        <v>富士機材</v>
      </c>
      <c r="P648" t="str">
        <f t="shared" si="43"/>
        <v>2026-01-07</v>
      </c>
      <c r="Q648" t="str">
        <f t="shared" si="39"/>
        <v>富士機材</v>
      </c>
      <c r="R648" t="str">
        <f t="shared" si="44"/>
        <v>ベビーリーフ ロログリーン</v>
      </c>
      <c r="S648">
        <f t="shared" si="45"/>
        <v>700</v>
      </c>
    </row>
    <row r="649" spans="1:19">
      <c r="A649" s="13">
        <v>71527</v>
      </c>
      <c r="B649" s="14" t="s">
        <v>23</v>
      </c>
      <c r="C649" s="15">
        <v>46029</v>
      </c>
      <c r="D649" s="16" t="s">
        <v>63</v>
      </c>
      <c r="E649" s="16" t="s">
        <v>62</v>
      </c>
      <c r="F649" s="17">
        <v>700</v>
      </c>
      <c r="G649" s="18" t="s">
        <v>24</v>
      </c>
      <c r="H649" s="9">
        <v>46029</v>
      </c>
      <c r="I649" s="10" t="s">
        <v>57</v>
      </c>
      <c r="J649" s="10" t="s">
        <v>3</v>
      </c>
      <c r="K649" s="11">
        <v>220</v>
      </c>
      <c r="O649" t="str" cm="1">
        <f t="array" ref="O649">_xlfn.LET(
_xlpm.corp,$I649,_xlpm.key,$M$2:$M$200,_xlpm.name,$N$2:$N$200,_xlpm.hits,_xlfn._xlws.FILTER(_xlpm.name,ISNUMBER(SEARCH(_xlpm.key,_xlpm.corp))),
IFERROR(INDEX(_xlpm.hits,1),_xlpm.corp))</f>
        <v>QB</v>
      </c>
      <c r="P649" t="str">
        <f t="shared" si="43"/>
        <v>2026-01-07</v>
      </c>
      <c r="Q649" t="str">
        <f t="shared" si="39"/>
        <v>QB/加工BL</v>
      </c>
      <c r="R649" t="str">
        <f t="shared" si="44"/>
        <v>加工BL</v>
      </c>
      <c r="S649">
        <f t="shared" si="45"/>
        <v>220</v>
      </c>
    </row>
    <row r="650" spans="1:19">
      <c r="A650" s="7">
        <v>71526</v>
      </c>
      <c r="B650" s="8" t="s">
        <v>23</v>
      </c>
      <c r="C650" s="9">
        <v>46029</v>
      </c>
      <c r="D650" s="10" t="s">
        <v>57</v>
      </c>
      <c r="E650" s="10" t="s">
        <v>3</v>
      </c>
      <c r="F650" s="11">
        <v>220</v>
      </c>
      <c r="G650" s="12" t="s">
        <v>24</v>
      </c>
      <c r="H650" s="15">
        <v>46029</v>
      </c>
      <c r="I650" s="16" t="s">
        <v>57</v>
      </c>
      <c r="J650" s="16" t="s">
        <v>4</v>
      </c>
      <c r="K650" s="17">
        <v>180</v>
      </c>
      <c r="O650" t="str" cm="1">
        <f t="array" ref="O650">_xlfn.LET(
_xlpm.corp,$I650,_xlpm.key,$M$2:$M$200,_xlpm.name,$N$2:$N$200,_xlpm.hits,_xlfn._xlws.FILTER(_xlpm.name,ISNUMBER(SEARCH(_xlpm.key,_xlpm.corp))),
IFERROR(INDEX(_xlpm.hits,1),_xlpm.corp))</f>
        <v>QB</v>
      </c>
      <c r="P650" t="str">
        <f t="shared" si="43"/>
        <v>2026-01-07</v>
      </c>
      <c r="Q650" t="str">
        <f t="shared" si="39"/>
        <v>QB</v>
      </c>
      <c r="R650" t="str">
        <f t="shared" si="44"/>
        <v>ベビーリーフ ピノグリーン</v>
      </c>
      <c r="S650">
        <f t="shared" si="45"/>
        <v>180</v>
      </c>
    </row>
    <row r="651" spans="1:19">
      <c r="A651" s="13">
        <v>71525</v>
      </c>
      <c r="B651" s="14" t="s">
        <v>23</v>
      </c>
      <c r="C651" s="15">
        <v>46029</v>
      </c>
      <c r="D651" s="16" t="s">
        <v>57</v>
      </c>
      <c r="E651" s="16" t="s">
        <v>4</v>
      </c>
      <c r="F651" s="17">
        <v>180</v>
      </c>
      <c r="G651" s="18" t="s">
        <v>24</v>
      </c>
      <c r="H651" s="9">
        <v>46029</v>
      </c>
      <c r="I651" s="10" t="s">
        <v>70</v>
      </c>
      <c r="J651" s="10" t="s">
        <v>4</v>
      </c>
      <c r="K651" s="11">
        <v>580</v>
      </c>
      <c r="O651" t="str" cm="1">
        <f t="array" ref="O651">_xlfn.LET(
_xlpm.corp,$I651,_xlpm.key,$M$2:$M$200,_xlpm.name,$N$2:$N$200,_xlpm.hits,_xlfn._xlws.FILTER(_xlpm.name,ISNUMBER(SEARCH(_xlpm.key,_xlpm.corp))),
IFERROR(INDEX(_xlpm.hits,1),_xlpm.corp))</f>
        <v>富士機械</v>
      </c>
      <c r="P651" t="str">
        <f t="shared" si="43"/>
        <v>2026-01-07</v>
      </c>
      <c r="Q651" t="str">
        <f t="shared" si="39"/>
        <v>富士機械</v>
      </c>
      <c r="R651" t="str">
        <f t="shared" si="44"/>
        <v>ベビーリーフ ピノグリーン</v>
      </c>
      <c r="S651">
        <f t="shared" si="45"/>
        <v>580</v>
      </c>
    </row>
    <row r="652" spans="1:19">
      <c r="A652" s="7">
        <v>71524</v>
      </c>
      <c r="B652" s="8" t="s">
        <v>23</v>
      </c>
      <c r="C652" s="9">
        <v>46029</v>
      </c>
      <c r="D652" s="10" t="s">
        <v>70</v>
      </c>
      <c r="E652" s="10" t="s">
        <v>4</v>
      </c>
      <c r="F652" s="11">
        <v>580</v>
      </c>
      <c r="G652" s="12" t="s">
        <v>24</v>
      </c>
      <c r="H652" s="15">
        <v>46029</v>
      </c>
      <c r="I652" s="16" t="s">
        <v>26</v>
      </c>
      <c r="J652" s="16" t="s">
        <v>3</v>
      </c>
      <c r="K652" s="17">
        <v>140</v>
      </c>
      <c r="O652" t="str" cm="1">
        <f t="array" ref="O652">_xlfn.LET(
_xlpm.corp,$I652,_xlpm.key,$M$2:$M$200,_xlpm.name,$N$2:$N$200,_xlpm.hits,_xlfn._xlws.FILTER(_xlpm.name,ISNUMBER(SEARCH(_xlpm.key,_xlpm.corp))),
IFERROR(INDEX(_xlpm.hits,1),_xlpm.corp))</f>
        <v>日建</v>
      </c>
      <c r="P652" t="str">
        <f t="shared" si="43"/>
        <v>2026-01-07</v>
      </c>
      <c r="Q652" t="str">
        <f t="shared" si="39"/>
        <v>日建/加工BL</v>
      </c>
      <c r="R652" t="str">
        <f t="shared" si="44"/>
        <v>加工BL</v>
      </c>
      <c r="S652">
        <f t="shared" si="45"/>
        <v>140</v>
      </c>
    </row>
    <row r="653" spans="1:19">
      <c r="A653" s="13">
        <v>71523</v>
      </c>
      <c r="B653" s="14" t="s">
        <v>23</v>
      </c>
      <c r="C653" s="15">
        <v>46029</v>
      </c>
      <c r="D653" s="16" t="s">
        <v>26</v>
      </c>
      <c r="E653" s="16" t="s">
        <v>3</v>
      </c>
      <c r="F653" s="17">
        <v>140</v>
      </c>
      <c r="G653" s="18" t="s">
        <v>24</v>
      </c>
      <c r="H653" s="9">
        <v>46029</v>
      </c>
      <c r="I653" s="10" t="s">
        <v>26</v>
      </c>
      <c r="J653" s="10" t="s">
        <v>2</v>
      </c>
      <c r="K653" s="11">
        <v>380</v>
      </c>
      <c r="O653" t="str" cm="1">
        <f t="array" ref="O653">_xlfn.LET(
_xlpm.corp,$I653,_xlpm.key,$M$2:$M$200,_xlpm.name,$N$2:$N$200,_xlpm.hits,_xlfn._xlws.FILTER(_xlpm.name,ISNUMBER(SEARCH(_xlpm.key,_xlpm.corp))),
IFERROR(INDEX(_xlpm.hits,1),_xlpm.corp))</f>
        <v>日建</v>
      </c>
      <c r="P653" t="str">
        <f t="shared" si="43"/>
        <v>2026-01-07</v>
      </c>
      <c r="Q653" t="str">
        <f t="shared" si="39"/>
        <v>日建</v>
      </c>
      <c r="R653" t="str">
        <f t="shared" si="44"/>
        <v>ベビーリーフ グリーンオーク</v>
      </c>
      <c r="S653">
        <f t="shared" si="45"/>
        <v>380</v>
      </c>
    </row>
    <row r="654" spans="1:19">
      <c r="A654" s="7">
        <v>71522</v>
      </c>
      <c r="B654" s="8" t="s">
        <v>23</v>
      </c>
      <c r="C654" s="9">
        <v>46029</v>
      </c>
      <c r="D654" s="10" t="s">
        <v>26</v>
      </c>
      <c r="E654" s="10" t="s">
        <v>2</v>
      </c>
      <c r="F654" s="11">
        <v>380</v>
      </c>
      <c r="G654" s="12" t="s">
        <v>24</v>
      </c>
      <c r="H654" s="15">
        <v>46029</v>
      </c>
      <c r="I654" s="16" t="s">
        <v>26</v>
      </c>
      <c r="J654" s="16" t="s">
        <v>2</v>
      </c>
      <c r="K654" s="17">
        <v>220</v>
      </c>
      <c r="O654" t="str" cm="1">
        <f t="array" ref="O654">_xlfn.LET(
_xlpm.corp,$I654,_xlpm.key,$M$2:$M$200,_xlpm.name,$N$2:$N$200,_xlpm.hits,_xlfn._xlws.FILTER(_xlpm.name,ISNUMBER(SEARCH(_xlpm.key,_xlpm.corp))),
IFERROR(INDEX(_xlpm.hits,1),_xlpm.corp))</f>
        <v>日建</v>
      </c>
      <c r="P654" t="str">
        <f t="shared" si="43"/>
        <v>2026-01-07</v>
      </c>
      <c r="Q654" t="str">
        <f t="shared" si="39"/>
        <v>日建</v>
      </c>
      <c r="R654" t="str">
        <f t="shared" si="44"/>
        <v>ベビーリーフ グリーンオーク</v>
      </c>
      <c r="S654">
        <f t="shared" si="45"/>
        <v>220</v>
      </c>
    </row>
    <row r="655" spans="1:19">
      <c r="A655" s="13">
        <v>71521</v>
      </c>
      <c r="B655" s="14" t="s">
        <v>23</v>
      </c>
      <c r="C655" s="15">
        <v>46029</v>
      </c>
      <c r="D655" s="16" t="s">
        <v>26</v>
      </c>
      <c r="E655" s="16" t="s">
        <v>2</v>
      </c>
      <c r="F655" s="17">
        <v>220</v>
      </c>
      <c r="G655" s="18" t="s">
        <v>24</v>
      </c>
      <c r="H655" s="9">
        <v>46029</v>
      </c>
      <c r="I655" s="10" t="s">
        <v>67</v>
      </c>
      <c r="J655" s="10" t="s">
        <v>4</v>
      </c>
      <c r="K655" s="11">
        <v>180</v>
      </c>
      <c r="O655" t="str" cm="1">
        <f t="array" ref="O655">_xlfn.LET(
_xlpm.corp,$I655,_xlpm.key,$M$2:$M$200,_xlpm.name,$N$2:$N$200,_xlpm.hits,_xlfn._xlws.FILTER(_xlpm.name,ISNUMBER(SEARCH(_xlpm.key,_xlpm.corp))),
IFERROR(INDEX(_xlpm.hits,1),_xlpm.corp))</f>
        <v>日本ロレアル</v>
      </c>
      <c r="P655" t="str">
        <f t="shared" si="43"/>
        <v>2026-01-07</v>
      </c>
      <c r="Q655" t="str">
        <f t="shared" si="39"/>
        <v>日本ロレアル</v>
      </c>
      <c r="R655" t="str">
        <f t="shared" si="44"/>
        <v>ベビーリーフ ピノグリーン</v>
      </c>
      <c r="S655">
        <f t="shared" si="45"/>
        <v>180</v>
      </c>
    </row>
    <row r="656" spans="1:19">
      <c r="A656" s="7">
        <v>71520</v>
      </c>
      <c r="B656" s="8" t="s">
        <v>23</v>
      </c>
      <c r="C656" s="9">
        <v>46029</v>
      </c>
      <c r="D656" s="10" t="s">
        <v>67</v>
      </c>
      <c r="E656" s="10" t="s">
        <v>4</v>
      </c>
      <c r="F656" s="11">
        <v>180</v>
      </c>
      <c r="G656" s="12" t="s">
        <v>24</v>
      </c>
      <c r="H656" s="15">
        <v>46029</v>
      </c>
      <c r="I656" s="16" t="s">
        <v>27</v>
      </c>
      <c r="J656" s="16" t="s">
        <v>11</v>
      </c>
      <c r="K656" s="19">
        <v>1160</v>
      </c>
      <c r="O656" t="str" cm="1">
        <f t="array" ref="O656">_xlfn.LET(
_xlpm.corp,$I656,_xlpm.key,$M$2:$M$200,_xlpm.name,$N$2:$N$200,_xlpm.hits,_xlfn._xlws.FILTER(_xlpm.name,ISNUMBER(SEARCH(_xlpm.key,_xlpm.corp))),
IFERROR(INDEX(_xlpm.hits,1),_xlpm.corp))</f>
        <v>東レ</v>
      </c>
      <c r="P656" t="str">
        <f t="shared" si="43"/>
        <v>2026-01-07</v>
      </c>
      <c r="Q656" t="str">
        <f t="shared" si="39"/>
        <v>東レ</v>
      </c>
      <c r="R656" t="str">
        <f t="shared" si="44"/>
        <v>ベビーリーフ レッドオーク</v>
      </c>
      <c r="S656">
        <f t="shared" si="45"/>
        <v>1160</v>
      </c>
    </row>
    <row r="657" spans="1:19">
      <c r="A657" s="13">
        <v>71519</v>
      </c>
      <c r="B657" s="14" t="s">
        <v>23</v>
      </c>
      <c r="C657" s="15">
        <v>46029</v>
      </c>
      <c r="D657" s="16" t="s">
        <v>27</v>
      </c>
      <c r="E657" s="16" t="s">
        <v>11</v>
      </c>
      <c r="F657" s="19">
        <v>1160</v>
      </c>
      <c r="G657" s="18" t="s">
        <v>24</v>
      </c>
      <c r="H657" s="9">
        <v>46029</v>
      </c>
      <c r="I657" s="10" t="s">
        <v>27</v>
      </c>
      <c r="J657" s="10" t="s">
        <v>3</v>
      </c>
      <c r="K657" s="11">
        <v>160</v>
      </c>
      <c r="O657" t="str" cm="1">
        <f t="array" ref="O657">_xlfn.LET(
_xlpm.corp,$I657,_xlpm.key,$M$2:$M$200,_xlpm.name,$N$2:$N$200,_xlpm.hits,_xlfn._xlws.FILTER(_xlpm.name,ISNUMBER(SEARCH(_xlpm.key,_xlpm.corp))),
IFERROR(INDEX(_xlpm.hits,1),_xlpm.corp))</f>
        <v>東レ</v>
      </c>
      <c r="P657" t="str">
        <f t="shared" si="43"/>
        <v>2026-01-07</v>
      </c>
      <c r="Q657" t="str">
        <f t="shared" si="39"/>
        <v>東レ/加工BL</v>
      </c>
      <c r="R657" t="str">
        <f t="shared" si="44"/>
        <v>加工BL</v>
      </c>
      <c r="S657">
        <f t="shared" si="45"/>
        <v>160</v>
      </c>
    </row>
    <row r="658" spans="1:19">
      <c r="A658" s="7">
        <v>71518</v>
      </c>
      <c r="B658" s="8" t="s">
        <v>23</v>
      </c>
      <c r="C658" s="9">
        <v>46029</v>
      </c>
      <c r="D658" s="10" t="s">
        <v>27</v>
      </c>
      <c r="E658" s="10" t="s">
        <v>3</v>
      </c>
      <c r="F658" s="11">
        <v>160</v>
      </c>
      <c r="G658" s="12" t="s">
        <v>24</v>
      </c>
      <c r="H658" s="15">
        <v>46029</v>
      </c>
      <c r="I658" s="16" t="s">
        <v>67</v>
      </c>
      <c r="J658" s="16" t="s">
        <v>3</v>
      </c>
      <c r="K658" s="17">
        <v>20</v>
      </c>
      <c r="O658" t="str" cm="1">
        <f t="array" ref="O658">_xlfn.LET(
_xlpm.corp,$I658,_xlpm.key,$M$2:$M$200,_xlpm.name,$N$2:$N$200,_xlpm.hits,_xlfn._xlws.FILTER(_xlpm.name,ISNUMBER(SEARCH(_xlpm.key,_xlpm.corp))),
IFERROR(INDEX(_xlpm.hits,1),_xlpm.corp))</f>
        <v>日本ロレアル</v>
      </c>
      <c r="P658" t="str">
        <f t="shared" ref="P658:P721" si="46">IFERROR(TEXT(DATEVALUE(SUBSTITUTE(SUBSTITUTE(H658,".","/"),"-","/")),"yyyy-mm-dd"),
TEXT(H658,"yyyy-mm-dd"))</f>
        <v>2026-01-07</v>
      </c>
      <c r="Q658" t="str">
        <f t="shared" si="39"/>
        <v>日本ロレアル/加工BL</v>
      </c>
      <c r="R658" t="str">
        <f t="shared" ref="R658:R721" si="47">IF(
  AND(ISNUMBER(SEARCH("加工品",SUBSTITUTE(J658,"　"," "))),ISNUMBER(SEARCH("ベビーリーフ",SUBSTITUTE(J658,"　"," ")))),
  "加工BL",
  IF(LEFT(TRIM(SUBSTITUTE(J658,"　"," ")),5)="ベビーリーフ",
     "BL"&amp;TRIM(MID(TRIM(SUBSTITUTE(J658,"　"," ")),FIND(" ",TRIM(SUBSTITUTE(J658,"　"," "))&amp;" ")+1,255)),
     TRIM(SUBSTITUTE(J658,"　"," "))
  )
)</f>
        <v>加工BL</v>
      </c>
      <c r="S658">
        <f t="shared" ref="S658:S721" si="48">IF(K658="", "", --SUBSTITUTE(K658, ",", ""))</f>
        <v>20</v>
      </c>
    </row>
    <row r="659" spans="1:19">
      <c r="A659" s="13">
        <v>71517</v>
      </c>
      <c r="B659" s="14" t="s">
        <v>23</v>
      </c>
      <c r="C659" s="15">
        <v>46029</v>
      </c>
      <c r="D659" s="16" t="s">
        <v>67</v>
      </c>
      <c r="E659" s="16" t="s">
        <v>3</v>
      </c>
      <c r="F659" s="17">
        <v>20</v>
      </c>
      <c r="G659" s="18" t="s">
        <v>24</v>
      </c>
      <c r="H659" s="9">
        <v>46029</v>
      </c>
      <c r="I659" s="10" t="s">
        <v>70</v>
      </c>
      <c r="J659" s="10" t="s">
        <v>9</v>
      </c>
      <c r="K659" s="20">
        <v>1360</v>
      </c>
      <c r="O659" t="str" cm="1">
        <f t="array" ref="O659">_xlfn.LET(
_xlpm.corp,$I659,_xlpm.key,$M$2:$M$200,_xlpm.name,$N$2:$N$200,_xlpm.hits,_xlfn._xlws.FILTER(_xlpm.name,ISNUMBER(SEARCH(_xlpm.key,_xlpm.corp))),
IFERROR(INDEX(_xlpm.hits,1),_xlpm.corp))</f>
        <v>富士機械</v>
      </c>
      <c r="P659" t="str">
        <f t="shared" si="46"/>
        <v>2026-01-07</v>
      </c>
      <c r="Q659" t="str">
        <f t="shared" si="39"/>
        <v>富士機械</v>
      </c>
      <c r="R659" t="str">
        <f t="shared" si="47"/>
        <v>ベビーリーフ ロロロッサ</v>
      </c>
      <c r="S659">
        <f t="shared" si="48"/>
        <v>1360</v>
      </c>
    </row>
    <row r="660" spans="1:19">
      <c r="A660" s="7">
        <v>71516</v>
      </c>
      <c r="B660" s="8" t="s">
        <v>23</v>
      </c>
      <c r="C660" s="9">
        <v>46029</v>
      </c>
      <c r="D660" s="10" t="s">
        <v>70</v>
      </c>
      <c r="E660" s="10" t="s">
        <v>9</v>
      </c>
      <c r="F660" s="20">
        <v>1360</v>
      </c>
      <c r="G660" s="12" t="s">
        <v>24</v>
      </c>
      <c r="H660" s="15">
        <v>46029</v>
      </c>
      <c r="I660" s="16" t="s">
        <v>71</v>
      </c>
      <c r="J660" s="16" t="s">
        <v>12</v>
      </c>
      <c r="K660" s="17">
        <v>970</v>
      </c>
      <c r="O660" t="str" cm="1">
        <f t="array" ref="O660">_xlfn.LET(
_xlpm.corp,$I660,_xlpm.key,$M$2:$M$200,_xlpm.name,$N$2:$N$200,_xlpm.hits,_xlfn._xlws.FILTER(_xlpm.name,ISNUMBER(SEARCH(_xlpm.key,_xlpm.corp))),
IFERROR(INDEX(_xlpm.hits,1),_xlpm.corp))</f>
        <v>ソリトン</v>
      </c>
      <c r="P660" t="str">
        <f t="shared" si="46"/>
        <v>2026-01-07</v>
      </c>
      <c r="Q660" t="str">
        <f t="shared" si="39"/>
        <v>ソリトン/葉物野菜</v>
      </c>
      <c r="R660" t="str">
        <f t="shared" si="47"/>
        <v>ブロッコリースプラウト</v>
      </c>
      <c r="S660">
        <f t="shared" si="48"/>
        <v>970</v>
      </c>
    </row>
    <row r="661" spans="1:19">
      <c r="A661" s="13">
        <v>71515</v>
      </c>
      <c r="B661" s="14" t="s">
        <v>23</v>
      </c>
      <c r="C661" s="15">
        <v>46029</v>
      </c>
      <c r="D661" s="16" t="s">
        <v>71</v>
      </c>
      <c r="E661" s="16" t="s">
        <v>12</v>
      </c>
      <c r="F661" s="17">
        <v>970</v>
      </c>
      <c r="G661" s="18" t="s">
        <v>24</v>
      </c>
      <c r="H661" s="9">
        <v>46029</v>
      </c>
      <c r="I661" s="10" t="s">
        <v>64</v>
      </c>
      <c r="J661" s="10" t="s">
        <v>9</v>
      </c>
      <c r="K661" s="11">
        <v>500</v>
      </c>
      <c r="O661" t="str" cm="1">
        <f t="array" ref="O661">_xlfn.LET(
_xlpm.corp,$I661,_xlpm.key,$M$2:$M$200,_xlpm.name,$N$2:$N$200,_xlpm.hits,_xlfn._xlws.FILTER(_xlpm.name,ISNUMBER(SEARCH(_xlpm.key,_xlpm.corp))),
IFERROR(INDEX(_xlpm.hits,1),_xlpm.corp))</f>
        <v>NaITO</v>
      </c>
      <c r="P661" t="str">
        <f t="shared" si="46"/>
        <v>2026-01-07</v>
      </c>
      <c r="Q661" t="str">
        <f t="shared" si="39"/>
        <v>NaITO</v>
      </c>
      <c r="R661" t="str">
        <f t="shared" si="47"/>
        <v>ベビーリーフ ロロロッサ</v>
      </c>
      <c r="S661">
        <f t="shared" si="48"/>
        <v>500</v>
      </c>
    </row>
    <row r="662" spans="1:19">
      <c r="A662" s="7">
        <v>71514</v>
      </c>
      <c r="B662" s="8" t="s">
        <v>23</v>
      </c>
      <c r="C662" s="9">
        <v>46029</v>
      </c>
      <c r="D662" s="10" t="s">
        <v>64</v>
      </c>
      <c r="E662" s="10" t="s">
        <v>9</v>
      </c>
      <c r="F662" s="11">
        <v>500</v>
      </c>
      <c r="G662" s="12" t="s">
        <v>24</v>
      </c>
      <c r="H662" s="15">
        <v>46029</v>
      </c>
      <c r="I662" s="16" t="s">
        <v>72</v>
      </c>
      <c r="J662" s="16" t="s">
        <v>2</v>
      </c>
      <c r="K662" s="17">
        <v>700</v>
      </c>
      <c r="O662" t="str" cm="1">
        <f t="array" ref="O662">_xlfn.LET(
_xlpm.corp,$I662,_xlpm.key,$M$2:$M$200,_xlpm.name,$N$2:$N$200,_xlpm.hits,_xlfn._xlws.FILTER(_xlpm.name,ISNUMBER(SEARCH(_xlpm.key,_xlpm.corp))),
IFERROR(INDEX(_xlpm.hits,1),_xlpm.corp))</f>
        <v>岡部</v>
      </c>
      <c r="P662" t="str">
        <f t="shared" si="46"/>
        <v>2026-01-07</v>
      </c>
      <c r="Q662" t="str">
        <f t="shared" si="39"/>
        <v>岡部</v>
      </c>
      <c r="R662" t="str">
        <f t="shared" si="47"/>
        <v>ベビーリーフ グリーンオーク</v>
      </c>
      <c r="S662">
        <f t="shared" si="48"/>
        <v>700</v>
      </c>
    </row>
    <row r="663" spans="1:19">
      <c r="A663" s="13">
        <v>71513</v>
      </c>
      <c r="B663" s="14" t="s">
        <v>23</v>
      </c>
      <c r="C663" s="15">
        <v>46029</v>
      </c>
      <c r="D663" s="16" t="s">
        <v>72</v>
      </c>
      <c r="E663" s="16" t="s">
        <v>2</v>
      </c>
      <c r="F663" s="17">
        <v>700</v>
      </c>
      <c r="G663" s="18" t="s">
        <v>24</v>
      </c>
      <c r="H663" s="9">
        <v>46029</v>
      </c>
      <c r="I663" s="10" t="s">
        <v>57</v>
      </c>
      <c r="J663" s="10" t="s">
        <v>3</v>
      </c>
      <c r="K663" s="11">
        <v>100</v>
      </c>
      <c r="O663" t="str" cm="1">
        <f t="array" ref="O663">_xlfn.LET(
_xlpm.corp,$I663,_xlpm.key,$M$2:$M$200,_xlpm.name,$N$2:$N$200,_xlpm.hits,_xlfn._xlws.FILTER(_xlpm.name,ISNUMBER(SEARCH(_xlpm.key,_xlpm.corp))),
IFERROR(INDEX(_xlpm.hits,1),_xlpm.corp))</f>
        <v>QB</v>
      </c>
      <c r="P663" t="str">
        <f t="shared" si="46"/>
        <v>2026-01-07</v>
      </c>
      <c r="Q663" t="str">
        <f t="shared" si="39"/>
        <v>QB/加工BL</v>
      </c>
      <c r="R663" t="str">
        <f t="shared" si="47"/>
        <v>加工BL</v>
      </c>
      <c r="S663">
        <f t="shared" si="48"/>
        <v>100</v>
      </c>
    </row>
    <row r="664" spans="1:19">
      <c r="A664" s="7">
        <v>71512</v>
      </c>
      <c r="B664" s="8" t="s">
        <v>23</v>
      </c>
      <c r="C664" s="9">
        <v>46029</v>
      </c>
      <c r="D664" s="10" t="s">
        <v>57</v>
      </c>
      <c r="E664" s="10" t="s">
        <v>3</v>
      </c>
      <c r="F664" s="11">
        <v>100</v>
      </c>
      <c r="G664" s="12" t="s">
        <v>24</v>
      </c>
      <c r="H664" s="15">
        <v>46029</v>
      </c>
      <c r="I664" s="16" t="s">
        <v>57</v>
      </c>
      <c r="J664" s="16" t="s">
        <v>4</v>
      </c>
      <c r="K664" s="17">
        <v>100</v>
      </c>
      <c r="O664" t="str" cm="1">
        <f t="array" ref="O664">_xlfn.LET(
_xlpm.corp,$I664,_xlpm.key,$M$2:$M$200,_xlpm.name,$N$2:$N$200,_xlpm.hits,_xlfn._xlws.FILTER(_xlpm.name,ISNUMBER(SEARCH(_xlpm.key,_xlpm.corp))),
IFERROR(INDEX(_xlpm.hits,1),_xlpm.corp))</f>
        <v>QB</v>
      </c>
      <c r="P664" t="str">
        <f t="shared" si="46"/>
        <v>2026-01-07</v>
      </c>
      <c r="Q664" t="str">
        <f t="shared" si="39"/>
        <v>QB</v>
      </c>
      <c r="R664" t="str">
        <f t="shared" si="47"/>
        <v>ベビーリーフ ピノグリーン</v>
      </c>
      <c r="S664">
        <f t="shared" si="48"/>
        <v>100</v>
      </c>
    </row>
    <row r="665" spans="1:19">
      <c r="A665" s="13">
        <v>71511</v>
      </c>
      <c r="B665" s="14" t="s">
        <v>23</v>
      </c>
      <c r="C665" s="15">
        <v>46029</v>
      </c>
      <c r="D665" s="16" t="s">
        <v>57</v>
      </c>
      <c r="E665" s="16" t="s">
        <v>4</v>
      </c>
      <c r="F665" s="17">
        <v>100</v>
      </c>
      <c r="G665" s="18" t="s">
        <v>24</v>
      </c>
      <c r="H665" s="9">
        <v>46029</v>
      </c>
      <c r="I665" s="10" t="s">
        <v>63</v>
      </c>
      <c r="J665" s="10" t="s">
        <v>62</v>
      </c>
      <c r="K665" s="11">
        <v>440</v>
      </c>
      <c r="O665" t="str" cm="1">
        <f t="array" ref="O665">_xlfn.LET(
_xlpm.corp,$I665,_xlpm.key,$M$2:$M$200,_xlpm.name,$N$2:$N$200,_xlpm.hits,_xlfn._xlws.FILTER(_xlpm.name,ISNUMBER(SEARCH(_xlpm.key,_xlpm.corp))),
IFERROR(INDEX(_xlpm.hits,1),_xlpm.corp))</f>
        <v>富士機材</v>
      </c>
      <c r="P665" t="str">
        <f t="shared" si="46"/>
        <v>2026-01-07</v>
      </c>
      <c r="Q665" t="str">
        <f t="shared" si="39"/>
        <v>富士機材</v>
      </c>
      <c r="R665" t="str">
        <f t="shared" si="47"/>
        <v>ベビーリーフ ロログリーン</v>
      </c>
      <c r="S665">
        <f t="shared" si="48"/>
        <v>440</v>
      </c>
    </row>
    <row r="666" spans="1:19">
      <c r="A666" s="7">
        <v>71510</v>
      </c>
      <c r="B666" s="8" t="s">
        <v>23</v>
      </c>
      <c r="C666" s="9">
        <v>46029</v>
      </c>
      <c r="D666" s="10" t="s">
        <v>63</v>
      </c>
      <c r="E666" s="10" t="s">
        <v>62</v>
      </c>
      <c r="F666" s="11">
        <v>440</v>
      </c>
      <c r="G666" s="12" t="s">
        <v>24</v>
      </c>
      <c r="H666" s="15">
        <v>46029</v>
      </c>
      <c r="I666" s="16" t="s">
        <v>27</v>
      </c>
      <c r="J666" s="16" t="s">
        <v>2</v>
      </c>
      <c r="K666" s="17">
        <v>280</v>
      </c>
      <c r="O666" t="str" cm="1">
        <f t="array" ref="O666">_xlfn.LET(
_xlpm.corp,$I666,_xlpm.key,$M$2:$M$200,_xlpm.name,$N$2:$N$200,_xlpm.hits,_xlfn._xlws.FILTER(_xlpm.name,ISNUMBER(SEARCH(_xlpm.key,_xlpm.corp))),
IFERROR(INDEX(_xlpm.hits,1),_xlpm.corp))</f>
        <v>東レ</v>
      </c>
      <c r="P666" t="str">
        <f t="shared" si="46"/>
        <v>2026-01-07</v>
      </c>
      <c r="Q666" t="str">
        <f t="shared" si="39"/>
        <v>東レ</v>
      </c>
      <c r="R666" t="str">
        <f t="shared" si="47"/>
        <v>ベビーリーフ グリーンオーク</v>
      </c>
      <c r="S666">
        <f t="shared" si="48"/>
        <v>280</v>
      </c>
    </row>
    <row r="667" spans="1:19">
      <c r="A667" s="13">
        <v>71509</v>
      </c>
      <c r="B667" s="14" t="s">
        <v>23</v>
      </c>
      <c r="C667" s="15">
        <v>46029</v>
      </c>
      <c r="D667" s="16" t="s">
        <v>27</v>
      </c>
      <c r="E667" s="16" t="s">
        <v>2</v>
      </c>
      <c r="F667" s="17">
        <v>280</v>
      </c>
      <c r="G667" s="18" t="s">
        <v>24</v>
      </c>
      <c r="H667" s="9">
        <v>46029</v>
      </c>
      <c r="I667" s="10" t="s">
        <v>27</v>
      </c>
      <c r="J667" s="10" t="s">
        <v>11</v>
      </c>
      <c r="K667" s="11">
        <v>580</v>
      </c>
      <c r="O667" t="str" cm="1">
        <f t="array" ref="O667">_xlfn.LET(
_xlpm.corp,$I667,_xlpm.key,$M$2:$M$200,_xlpm.name,$N$2:$N$200,_xlpm.hits,_xlfn._xlws.FILTER(_xlpm.name,ISNUMBER(SEARCH(_xlpm.key,_xlpm.corp))),
IFERROR(INDEX(_xlpm.hits,1),_xlpm.corp))</f>
        <v>東レ</v>
      </c>
      <c r="P667" t="str">
        <f t="shared" si="46"/>
        <v>2026-01-07</v>
      </c>
      <c r="Q667" t="str">
        <f t="shared" si="39"/>
        <v>東レ</v>
      </c>
      <c r="R667" t="str">
        <f t="shared" si="47"/>
        <v>ベビーリーフ レッドオーク</v>
      </c>
      <c r="S667">
        <f t="shared" si="48"/>
        <v>580</v>
      </c>
    </row>
    <row r="668" spans="1:19">
      <c r="A668" s="7">
        <v>71508</v>
      </c>
      <c r="B668" s="8" t="s">
        <v>23</v>
      </c>
      <c r="C668" s="9">
        <v>46029</v>
      </c>
      <c r="D668" s="10" t="s">
        <v>27</v>
      </c>
      <c r="E668" s="10" t="s">
        <v>11</v>
      </c>
      <c r="F668" s="11">
        <v>580</v>
      </c>
      <c r="G668" s="12" t="s">
        <v>24</v>
      </c>
      <c r="H668" s="15">
        <v>46029</v>
      </c>
      <c r="I668" s="16" t="s">
        <v>27</v>
      </c>
      <c r="J668" s="16" t="s">
        <v>3</v>
      </c>
      <c r="K668" s="17">
        <v>120</v>
      </c>
      <c r="O668" t="str" cm="1">
        <f t="array" ref="O668">_xlfn.LET(
_xlpm.corp,$I668,_xlpm.key,$M$2:$M$200,_xlpm.name,$N$2:$N$200,_xlpm.hits,_xlfn._xlws.FILTER(_xlpm.name,ISNUMBER(SEARCH(_xlpm.key,_xlpm.corp))),
IFERROR(INDEX(_xlpm.hits,1),_xlpm.corp))</f>
        <v>東レ</v>
      </c>
      <c r="P668" t="str">
        <f t="shared" si="46"/>
        <v>2026-01-07</v>
      </c>
      <c r="Q668" t="str">
        <f t="shared" si="39"/>
        <v>東レ/加工BL</v>
      </c>
      <c r="R668" t="str">
        <f t="shared" si="47"/>
        <v>加工BL</v>
      </c>
      <c r="S668">
        <f t="shared" si="48"/>
        <v>120</v>
      </c>
    </row>
    <row r="669" spans="1:19">
      <c r="A669" s="13">
        <v>71507</v>
      </c>
      <c r="B669" s="14" t="s">
        <v>23</v>
      </c>
      <c r="C669" s="15">
        <v>46029</v>
      </c>
      <c r="D669" s="16" t="s">
        <v>27</v>
      </c>
      <c r="E669" s="16" t="s">
        <v>3</v>
      </c>
      <c r="F669" s="17">
        <v>120</v>
      </c>
      <c r="G669" s="18" t="s">
        <v>24</v>
      </c>
      <c r="H669" s="9">
        <v>46029</v>
      </c>
      <c r="I669" s="10" t="s">
        <v>65</v>
      </c>
      <c r="J669" s="10" t="s">
        <v>2</v>
      </c>
      <c r="K669" s="11">
        <v>820</v>
      </c>
      <c r="O669" t="str" cm="1">
        <f t="array" ref="O669">_xlfn.LET(
_xlpm.corp,$I669,_xlpm.key,$M$2:$M$200,_xlpm.name,$N$2:$N$200,_xlpm.hits,_xlfn._xlws.FILTER(_xlpm.name,ISNUMBER(SEARCH(_xlpm.key,_xlpm.corp))),
IFERROR(INDEX(_xlpm.hits,1),_xlpm.corp))</f>
        <v>マルテー</v>
      </c>
      <c r="P669" t="str">
        <f t="shared" si="46"/>
        <v>2026-01-07</v>
      </c>
      <c r="Q669" t="str">
        <f t="shared" si="39"/>
        <v>マルテー</v>
      </c>
      <c r="R669" t="str">
        <f t="shared" si="47"/>
        <v>ベビーリーフ グリーンオーク</v>
      </c>
      <c r="S669">
        <f t="shared" si="48"/>
        <v>820</v>
      </c>
    </row>
    <row r="670" spans="1:19">
      <c r="A670" s="7">
        <v>71506</v>
      </c>
      <c r="B670" s="8" t="s">
        <v>23</v>
      </c>
      <c r="C670" s="9">
        <v>46029</v>
      </c>
      <c r="D670" s="10" t="s">
        <v>65</v>
      </c>
      <c r="E670" s="10" t="s">
        <v>2</v>
      </c>
      <c r="F670" s="11">
        <v>820</v>
      </c>
      <c r="G670" s="12" t="s">
        <v>24</v>
      </c>
      <c r="H670" s="15">
        <v>46029</v>
      </c>
      <c r="I670" s="16" t="s">
        <v>72</v>
      </c>
      <c r="J670" s="16" t="s">
        <v>11</v>
      </c>
      <c r="K670" s="17">
        <v>480</v>
      </c>
      <c r="O670" t="str" cm="1">
        <f t="array" ref="O670">_xlfn.LET(
_xlpm.corp,$I670,_xlpm.key,$M$2:$M$200,_xlpm.name,$N$2:$N$200,_xlpm.hits,_xlfn._xlws.FILTER(_xlpm.name,ISNUMBER(SEARCH(_xlpm.key,_xlpm.corp))),
IFERROR(INDEX(_xlpm.hits,1),_xlpm.corp))</f>
        <v>岡部</v>
      </c>
      <c r="P670" t="str">
        <f t="shared" si="46"/>
        <v>2026-01-07</v>
      </c>
      <c r="Q670" t="str">
        <f t="shared" si="39"/>
        <v>岡部</v>
      </c>
      <c r="R670" t="str">
        <f t="shared" si="47"/>
        <v>ベビーリーフ レッドオーク</v>
      </c>
      <c r="S670">
        <f t="shared" si="48"/>
        <v>480</v>
      </c>
    </row>
    <row r="671" spans="1:19">
      <c r="A671" s="13">
        <v>71505</v>
      </c>
      <c r="B671" s="14" t="s">
        <v>23</v>
      </c>
      <c r="C671" s="15">
        <v>46029</v>
      </c>
      <c r="D671" s="16" t="s">
        <v>72</v>
      </c>
      <c r="E671" s="16" t="s">
        <v>11</v>
      </c>
      <c r="F671" s="17">
        <v>480</v>
      </c>
      <c r="G671" s="18" t="s">
        <v>24</v>
      </c>
      <c r="H671" s="9">
        <v>46029</v>
      </c>
      <c r="I671" s="10" t="s">
        <v>26</v>
      </c>
      <c r="J671" s="10" t="s">
        <v>3</v>
      </c>
      <c r="K671" s="11">
        <v>120</v>
      </c>
      <c r="O671" t="str" cm="1">
        <f t="array" ref="O671">_xlfn.LET(
_xlpm.corp,$I671,_xlpm.key,$M$2:$M$200,_xlpm.name,$N$2:$N$200,_xlpm.hits,_xlfn._xlws.FILTER(_xlpm.name,ISNUMBER(SEARCH(_xlpm.key,_xlpm.corp))),
IFERROR(INDEX(_xlpm.hits,1),_xlpm.corp))</f>
        <v>日建</v>
      </c>
      <c r="P671" t="str">
        <f t="shared" si="46"/>
        <v>2026-01-07</v>
      </c>
      <c r="Q671" t="str">
        <f t="shared" si="39"/>
        <v>日建/加工BL</v>
      </c>
      <c r="R671" t="str">
        <f t="shared" si="47"/>
        <v>加工BL</v>
      </c>
      <c r="S671">
        <f t="shared" si="48"/>
        <v>120</v>
      </c>
    </row>
    <row r="672" spans="1:19">
      <c r="A672" s="7">
        <v>71504</v>
      </c>
      <c r="B672" s="8" t="s">
        <v>23</v>
      </c>
      <c r="C672" s="9">
        <v>46029</v>
      </c>
      <c r="D672" s="10" t="s">
        <v>26</v>
      </c>
      <c r="E672" s="10" t="s">
        <v>3</v>
      </c>
      <c r="F672" s="11">
        <v>120</v>
      </c>
      <c r="G672" s="12" t="s">
        <v>24</v>
      </c>
      <c r="H672" s="15">
        <v>46029</v>
      </c>
      <c r="I672" s="16" t="s">
        <v>26</v>
      </c>
      <c r="J672" s="16" t="s">
        <v>2</v>
      </c>
      <c r="K672" s="17">
        <v>160</v>
      </c>
      <c r="O672" t="str" cm="1">
        <f t="array" ref="O672">_xlfn.LET(
_xlpm.corp,$I672,_xlpm.key,$M$2:$M$200,_xlpm.name,$N$2:$N$200,_xlpm.hits,_xlfn._xlws.FILTER(_xlpm.name,ISNUMBER(SEARCH(_xlpm.key,_xlpm.corp))),
IFERROR(INDEX(_xlpm.hits,1),_xlpm.corp))</f>
        <v>日建</v>
      </c>
      <c r="P672" t="str">
        <f t="shared" si="46"/>
        <v>2026-01-07</v>
      </c>
      <c r="Q672" t="str">
        <f t="shared" si="39"/>
        <v>日建</v>
      </c>
      <c r="R672" t="str">
        <f t="shared" si="47"/>
        <v>ベビーリーフ グリーンオーク</v>
      </c>
      <c r="S672">
        <f t="shared" si="48"/>
        <v>160</v>
      </c>
    </row>
    <row r="673" spans="1:19">
      <c r="A673" s="13">
        <v>71503</v>
      </c>
      <c r="B673" s="14" t="s">
        <v>23</v>
      </c>
      <c r="C673" s="15">
        <v>46029</v>
      </c>
      <c r="D673" s="16" t="s">
        <v>26</v>
      </c>
      <c r="E673" s="16" t="s">
        <v>2</v>
      </c>
      <c r="F673" s="17">
        <v>160</v>
      </c>
      <c r="G673" s="18" t="s">
        <v>24</v>
      </c>
      <c r="H673" s="9">
        <v>46029</v>
      </c>
      <c r="I673" s="10" t="s">
        <v>59</v>
      </c>
      <c r="J673" s="10" t="s">
        <v>8</v>
      </c>
      <c r="K673" s="11">
        <v>120</v>
      </c>
      <c r="O673" t="str" cm="1">
        <f t="array" ref="O673">_xlfn.LET(
_xlpm.corp,$I673,_xlpm.key,$M$2:$M$200,_xlpm.name,$N$2:$N$200,_xlpm.hits,_xlfn._xlws.FILTER(_xlpm.name,ISNUMBER(SEARCH(_xlpm.key,_xlpm.corp))),
IFERROR(INDEX(_xlpm.hits,1),_xlpm.corp))</f>
        <v>三和</v>
      </c>
      <c r="P673" t="str">
        <f t="shared" si="46"/>
        <v>2026-01-07</v>
      </c>
      <c r="Q673" t="str">
        <f t="shared" si="39"/>
        <v>三和/イチゴ</v>
      </c>
      <c r="R673" t="str">
        <f t="shared" si="47"/>
        <v>イチゴ</v>
      </c>
      <c r="S673">
        <f t="shared" si="48"/>
        <v>120</v>
      </c>
    </row>
    <row r="674" spans="1:19">
      <c r="A674" s="7">
        <v>71499</v>
      </c>
      <c r="B674" s="8" t="s">
        <v>23</v>
      </c>
      <c r="C674" s="9">
        <v>46029</v>
      </c>
      <c r="D674" s="10" t="s">
        <v>59</v>
      </c>
      <c r="E674" s="10" t="s">
        <v>8</v>
      </c>
      <c r="F674" s="11">
        <v>120</v>
      </c>
      <c r="G674" s="12" t="s">
        <v>24</v>
      </c>
      <c r="H674" s="15">
        <v>46029</v>
      </c>
      <c r="I674" s="16" t="s">
        <v>61</v>
      </c>
      <c r="J674" s="16" t="s">
        <v>8</v>
      </c>
      <c r="K674" s="17">
        <v>920</v>
      </c>
      <c r="O674" t="str" cm="1">
        <f t="array" ref="O674">_xlfn.LET(
_xlpm.corp,$I674,_xlpm.key,$M$2:$M$200,_xlpm.name,$N$2:$N$200,_xlpm.hits,_xlfn._xlws.FILTER(_xlpm.name,ISNUMBER(SEARCH(_xlpm.key,_xlpm.corp))),
IFERROR(INDEX(_xlpm.hits,1),_xlpm.corp))</f>
        <v>Adobe</v>
      </c>
      <c r="P674" t="str">
        <f t="shared" si="46"/>
        <v>2026-01-07</v>
      </c>
      <c r="Q674" t="str">
        <f t="shared" si="39"/>
        <v>Adobe/イチゴ</v>
      </c>
      <c r="R674" t="str">
        <f t="shared" si="47"/>
        <v>イチゴ</v>
      </c>
      <c r="S674">
        <f t="shared" si="48"/>
        <v>920</v>
      </c>
    </row>
    <row r="675" spans="1:19">
      <c r="A675" s="13">
        <v>71498</v>
      </c>
      <c r="B675" s="14" t="s">
        <v>23</v>
      </c>
      <c r="C675" s="15">
        <v>46029</v>
      </c>
      <c r="D675" s="16" t="s">
        <v>61</v>
      </c>
      <c r="E675" s="16" t="s">
        <v>8</v>
      </c>
      <c r="F675" s="17">
        <v>920</v>
      </c>
      <c r="G675" s="18" t="s">
        <v>24</v>
      </c>
      <c r="H675" s="9">
        <v>46029</v>
      </c>
      <c r="I675" s="10" t="s">
        <v>57</v>
      </c>
      <c r="J675" s="10" t="s">
        <v>8</v>
      </c>
      <c r="K675" s="11">
        <v>240</v>
      </c>
      <c r="O675" t="str" cm="1">
        <f t="array" ref="O675">_xlfn.LET(
_xlpm.corp,$I675,_xlpm.key,$M$2:$M$200,_xlpm.name,$N$2:$N$200,_xlpm.hits,_xlfn._xlws.FILTER(_xlpm.name,ISNUMBER(SEARCH(_xlpm.key,_xlpm.corp))),
IFERROR(INDEX(_xlpm.hits,1),_xlpm.corp))</f>
        <v>QB</v>
      </c>
      <c r="P675" t="str">
        <f t="shared" si="46"/>
        <v>2026-01-07</v>
      </c>
      <c r="Q675" t="str">
        <f t="shared" si="39"/>
        <v>QB/イチゴ</v>
      </c>
      <c r="R675" t="str">
        <f t="shared" si="47"/>
        <v>イチゴ</v>
      </c>
      <c r="S675">
        <f t="shared" si="48"/>
        <v>240</v>
      </c>
    </row>
    <row r="676" spans="1:19">
      <c r="A676" s="7">
        <v>71497</v>
      </c>
      <c r="B676" s="8" t="s">
        <v>23</v>
      </c>
      <c r="C676" s="9">
        <v>46029</v>
      </c>
      <c r="D676" s="10" t="s">
        <v>57</v>
      </c>
      <c r="E676" s="10" t="s">
        <v>8</v>
      </c>
      <c r="F676" s="11">
        <v>240</v>
      </c>
      <c r="G676" s="12" t="s">
        <v>24</v>
      </c>
      <c r="H676" s="15">
        <v>46029</v>
      </c>
      <c r="I676" s="16" t="s">
        <v>71</v>
      </c>
      <c r="J676" s="16" t="s">
        <v>8</v>
      </c>
      <c r="K676" s="17">
        <v>20</v>
      </c>
      <c r="O676" t="str" cm="1">
        <f t="array" ref="O676">_xlfn.LET(
_xlpm.corp,$I676,_xlpm.key,$M$2:$M$200,_xlpm.name,$N$2:$N$200,_xlpm.hits,_xlfn._xlws.FILTER(_xlpm.name,ISNUMBER(SEARCH(_xlpm.key,_xlpm.corp))),
IFERROR(INDEX(_xlpm.hits,1),_xlpm.corp))</f>
        <v>ソリトン</v>
      </c>
      <c r="P676" t="str">
        <f t="shared" si="46"/>
        <v>2026-01-07</v>
      </c>
      <c r="Q676" t="str">
        <f t="shared" si="39"/>
        <v>ソリトン/イチゴ</v>
      </c>
      <c r="R676" t="str">
        <f t="shared" si="47"/>
        <v>イチゴ</v>
      </c>
      <c r="S676">
        <f t="shared" si="48"/>
        <v>20</v>
      </c>
    </row>
    <row r="677" spans="1:19">
      <c r="A677" s="13">
        <v>71496</v>
      </c>
      <c r="B677" s="14" t="s">
        <v>23</v>
      </c>
      <c r="C677" s="15">
        <v>46029</v>
      </c>
      <c r="D677" s="16" t="s">
        <v>71</v>
      </c>
      <c r="E677" s="16" t="s">
        <v>8</v>
      </c>
      <c r="F677" s="17">
        <v>20</v>
      </c>
      <c r="G677" s="18" t="s">
        <v>24</v>
      </c>
      <c r="H677" s="9">
        <v>46029</v>
      </c>
      <c r="I677" s="10" t="s">
        <v>59</v>
      </c>
      <c r="J677" s="10" t="s">
        <v>8</v>
      </c>
      <c r="K677" s="11">
        <v>180</v>
      </c>
      <c r="O677" t="str" cm="1">
        <f t="array" ref="O677">_xlfn.LET(
_xlpm.corp,$I677,_xlpm.key,$M$2:$M$200,_xlpm.name,$N$2:$N$200,_xlpm.hits,_xlfn._xlws.FILTER(_xlpm.name,ISNUMBER(SEARCH(_xlpm.key,_xlpm.corp))),
IFERROR(INDEX(_xlpm.hits,1),_xlpm.corp))</f>
        <v>三和</v>
      </c>
      <c r="P677" t="str">
        <f t="shared" si="46"/>
        <v>2026-01-07</v>
      </c>
      <c r="Q677" t="str">
        <f t="shared" si="39"/>
        <v>三和/イチゴ</v>
      </c>
      <c r="R677" t="str">
        <f t="shared" si="47"/>
        <v>イチゴ</v>
      </c>
      <c r="S677">
        <f t="shared" si="48"/>
        <v>180</v>
      </c>
    </row>
    <row r="678" spans="1:19">
      <c r="A678" s="7">
        <v>71495</v>
      </c>
      <c r="B678" s="8" t="s">
        <v>23</v>
      </c>
      <c r="C678" s="9">
        <v>46029</v>
      </c>
      <c r="D678" s="10" t="s">
        <v>59</v>
      </c>
      <c r="E678" s="10" t="s">
        <v>8</v>
      </c>
      <c r="F678" s="11">
        <v>180</v>
      </c>
      <c r="G678" s="12" t="s">
        <v>24</v>
      </c>
      <c r="H678" s="15">
        <v>46028</v>
      </c>
      <c r="I678" s="16" t="s">
        <v>68</v>
      </c>
      <c r="J678" s="16" t="s">
        <v>2</v>
      </c>
      <c r="K678" s="17">
        <v>500</v>
      </c>
      <c r="O678" t="str" cm="1">
        <f t="array" ref="O678">_xlfn.LET(
_xlpm.corp,$I678,_xlpm.key,$M$2:$M$200,_xlpm.name,$N$2:$N$200,_xlpm.hits,_xlfn._xlws.FILTER(_xlpm.name,ISNUMBER(SEARCH(_xlpm.key,_xlpm.corp))),
IFERROR(INDEX(_xlpm.hits,1),_xlpm.corp))</f>
        <v>昭和女子</v>
      </c>
      <c r="P678" t="str">
        <f t="shared" si="46"/>
        <v>2026-01-06</v>
      </c>
      <c r="Q678" t="str">
        <f t="shared" si="39"/>
        <v>昭和女子</v>
      </c>
      <c r="R678" t="str">
        <f t="shared" si="47"/>
        <v>ベビーリーフ グリーンオーク</v>
      </c>
      <c r="S678">
        <f t="shared" si="48"/>
        <v>500</v>
      </c>
    </row>
    <row r="679" spans="1:19">
      <c r="A679" s="13">
        <v>71241</v>
      </c>
      <c r="B679" s="14" t="s">
        <v>23</v>
      </c>
      <c r="C679" s="15">
        <v>46028</v>
      </c>
      <c r="D679" s="16" t="s">
        <v>68</v>
      </c>
      <c r="E679" s="16" t="s">
        <v>2</v>
      </c>
      <c r="F679" s="17">
        <v>500</v>
      </c>
      <c r="G679" s="18" t="s">
        <v>24</v>
      </c>
      <c r="H679" s="9">
        <v>46028</v>
      </c>
      <c r="I679" s="10" t="s">
        <v>72</v>
      </c>
      <c r="J679" s="10" t="s">
        <v>11</v>
      </c>
      <c r="K679" s="11">
        <v>640</v>
      </c>
      <c r="O679" t="str" cm="1">
        <f t="array" ref="O679">_xlfn.LET(
_xlpm.corp,$I679,_xlpm.key,$M$2:$M$200,_xlpm.name,$N$2:$N$200,_xlpm.hits,_xlfn._xlws.FILTER(_xlpm.name,ISNUMBER(SEARCH(_xlpm.key,_xlpm.corp))),
IFERROR(INDEX(_xlpm.hits,1),_xlpm.corp))</f>
        <v>岡部</v>
      </c>
      <c r="P679" t="str">
        <f t="shared" si="46"/>
        <v>2026-01-06</v>
      </c>
      <c r="Q679" t="str">
        <f t="shared" si="39"/>
        <v>岡部</v>
      </c>
      <c r="R679" t="str">
        <f t="shared" si="47"/>
        <v>ベビーリーフ レッドオーク</v>
      </c>
      <c r="S679">
        <f t="shared" si="48"/>
        <v>640</v>
      </c>
    </row>
    <row r="680" spans="1:19">
      <c r="A680" s="7">
        <v>71240</v>
      </c>
      <c r="B680" s="8" t="s">
        <v>23</v>
      </c>
      <c r="C680" s="9">
        <v>46028</v>
      </c>
      <c r="D680" s="10" t="s">
        <v>72</v>
      </c>
      <c r="E680" s="10" t="s">
        <v>11</v>
      </c>
      <c r="F680" s="11">
        <v>640</v>
      </c>
      <c r="G680" s="12" t="s">
        <v>24</v>
      </c>
      <c r="H680" s="15">
        <v>46028</v>
      </c>
      <c r="I680" s="16" t="s">
        <v>27</v>
      </c>
      <c r="J680" s="16" t="s">
        <v>3</v>
      </c>
      <c r="K680" s="17">
        <v>20</v>
      </c>
      <c r="O680" t="str" cm="1">
        <f t="array" ref="O680">_xlfn.LET(
_xlpm.corp,$I680,_xlpm.key,$M$2:$M$200,_xlpm.name,$N$2:$N$200,_xlpm.hits,_xlfn._xlws.FILTER(_xlpm.name,ISNUMBER(SEARCH(_xlpm.key,_xlpm.corp))),
IFERROR(INDEX(_xlpm.hits,1),_xlpm.corp))</f>
        <v>東レ</v>
      </c>
      <c r="P680" t="str">
        <f t="shared" si="46"/>
        <v>2026-01-06</v>
      </c>
      <c r="Q680" t="str">
        <f t="shared" si="39"/>
        <v>東レ/加工BL</v>
      </c>
      <c r="R680" t="str">
        <f t="shared" si="47"/>
        <v>加工BL</v>
      </c>
      <c r="S680">
        <f t="shared" si="48"/>
        <v>20</v>
      </c>
    </row>
    <row r="681" spans="1:19">
      <c r="A681" s="13">
        <v>71239</v>
      </c>
      <c r="B681" s="14" t="s">
        <v>23</v>
      </c>
      <c r="C681" s="15">
        <v>46028</v>
      </c>
      <c r="D681" s="16" t="s">
        <v>27</v>
      </c>
      <c r="E681" s="16" t="s">
        <v>3</v>
      </c>
      <c r="F681" s="17">
        <v>20</v>
      </c>
      <c r="G681" s="18" t="s">
        <v>24</v>
      </c>
      <c r="H681" s="9">
        <v>46028</v>
      </c>
      <c r="I681" s="10" t="s">
        <v>27</v>
      </c>
      <c r="J681" s="10" t="s">
        <v>9</v>
      </c>
      <c r="K681" s="11">
        <v>300</v>
      </c>
      <c r="O681" t="str" cm="1">
        <f t="array" ref="O681">_xlfn.LET(
_xlpm.corp,$I681,_xlpm.key,$M$2:$M$200,_xlpm.name,$N$2:$N$200,_xlpm.hits,_xlfn._xlws.FILTER(_xlpm.name,ISNUMBER(SEARCH(_xlpm.key,_xlpm.corp))),
IFERROR(INDEX(_xlpm.hits,1),_xlpm.corp))</f>
        <v>東レ</v>
      </c>
      <c r="P681" t="str">
        <f t="shared" si="46"/>
        <v>2026-01-06</v>
      </c>
      <c r="Q681" t="str">
        <f t="shared" si="39"/>
        <v>東レ</v>
      </c>
      <c r="R681" t="str">
        <f t="shared" si="47"/>
        <v>ベビーリーフ ロロロッサ</v>
      </c>
      <c r="S681">
        <f t="shared" si="48"/>
        <v>300</v>
      </c>
    </row>
    <row r="682" spans="1:19">
      <c r="A682" s="7">
        <v>71238</v>
      </c>
      <c r="B682" s="8" t="s">
        <v>23</v>
      </c>
      <c r="C682" s="9">
        <v>46028</v>
      </c>
      <c r="D682" s="10" t="s">
        <v>27</v>
      </c>
      <c r="E682" s="10" t="s">
        <v>9</v>
      </c>
      <c r="F682" s="11">
        <v>300</v>
      </c>
      <c r="G682" s="12" t="s">
        <v>24</v>
      </c>
      <c r="H682" s="15">
        <v>46028</v>
      </c>
      <c r="I682" s="16" t="s">
        <v>66</v>
      </c>
      <c r="J682" s="16" t="s">
        <v>11</v>
      </c>
      <c r="K682" s="19">
        <v>3080</v>
      </c>
      <c r="O682" t="str" cm="1">
        <f t="array" ref="O682">_xlfn.LET(
_xlpm.corp,$I682,_xlpm.key,$M$2:$M$200,_xlpm.name,$N$2:$N$200,_xlpm.hits,_xlfn._xlws.FILTER(_xlpm.name,ISNUMBER(SEARCH(_xlpm.key,_xlpm.corp))),
IFERROR(INDEX(_xlpm.hits,1),_xlpm.corp))</f>
        <v>ケイアイ</v>
      </c>
      <c r="P682" t="str">
        <f t="shared" si="46"/>
        <v>2026-01-06</v>
      </c>
      <c r="Q682" t="str">
        <f t="shared" si="39"/>
        <v>ケイアイ</v>
      </c>
      <c r="R682" t="str">
        <f t="shared" si="47"/>
        <v>ベビーリーフ レッドオーク</v>
      </c>
      <c r="S682">
        <f t="shared" si="48"/>
        <v>3080</v>
      </c>
    </row>
    <row r="683" spans="1:19">
      <c r="A683" s="13">
        <v>71237</v>
      </c>
      <c r="B683" s="14" t="s">
        <v>23</v>
      </c>
      <c r="C683" s="15">
        <v>46028</v>
      </c>
      <c r="D683" s="16" t="s">
        <v>66</v>
      </c>
      <c r="E683" s="16" t="s">
        <v>11</v>
      </c>
      <c r="F683" s="19">
        <v>3080</v>
      </c>
      <c r="G683" s="18" t="s">
        <v>24</v>
      </c>
      <c r="H683" s="9">
        <v>46028</v>
      </c>
      <c r="I683" s="10" t="s">
        <v>67</v>
      </c>
      <c r="J683" s="10" t="s">
        <v>4</v>
      </c>
      <c r="K683" s="11">
        <v>120</v>
      </c>
      <c r="O683" t="str" cm="1">
        <f t="array" ref="O683">_xlfn.LET(
_xlpm.corp,$I683,_xlpm.key,$M$2:$M$200,_xlpm.name,$N$2:$N$200,_xlpm.hits,_xlfn._xlws.FILTER(_xlpm.name,ISNUMBER(SEARCH(_xlpm.key,_xlpm.corp))),
IFERROR(INDEX(_xlpm.hits,1),_xlpm.corp))</f>
        <v>日本ロレアル</v>
      </c>
      <c r="P683" t="str">
        <f t="shared" si="46"/>
        <v>2026-01-06</v>
      </c>
      <c r="Q683" t="str">
        <f t="shared" si="39"/>
        <v>日本ロレアル</v>
      </c>
      <c r="R683" t="str">
        <f t="shared" si="47"/>
        <v>ベビーリーフ ピノグリーン</v>
      </c>
      <c r="S683">
        <f t="shared" si="48"/>
        <v>120</v>
      </c>
    </row>
    <row r="684" spans="1:19">
      <c r="A684" s="7">
        <v>71236</v>
      </c>
      <c r="B684" s="8" t="s">
        <v>23</v>
      </c>
      <c r="C684" s="9">
        <v>46028</v>
      </c>
      <c r="D684" s="10" t="s">
        <v>67</v>
      </c>
      <c r="E684" s="10" t="s">
        <v>4</v>
      </c>
      <c r="F684" s="11">
        <v>120</v>
      </c>
      <c r="G684" s="12" t="s">
        <v>24</v>
      </c>
      <c r="H684" s="15">
        <v>46028</v>
      </c>
      <c r="I684" s="16" t="s">
        <v>26</v>
      </c>
      <c r="J684" s="16" t="s">
        <v>3</v>
      </c>
      <c r="K684" s="17">
        <v>140</v>
      </c>
      <c r="O684" t="str" cm="1">
        <f t="array" ref="O684">_xlfn.LET(
_xlpm.corp,$I684,_xlpm.key,$M$2:$M$200,_xlpm.name,$N$2:$N$200,_xlpm.hits,_xlfn._xlws.FILTER(_xlpm.name,ISNUMBER(SEARCH(_xlpm.key,_xlpm.corp))),
IFERROR(INDEX(_xlpm.hits,1),_xlpm.corp))</f>
        <v>日建</v>
      </c>
      <c r="P684" t="str">
        <f t="shared" si="46"/>
        <v>2026-01-06</v>
      </c>
      <c r="Q684" t="str">
        <f t="shared" si="39"/>
        <v>日建/加工BL</v>
      </c>
      <c r="R684" t="str">
        <f t="shared" si="47"/>
        <v>加工BL</v>
      </c>
      <c r="S684">
        <f t="shared" si="48"/>
        <v>140</v>
      </c>
    </row>
    <row r="685" spans="1:19">
      <c r="A685" s="13">
        <v>71235</v>
      </c>
      <c r="B685" s="14" t="s">
        <v>23</v>
      </c>
      <c r="C685" s="15">
        <v>46028</v>
      </c>
      <c r="D685" s="16" t="s">
        <v>26</v>
      </c>
      <c r="E685" s="16" t="s">
        <v>3</v>
      </c>
      <c r="F685" s="17">
        <v>140</v>
      </c>
      <c r="G685" s="18" t="s">
        <v>24</v>
      </c>
      <c r="H685" s="9">
        <v>46028</v>
      </c>
      <c r="I685" s="10" t="s">
        <v>69</v>
      </c>
      <c r="J685" s="10" t="s">
        <v>12</v>
      </c>
      <c r="K685" s="20">
        <v>1860</v>
      </c>
      <c r="O685" t="str" cm="1">
        <f t="array" ref="O685">_xlfn.LET(
_xlpm.corp,$I685,_xlpm.key,$M$2:$M$200,_xlpm.name,$N$2:$N$200,_xlpm.hits,_xlfn._xlws.FILTER(_xlpm.name,ISNUMBER(SEARCH(_xlpm.key,_xlpm.corp))),
IFERROR(INDEX(_xlpm.hits,1),_xlpm.corp))</f>
        <v>バリュエンス</v>
      </c>
      <c r="P685" t="str">
        <f t="shared" si="46"/>
        <v>2026-01-06</v>
      </c>
      <c r="Q685" t="str">
        <f t="shared" si="39"/>
        <v>バリュエンス/葉物野菜</v>
      </c>
      <c r="R685" t="str">
        <f t="shared" si="47"/>
        <v>ブロッコリースプラウト</v>
      </c>
      <c r="S685">
        <f t="shared" si="48"/>
        <v>1860</v>
      </c>
    </row>
    <row r="686" spans="1:19">
      <c r="A686" s="7">
        <v>71234</v>
      </c>
      <c r="B686" s="8" t="s">
        <v>23</v>
      </c>
      <c r="C686" s="9">
        <v>46028</v>
      </c>
      <c r="D686" s="10" t="s">
        <v>69</v>
      </c>
      <c r="E686" s="10" t="s">
        <v>12</v>
      </c>
      <c r="F686" s="20">
        <v>1860</v>
      </c>
      <c r="G686" s="12" t="s">
        <v>24</v>
      </c>
      <c r="H686" s="15">
        <v>46028</v>
      </c>
      <c r="I686" s="16" t="s">
        <v>57</v>
      </c>
      <c r="J686" s="16" t="s">
        <v>3</v>
      </c>
      <c r="K686" s="17">
        <v>160</v>
      </c>
      <c r="O686" t="str" cm="1">
        <f t="array" ref="O686">_xlfn.LET(
_xlpm.corp,$I686,_xlpm.key,$M$2:$M$200,_xlpm.name,$N$2:$N$200,_xlpm.hits,_xlfn._xlws.FILTER(_xlpm.name,ISNUMBER(SEARCH(_xlpm.key,_xlpm.corp))),
IFERROR(INDEX(_xlpm.hits,1),_xlpm.corp))</f>
        <v>QB</v>
      </c>
      <c r="P686" t="str">
        <f t="shared" si="46"/>
        <v>2026-01-06</v>
      </c>
      <c r="Q686" t="str">
        <f t="shared" si="39"/>
        <v>QB/加工BL</v>
      </c>
      <c r="R686" t="str">
        <f t="shared" si="47"/>
        <v>加工BL</v>
      </c>
      <c r="S686">
        <f t="shared" si="48"/>
        <v>160</v>
      </c>
    </row>
    <row r="687" spans="1:19">
      <c r="A687" s="13">
        <v>71233</v>
      </c>
      <c r="B687" s="14" t="s">
        <v>23</v>
      </c>
      <c r="C687" s="15">
        <v>46028</v>
      </c>
      <c r="D687" s="16" t="s">
        <v>57</v>
      </c>
      <c r="E687" s="16" t="s">
        <v>3</v>
      </c>
      <c r="F687" s="17">
        <v>160</v>
      </c>
      <c r="G687" s="18" t="s">
        <v>24</v>
      </c>
      <c r="H687" s="9">
        <v>46028</v>
      </c>
      <c r="I687" s="10" t="s">
        <v>72</v>
      </c>
      <c r="J687" s="10" t="s">
        <v>11</v>
      </c>
      <c r="K687" s="11">
        <v>900</v>
      </c>
      <c r="O687" t="str" cm="1">
        <f t="array" ref="O687">_xlfn.LET(
_xlpm.corp,$I687,_xlpm.key,$M$2:$M$200,_xlpm.name,$N$2:$N$200,_xlpm.hits,_xlfn._xlws.FILTER(_xlpm.name,ISNUMBER(SEARCH(_xlpm.key,_xlpm.corp))),
IFERROR(INDEX(_xlpm.hits,1),_xlpm.corp))</f>
        <v>岡部</v>
      </c>
      <c r="P687" t="str">
        <f t="shared" si="46"/>
        <v>2026-01-06</v>
      </c>
      <c r="Q687" t="str">
        <f t="shared" si="39"/>
        <v>岡部</v>
      </c>
      <c r="R687" t="str">
        <f t="shared" si="47"/>
        <v>ベビーリーフ レッドオーク</v>
      </c>
      <c r="S687">
        <f t="shared" si="48"/>
        <v>900</v>
      </c>
    </row>
    <row r="688" spans="1:19">
      <c r="A688" s="7">
        <v>71232</v>
      </c>
      <c r="B688" s="8" t="s">
        <v>23</v>
      </c>
      <c r="C688" s="9">
        <v>46028</v>
      </c>
      <c r="D688" s="10" t="s">
        <v>72</v>
      </c>
      <c r="E688" s="10" t="s">
        <v>11</v>
      </c>
      <c r="F688" s="11">
        <v>900</v>
      </c>
      <c r="G688" s="12" t="s">
        <v>24</v>
      </c>
      <c r="H688" s="15">
        <v>46028</v>
      </c>
      <c r="I688" s="16" t="s">
        <v>26</v>
      </c>
      <c r="J688" s="16" t="s">
        <v>3</v>
      </c>
      <c r="K688" s="17">
        <v>260</v>
      </c>
      <c r="O688" t="str" cm="1">
        <f t="array" ref="O688">_xlfn.LET(
_xlpm.corp,$I688,_xlpm.key,$M$2:$M$200,_xlpm.name,$N$2:$N$200,_xlpm.hits,_xlfn._xlws.FILTER(_xlpm.name,ISNUMBER(SEARCH(_xlpm.key,_xlpm.corp))),
IFERROR(INDEX(_xlpm.hits,1),_xlpm.corp))</f>
        <v>日建</v>
      </c>
      <c r="P688" t="str">
        <f t="shared" si="46"/>
        <v>2026-01-06</v>
      </c>
      <c r="Q688" t="str">
        <f t="shared" si="39"/>
        <v>日建/加工BL</v>
      </c>
      <c r="R688" t="str">
        <f t="shared" si="47"/>
        <v>加工BL</v>
      </c>
      <c r="S688">
        <f t="shared" si="48"/>
        <v>260</v>
      </c>
    </row>
    <row r="689" spans="1:19">
      <c r="A689" s="13">
        <v>71231</v>
      </c>
      <c r="B689" s="14" t="s">
        <v>23</v>
      </c>
      <c r="C689" s="15">
        <v>46028</v>
      </c>
      <c r="D689" s="16" t="s">
        <v>26</v>
      </c>
      <c r="E689" s="16" t="s">
        <v>3</v>
      </c>
      <c r="F689" s="17">
        <v>260</v>
      </c>
      <c r="G689" s="18" t="s">
        <v>24</v>
      </c>
      <c r="H689" s="9">
        <v>46028</v>
      </c>
      <c r="I689" s="10" t="s">
        <v>26</v>
      </c>
      <c r="J689" s="10" t="s">
        <v>3</v>
      </c>
      <c r="K689" s="11">
        <v>100</v>
      </c>
      <c r="O689" t="str" cm="1">
        <f t="array" ref="O689">_xlfn.LET(
_xlpm.corp,$I689,_xlpm.key,$M$2:$M$200,_xlpm.name,$N$2:$N$200,_xlpm.hits,_xlfn._xlws.FILTER(_xlpm.name,ISNUMBER(SEARCH(_xlpm.key,_xlpm.corp))),
IFERROR(INDEX(_xlpm.hits,1),_xlpm.corp))</f>
        <v>日建</v>
      </c>
      <c r="P689" t="str">
        <f t="shared" si="46"/>
        <v>2026-01-06</v>
      </c>
      <c r="Q689" t="str">
        <f t="shared" si="39"/>
        <v>日建/加工BL</v>
      </c>
      <c r="R689" t="str">
        <f t="shared" si="47"/>
        <v>加工BL</v>
      </c>
      <c r="S689">
        <f t="shared" si="48"/>
        <v>100</v>
      </c>
    </row>
    <row r="690" spans="1:19">
      <c r="A690" s="7">
        <v>71230</v>
      </c>
      <c r="B690" s="8" t="s">
        <v>23</v>
      </c>
      <c r="C690" s="9">
        <v>46028</v>
      </c>
      <c r="D690" s="10" t="s">
        <v>26</v>
      </c>
      <c r="E690" s="10" t="s">
        <v>3</v>
      </c>
      <c r="F690" s="11">
        <v>100</v>
      </c>
      <c r="G690" s="12" t="s">
        <v>24</v>
      </c>
      <c r="H690" s="15">
        <v>46028</v>
      </c>
      <c r="I690" s="16" t="s">
        <v>26</v>
      </c>
      <c r="J690" s="16" t="s">
        <v>4</v>
      </c>
      <c r="K690" s="17">
        <v>120</v>
      </c>
      <c r="O690" t="str" cm="1">
        <f t="array" ref="O690">_xlfn.LET(
_xlpm.corp,$I690,_xlpm.key,$M$2:$M$200,_xlpm.name,$N$2:$N$200,_xlpm.hits,_xlfn._xlws.FILTER(_xlpm.name,ISNUMBER(SEARCH(_xlpm.key,_xlpm.corp))),
IFERROR(INDEX(_xlpm.hits,1),_xlpm.corp))</f>
        <v>日建</v>
      </c>
      <c r="P690" t="str">
        <f t="shared" si="46"/>
        <v>2026-01-06</v>
      </c>
      <c r="Q690" t="str">
        <f t="shared" si="39"/>
        <v>日建</v>
      </c>
      <c r="R690" t="str">
        <f t="shared" si="47"/>
        <v>ベビーリーフ ピノグリーン</v>
      </c>
      <c r="S690">
        <f t="shared" si="48"/>
        <v>120</v>
      </c>
    </row>
    <row r="691" spans="1:19">
      <c r="A691" s="13">
        <v>71229</v>
      </c>
      <c r="B691" s="14" t="s">
        <v>23</v>
      </c>
      <c r="C691" s="15">
        <v>46028</v>
      </c>
      <c r="D691" s="16" t="s">
        <v>26</v>
      </c>
      <c r="E691" s="16" t="s">
        <v>4</v>
      </c>
      <c r="F691" s="17">
        <v>120</v>
      </c>
      <c r="G691" s="18" t="s">
        <v>24</v>
      </c>
      <c r="H691" s="9">
        <v>46028</v>
      </c>
      <c r="I691" s="10" t="s">
        <v>70</v>
      </c>
      <c r="J691" s="10" t="s">
        <v>9</v>
      </c>
      <c r="K691" s="11">
        <v>920</v>
      </c>
      <c r="O691" t="str" cm="1">
        <f t="array" ref="O691">_xlfn.LET(
_xlpm.corp,$I691,_xlpm.key,$M$2:$M$200,_xlpm.name,$N$2:$N$200,_xlpm.hits,_xlfn._xlws.FILTER(_xlpm.name,ISNUMBER(SEARCH(_xlpm.key,_xlpm.corp))),
IFERROR(INDEX(_xlpm.hits,1),_xlpm.corp))</f>
        <v>富士機械</v>
      </c>
      <c r="P691" t="str">
        <f t="shared" si="46"/>
        <v>2026-01-06</v>
      </c>
      <c r="Q691" t="str">
        <f t="shared" si="39"/>
        <v>富士機械</v>
      </c>
      <c r="R691" t="str">
        <f t="shared" si="47"/>
        <v>ベビーリーフ ロロロッサ</v>
      </c>
      <c r="S691">
        <f t="shared" si="48"/>
        <v>920</v>
      </c>
    </row>
    <row r="692" spans="1:19">
      <c r="A692" s="7">
        <v>71228</v>
      </c>
      <c r="B692" s="8" t="s">
        <v>23</v>
      </c>
      <c r="C692" s="9">
        <v>46028</v>
      </c>
      <c r="D692" s="10" t="s">
        <v>70</v>
      </c>
      <c r="E692" s="10" t="s">
        <v>9</v>
      </c>
      <c r="F692" s="11">
        <v>920</v>
      </c>
      <c r="G692" s="12" t="s">
        <v>24</v>
      </c>
      <c r="H692" s="15">
        <v>46028</v>
      </c>
      <c r="I692" s="16" t="s">
        <v>25</v>
      </c>
      <c r="J692" s="16" t="s">
        <v>2</v>
      </c>
      <c r="K692" s="17">
        <v>460</v>
      </c>
      <c r="O692" t="str" cm="1">
        <f t="array" ref="O692">_xlfn.LET(
_xlpm.corp,$I692,_xlpm.key,$M$2:$M$200,_xlpm.name,$N$2:$N$200,_xlpm.hits,_xlfn._xlws.FILTER(_xlpm.name,ISNUMBER(SEARCH(_xlpm.key,_xlpm.corp))),
IFERROR(INDEX(_xlpm.hits,1),_xlpm.corp))</f>
        <v>日本ファブテック</v>
      </c>
      <c r="P692" t="str">
        <f t="shared" si="46"/>
        <v>2026-01-06</v>
      </c>
      <c r="Q692" t="str">
        <f t="shared" si="39"/>
        <v>日本ファブテック</v>
      </c>
      <c r="R692" t="str">
        <f t="shared" si="47"/>
        <v>ベビーリーフ グリーンオーク</v>
      </c>
      <c r="S692">
        <f t="shared" si="48"/>
        <v>460</v>
      </c>
    </row>
    <row r="693" spans="1:19">
      <c r="A693" s="13">
        <v>71227</v>
      </c>
      <c r="B693" s="14" t="s">
        <v>23</v>
      </c>
      <c r="C693" s="15">
        <v>46028</v>
      </c>
      <c r="D693" s="16" t="s">
        <v>25</v>
      </c>
      <c r="E693" s="16" t="s">
        <v>2</v>
      </c>
      <c r="F693" s="17">
        <v>460</v>
      </c>
      <c r="G693" s="18" t="s">
        <v>24</v>
      </c>
      <c r="H693" s="9">
        <v>46028</v>
      </c>
      <c r="I693" s="10" t="s">
        <v>67</v>
      </c>
      <c r="J693" s="10" t="s">
        <v>2</v>
      </c>
      <c r="K693" s="11">
        <v>340</v>
      </c>
      <c r="O693" t="str" cm="1">
        <f t="array" ref="O693">_xlfn.LET(
_xlpm.corp,$I693,_xlpm.key,$M$2:$M$200,_xlpm.name,$N$2:$N$200,_xlpm.hits,_xlfn._xlws.FILTER(_xlpm.name,ISNUMBER(SEARCH(_xlpm.key,_xlpm.corp))),
IFERROR(INDEX(_xlpm.hits,1),_xlpm.corp))</f>
        <v>日本ロレアル</v>
      </c>
      <c r="P693" t="str">
        <f t="shared" si="46"/>
        <v>2026-01-06</v>
      </c>
      <c r="Q693" t="str">
        <f t="shared" si="39"/>
        <v>日本ロレアル</v>
      </c>
      <c r="R693" t="str">
        <f t="shared" si="47"/>
        <v>ベビーリーフ グリーンオーク</v>
      </c>
      <c r="S693">
        <f t="shared" si="48"/>
        <v>340</v>
      </c>
    </row>
    <row r="694" spans="1:19">
      <c r="A694" s="7">
        <v>71226</v>
      </c>
      <c r="B694" s="8" t="s">
        <v>23</v>
      </c>
      <c r="C694" s="9">
        <v>46028</v>
      </c>
      <c r="D694" s="10" t="s">
        <v>67</v>
      </c>
      <c r="E694" s="10" t="s">
        <v>2</v>
      </c>
      <c r="F694" s="11">
        <v>340</v>
      </c>
      <c r="G694" s="12" t="s">
        <v>24</v>
      </c>
      <c r="H694" s="15">
        <v>46028</v>
      </c>
      <c r="I694" s="16" t="s">
        <v>69</v>
      </c>
      <c r="J694" s="16" t="s">
        <v>2</v>
      </c>
      <c r="K694" s="17">
        <v>240</v>
      </c>
      <c r="O694" t="str" cm="1">
        <f t="array" ref="O694">_xlfn.LET(
_xlpm.corp,$I694,_xlpm.key,$M$2:$M$200,_xlpm.name,$N$2:$N$200,_xlpm.hits,_xlfn._xlws.FILTER(_xlpm.name,ISNUMBER(SEARCH(_xlpm.key,_xlpm.corp))),
IFERROR(INDEX(_xlpm.hits,1),_xlpm.corp))</f>
        <v>バリュエンス</v>
      </c>
      <c r="P694" t="str">
        <f t="shared" si="46"/>
        <v>2026-01-06</v>
      </c>
      <c r="Q694" t="str">
        <f t="shared" si="39"/>
        <v>バリュエンス</v>
      </c>
      <c r="R694" t="str">
        <f t="shared" si="47"/>
        <v>ベビーリーフ グリーンオーク</v>
      </c>
      <c r="S694">
        <f t="shared" si="48"/>
        <v>240</v>
      </c>
    </row>
    <row r="695" spans="1:19">
      <c r="A695" s="13">
        <v>71225</v>
      </c>
      <c r="B695" s="14" t="s">
        <v>23</v>
      </c>
      <c r="C695" s="15">
        <v>46028</v>
      </c>
      <c r="D695" s="16" t="s">
        <v>69</v>
      </c>
      <c r="E695" s="16" t="s">
        <v>2</v>
      </c>
      <c r="F695" s="17">
        <v>240</v>
      </c>
      <c r="G695" s="18" t="s">
        <v>24</v>
      </c>
      <c r="H695" s="9">
        <v>46028</v>
      </c>
      <c r="I695" s="10" t="s">
        <v>68</v>
      </c>
      <c r="J695" s="10" t="s">
        <v>4</v>
      </c>
      <c r="K695" s="11">
        <v>40</v>
      </c>
      <c r="O695" t="str" cm="1">
        <f t="array" ref="O695">_xlfn.LET(
_xlpm.corp,$I695,_xlpm.key,$M$2:$M$200,_xlpm.name,$N$2:$N$200,_xlpm.hits,_xlfn._xlws.FILTER(_xlpm.name,ISNUMBER(SEARCH(_xlpm.key,_xlpm.corp))),
IFERROR(INDEX(_xlpm.hits,1),_xlpm.corp))</f>
        <v>昭和女子</v>
      </c>
      <c r="P695" t="str">
        <f t="shared" si="46"/>
        <v>2026-01-06</v>
      </c>
      <c r="Q695" t="str">
        <f t="shared" si="39"/>
        <v>昭和女子</v>
      </c>
      <c r="R695" t="str">
        <f t="shared" si="47"/>
        <v>ベビーリーフ ピノグリーン</v>
      </c>
      <c r="S695">
        <f t="shared" si="48"/>
        <v>40</v>
      </c>
    </row>
    <row r="696" spans="1:19">
      <c r="A696" s="7">
        <v>71224</v>
      </c>
      <c r="B696" s="8" t="s">
        <v>23</v>
      </c>
      <c r="C696" s="9">
        <v>46028</v>
      </c>
      <c r="D696" s="10" t="s">
        <v>68</v>
      </c>
      <c r="E696" s="10" t="s">
        <v>4</v>
      </c>
      <c r="F696" s="11">
        <v>40</v>
      </c>
      <c r="G696" s="12" t="s">
        <v>24</v>
      </c>
      <c r="H696" s="15">
        <v>46028</v>
      </c>
      <c r="I696" s="16" t="s">
        <v>60</v>
      </c>
      <c r="J696" s="16" t="s">
        <v>4</v>
      </c>
      <c r="K696" s="17">
        <v>300</v>
      </c>
      <c r="O696" t="str" cm="1">
        <f t="array" ref="O696">_xlfn.LET(
_xlpm.corp,$I696,_xlpm.key,$M$2:$M$200,_xlpm.name,$N$2:$N$200,_xlpm.hits,_xlfn._xlws.FILTER(_xlpm.name,ISNUMBER(SEARCH(_xlpm.key,_xlpm.corp))),
IFERROR(INDEX(_xlpm.hits,1),_xlpm.corp))</f>
        <v>サンテレホン</v>
      </c>
      <c r="P696" t="str">
        <f t="shared" si="46"/>
        <v>2026-01-06</v>
      </c>
      <c r="Q696" t="str">
        <f t="shared" si="39"/>
        <v>サンテレホン</v>
      </c>
      <c r="R696" t="str">
        <f t="shared" si="47"/>
        <v>ベビーリーフ ピノグリーン</v>
      </c>
      <c r="S696">
        <f t="shared" si="48"/>
        <v>300</v>
      </c>
    </row>
    <row r="697" spans="1:19">
      <c r="A697" s="13">
        <v>71223</v>
      </c>
      <c r="B697" s="14" t="s">
        <v>23</v>
      </c>
      <c r="C697" s="15">
        <v>46028</v>
      </c>
      <c r="D697" s="16" t="s">
        <v>60</v>
      </c>
      <c r="E697" s="16" t="s">
        <v>4</v>
      </c>
      <c r="F697" s="17">
        <v>300</v>
      </c>
      <c r="G697" s="18" t="s">
        <v>24</v>
      </c>
      <c r="H697" s="9">
        <v>46028</v>
      </c>
      <c r="I697" s="10" t="s">
        <v>60</v>
      </c>
      <c r="J697" s="10" t="s">
        <v>3</v>
      </c>
      <c r="K697" s="11">
        <v>80</v>
      </c>
      <c r="O697" t="str" cm="1">
        <f t="array" ref="O697">_xlfn.LET(
_xlpm.corp,$I697,_xlpm.key,$M$2:$M$200,_xlpm.name,$N$2:$N$200,_xlpm.hits,_xlfn._xlws.FILTER(_xlpm.name,ISNUMBER(SEARCH(_xlpm.key,_xlpm.corp))),
IFERROR(INDEX(_xlpm.hits,1),_xlpm.corp))</f>
        <v>サンテレホン</v>
      </c>
      <c r="P697" t="str">
        <f t="shared" si="46"/>
        <v>2026-01-06</v>
      </c>
      <c r="Q697" t="str">
        <f t="shared" si="39"/>
        <v>サンテレホン/加工BL</v>
      </c>
      <c r="R697" t="str">
        <f t="shared" si="47"/>
        <v>加工BL</v>
      </c>
      <c r="S697">
        <f t="shared" si="48"/>
        <v>80</v>
      </c>
    </row>
    <row r="698" spans="1:19">
      <c r="A698" s="7">
        <v>71222</v>
      </c>
      <c r="B698" s="8" t="s">
        <v>23</v>
      </c>
      <c r="C698" s="9">
        <v>46028</v>
      </c>
      <c r="D698" s="10" t="s">
        <v>60</v>
      </c>
      <c r="E698" s="10" t="s">
        <v>3</v>
      </c>
      <c r="F698" s="11">
        <v>80</v>
      </c>
      <c r="G698" s="12" t="s">
        <v>24</v>
      </c>
      <c r="H698" s="15">
        <v>46028</v>
      </c>
      <c r="I698" s="16" t="s">
        <v>68</v>
      </c>
      <c r="J698" s="16" t="s">
        <v>2</v>
      </c>
      <c r="K698" s="17">
        <v>380</v>
      </c>
      <c r="O698" t="str" cm="1">
        <f t="array" ref="O698">_xlfn.LET(
_xlpm.corp,$I698,_xlpm.key,$M$2:$M$200,_xlpm.name,$N$2:$N$200,_xlpm.hits,_xlfn._xlws.FILTER(_xlpm.name,ISNUMBER(SEARCH(_xlpm.key,_xlpm.corp))),
IFERROR(INDEX(_xlpm.hits,1),_xlpm.corp))</f>
        <v>昭和女子</v>
      </c>
      <c r="P698" t="str">
        <f t="shared" si="46"/>
        <v>2026-01-06</v>
      </c>
      <c r="Q698" t="str">
        <f t="shared" si="39"/>
        <v>昭和女子</v>
      </c>
      <c r="R698" t="str">
        <f t="shared" si="47"/>
        <v>ベビーリーフ グリーンオーク</v>
      </c>
      <c r="S698">
        <f t="shared" si="48"/>
        <v>380</v>
      </c>
    </row>
    <row r="699" spans="1:19">
      <c r="A699" s="13">
        <v>71221</v>
      </c>
      <c r="B699" s="14" t="s">
        <v>23</v>
      </c>
      <c r="C699" s="15">
        <v>46028</v>
      </c>
      <c r="D699" s="16" t="s">
        <v>68</v>
      </c>
      <c r="E699" s="16" t="s">
        <v>2</v>
      </c>
      <c r="F699" s="17">
        <v>380</v>
      </c>
      <c r="G699" s="18" t="s">
        <v>24</v>
      </c>
      <c r="H699" s="9">
        <v>46028</v>
      </c>
      <c r="I699" s="10" t="s">
        <v>68</v>
      </c>
      <c r="J699" s="10" t="s">
        <v>2</v>
      </c>
      <c r="K699" s="11">
        <v>400</v>
      </c>
      <c r="O699" t="str" cm="1">
        <f t="array" ref="O699">_xlfn.LET(
_xlpm.corp,$I699,_xlpm.key,$M$2:$M$200,_xlpm.name,$N$2:$N$200,_xlpm.hits,_xlfn._xlws.FILTER(_xlpm.name,ISNUMBER(SEARCH(_xlpm.key,_xlpm.corp))),
IFERROR(INDEX(_xlpm.hits,1),_xlpm.corp))</f>
        <v>昭和女子</v>
      </c>
      <c r="P699" t="str">
        <f t="shared" si="46"/>
        <v>2026-01-06</v>
      </c>
      <c r="Q699" t="str">
        <f t="shared" si="39"/>
        <v>昭和女子</v>
      </c>
      <c r="R699" t="str">
        <f t="shared" si="47"/>
        <v>ベビーリーフ グリーンオーク</v>
      </c>
      <c r="S699">
        <f t="shared" si="48"/>
        <v>400</v>
      </c>
    </row>
    <row r="700" spans="1:19">
      <c r="A700" s="7">
        <v>71220</v>
      </c>
      <c r="B700" s="8" t="s">
        <v>23</v>
      </c>
      <c r="C700" s="9">
        <v>46028</v>
      </c>
      <c r="D700" s="10" t="s">
        <v>68</v>
      </c>
      <c r="E700" s="10" t="s">
        <v>2</v>
      </c>
      <c r="F700" s="11">
        <v>400</v>
      </c>
      <c r="G700" s="12" t="s">
        <v>24</v>
      </c>
      <c r="H700" s="15">
        <v>46028</v>
      </c>
      <c r="I700" s="16" t="s">
        <v>25</v>
      </c>
      <c r="J700" s="16" t="s">
        <v>2</v>
      </c>
      <c r="K700" s="17">
        <v>160</v>
      </c>
      <c r="O700" t="str" cm="1">
        <f t="array" ref="O700">_xlfn.LET(
_xlpm.corp,$I700,_xlpm.key,$M$2:$M$200,_xlpm.name,$N$2:$N$200,_xlpm.hits,_xlfn._xlws.FILTER(_xlpm.name,ISNUMBER(SEARCH(_xlpm.key,_xlpm.corp))),
IFERROR(INDEX(_xlpm.hits,1),_xlpm.corp))</f>
        <v>日本ファブテック</v>
      </c>
      <c r="P700" t="str">
        <f t="shared" si="46"/>
        <v>2026-01-06</v>
      </c>
      <c r="Q700" t="str">
        <f t="shared" si="39"/>
        <v>日本ファブテック</v>
      </c>
      <c r="R700" t="str">
        <f t="shared" si="47"/>
        <v>ベビーリーフ グリーンオーク</v>
      </c>
      <c r="S700">
        <f t="shared" si="48"/>
        <v>160</v>
      </c>
    </row>
    <row r="701" spans="1:19">
      <c r="A701" s="13">
        <v>71045</v>
      </c>
      <c r="B701" s="14" t="s">
        <v>23</v>
      </c>
      <c r="C701" s="15">
        <v>46028</v>
      </c>
      <c r="D701" s="16" t="s">
        <v>25</v>
      </c>
      <c r="E701" s="16" t="s">
        <v>2</v>
      </c>
      <c r="F701" s="17">
        <v>160</v>
      </c>
      <c r="G701" s="18" t="s">
        <v>24</v>
      </c>
      <c r="H701" s="9">
        <v>46028</v>
      </c>
      <c r="I701" s="10" t="s">
        <v>67</v>
      </c>
      <c r="J701" s="10" t="s">
        <v>4</v>
      </c>
      <c r="K701" s="11">
        <v>120</v>
      </c>
      <c r="O701" t="str" cm="1">
        <f t="array" ref="O701">_xlfn.LET(
_xlpm.corp,$I701,_xlpm.key,$M$2:$M$200,_xlpm.name,$N$2:$N$200,_xlpm.hits,_xlfn._xlws.FILTER(_xlpm.name,ISNUMBER(SEARCH(_xlpm.key,_xlpm.corp))),
IFERROR(INDEX(_xlpm.hits,1),_xlpm.corp))</f>
        <v>日本ロレアル</v>
      </c>
      <c r="P701" t="str">
        <f t="shared" si="46"/>
        <v>2026-01-06</v>
      </c>
      <c r="Q701" t="str">
        <f t="shared" si="39"/>
        <v>日本ロレアル</v>
      </c>
      <c r="R701" t="str">
        <f t="shared" si="47"/>
        <v>ベビーリーフ ピノグリーン</v>
      </c>
      <c r="S701">
        <f t="shared" si="48"/>
        <v>120</v>
      </c>
    </row>
    <row r="702" spans="1:19">
      <c r="A702" s="7">
        <v>71044</v>
      </c>
      <c r="B702" s="8" t="s">
        <v>23</v>
      </c>
      <c r="C702" s="9">
        <v>46028</v>
      </c>
      <c r="D702" s="10" t="s">
        <v>67</v>
      </c>
      <c r="E702" s="10" t="s">
        <v>4</v>
      </c>
      <c r="F702" s="11">
        <v>120</v>
      </c>
      <c r="G702" s="12" t="s">
        <v>24</v>
      </c>
      <c r="H702" s="15">
        <v>46028</v>
      </c>
      <c r="I702" s="16" t="s">
        <v>68</v>
      </c>
      <c r="J702" s="16" t="s">
        <v>3</v>
      </c>
      <c r="K702" s="17">
        <v>560</v>
      </c>
      <c r="O702" t="str" cm="1">
        <f t="array" ref="O702">_xlfn.LET(
_xlpm.corp,$I702,_xlpm.key,$M$2:$M$200,_xlpm.name,$N$2:$N$200,_xlpm.hits,_xlfn._xlws.FILTER(_xlpm.name,ISNUMBER(SEARCH(_xlpm.key,_xlpm.corp))),
IFERROR(INDEX(_xlpm.hits,1),_xlpm.corp))</f>
        <v>昭和女子</v>
      </c>
      <c r="P702" t="str">
        <f t="shared" si="46"/>
        <v>2026-01-06</v>
      </c>
      <c r="Q702" t="str">
        <f t="shared" si="39"/>
        <v>昭和女子/加工BL</v>
      </c>
      <c r="R702" t="str">
        <f t="shared" si="47"/>
        <v>加工BL</v>
      </c>
      <c r="S702">
        <f t="shared" si="48"/>
        <v>560</v>
      </c>
    </row>
    <row r="703" spans="1:19">
      <c r="A703" s="13">
        <v>71043</v>
      </c>
      <c r="B703" s="14" t="s">
        <v>23</v>
      </c>
      <c r="C703" s="15">
        <v>46028</v>
      </c>
      <c r="D703" s="16" t="s">
        <v>68</v>
      </c>
      <c r="E703" s="16" t="s">
        <v>3</v>
      </c>
      <c r="F703" s="17">
        <v>560</v>
      </c>
      <c r="G703" s="18" t="s">
        <v>24</v>
      </c>
      <c r="H703" s="9">
        <v>46028</v>
      </c>
      <c r="I703" s="10" t="s">
        <v>68</v>
      </c>
      <c r="J703" s="10" t="s">
        <v>2</v>
      </c>
      <c r="K703" s="11">
        <v>980</v>
      </c>
      <c r="O703" t="str" cm="1">
        <f t="array" ref="O703">_xlfn.LET(
_xlpm.corp,$I703,_xlpm.key,$M$2:$M$200,_xlpm.name,$N$2:$N$200,_xlpm.hits,_xlfn._xlws.FILTER(_xlpm.name,ISNUMBER(SEARCH(_xlpm.key,_xlpm.corp))),
IFERROR(INDEX(_xlpm.hits,1),_xlpm.corp))</f>
        <v>昭和女子</v>
      </c>
      <c r="P703" t="str">
        <f t="shared" si="46"/>
        <v>2026-01-06</v>
      </c>
      <c r="Q703" t="str">
        <f t="shared" si="39"/>
        <v>昭和女子</v>
      </c>
      <c r="R703" t="str">
        <f t="shared" si="47"/>
        <v>ベビーリーフ グリーンオーク</v>
      </c>
      <c r="S703">
        <f t="shared" si="48"/>
        <v>980</v>
      </c>
    </row>
    <row r="704" spans="1:19">
      <c r="A704" s="7">
        <v>71042</v>
      </c>
      <c r="B704" s="8" t="s">
        <v>23</v>
      </c>
      <c r="C704" s="9">
        <v>46028</v>
      </c>
      <c r="D704" s="10" t="s">
        <v>68</v>
      </c>
      <c r="E704" s="10" t="s">
        <v>2</v>
      </c>
      <c r="F704" s="11">
        <v>980</v>
      </c>
      <c r="G704" s="12" t="s">
        <v>24</v>
      </c>
      <c r="H704" s="15">
        <v>46028</v>
      </c>
      <c r="I704" s="16" t="s">
        <v>63</v>
      </c>
      <c r="J704" s="16" t="s">
        <v>62</v>
      </c>
      <c r="K704" s="17">
        <v>870</v>
      </c>
      <c r="O704" t="str" cm="1">
        <f t="array" ref="O704">_xlfn.LET(
_xlpm.corp,$I704,_xlpm.key,$M$2:$M$200,_xlpm.name,$N$2:$N$200,_xlpm.hits,_xlfn._xlws.FILTER(_xlpm.name,ISNUMBER(SEARCH(_xlpm.key,_xlpm.corp))),
IFERROR(INDEX(_xlpm.hits,1),_xlpm.corp))</f>
        <v>富士機材</v>
      </c>
      <c r="P704" t="str">
        <f t="shared" si="46"/>
        <v>2026-01-06</v>
      </c>
      <c r="Q704" t="str">
        <f t="shared" si="39"/>
        <v>富士機材</v>
      </c>
      <c r="R704" t="str">
        <f t="shared" si="47"/>
        <v>ベビーリーフ ロログリーン</v>
      </c>
      <c r="S704">
        <f t="shared" si="48"/>
        <v>870</v>
      </c>
    </row>
    <row r="705" spans="1:19">
      <c r="A705" s="13">
        <v>71041</v>
      </c>
      <c r="B705" s="14" t="s">
        <v>23</v>
      </c>
      <c r="C705" s="15">
        <v>46028</v>
      </c>
      <c r="D705" s="16" t="s">
        <v>63</v>
      </c>
      <c r="E705" s="16" t="s">
        <v>62</v>
      </c>
      <c r="F705" s="17">
        <v>870</v>
      </c>
      <c r="G705" s="18" t="s">
        <v>24</v>
      </c>
      <c r="H705" s="9">
        <v>46028</v>
      </c>
      <c r="I705" s="10" t="s">
        <v>26</v>
      </c>
      <c r="J705" s="10" t="s">
        <v>4</v>
      </c>
      <c r="K705" s="11">
        <v>140</v>
      </c>
      <c r="O705" t="str" cm="1">
        <f t="array" ref="O705">_xlfn.LET(
_xlpm.corp,$I705,_xlpm.key,$M$2:$M$200,_xlpm.name,$N$2:$N$200,_xlpm.hits,_xlfn._xlws.FILTER(_xlpm.name,ISNUMBER(SEARCH(_xlpm.key,_xlpm.corp))),
IFERROR(INDEX(_xlpm.hits,1),_xlpm.corp))</f>
        <v>日建</v>
      </c>
      <c r="P705" t="str">
        <f t="shared" si="46"/>
        <v>2026-01-06</v>
      </c>
      <c r="Q705" t="str">
        <f t="shared" si="39"/>
        <v>日建</v>
      </c>
      <c r="R705" t="str">
        <f t="shared" si="47"/>
        <v>ベビーリーフ ピノグリーン</v>
      </c>
      <c r="S705">
        <f t="shared" si="48"/>
        <v>140</v>
      </c>
    </row>
    <row r="706" spans="1:19">
      <c r="A706" s="7">
        <v>71040</v>
      </c>
      <c r="B706" s="8" t="s">
        <v>23</v>
      </c>
      <c r="C706" s="9">
        <v>46028</v>
      </c>
      <c r="D706" s="10" t="s">
        <v>26</v>
      </c>
      <c r="E706" s="10" t="s">
        <v>4</v>
      </c>
      <c r="F706" s="11">
        <v>140</v>
      </c>
      <c r="G706" s="12" t="s">
        <v>24</v>
      </c>
      <c r="H706" s="15">
        <v>46028</v>
      </c>
      <c r="I706" s="16" t="s">
        <v>26</v>
      </c>
      <c r="J706" s="16" t="s">
        <v>29</v>
      </c>
      <c r="K706" s="19">
        <v>2240</v>
      </c>
      <c r="O706" t="str" cm="1">
        <f t="array" ref="O706">_xlfn.LET(
_xlpm.corp,$I706,_xlpm.key,$M$2:$M$200,_xlpm.name,$N$2:$N$200,_xlpm.hits,_xlfn._xlws.FILTER(_xlpm.name,ISNUMBER(SEARCH(_xlpm.key,_xlpm.corp))),
IFERROR(INDEX(_xlpm.hits,1),_xlpm.corp))</f>
        <v>日建</v>
      </c>
      <c r="P706" t="str">
        <f t="shared" si="46"/>
        <v>2026-01-06</v>
      </c>
      <c r="Q706" t="str">
        <f t="shared" si="39"/>
        <v>日建/ミニトマト</v>
      </c>
      <c r="R706" t="str">
        <f t="shared" si="47"/>
        <v>ミニトマト</v>
      </c>
      <c r="S706">
        <f t="shared" si="48"/>
        <v>2240</v>
      </c>
    </row>
    <row r="707" spans="1:19">
      <c r="A707" s="13">
        <v>71039</v>
      </c>
      <c r="B707" s="14" t="s">
        <v>23</v>
      </c>
      <c r="C707" s="15">
        <v>46028</v>
      </c>
      <c r="D707" s="16" t="s">
        <v>26</v>
      </c>
      <c r="E707" s="16" t="s">
        <v>29</v>
      </c>
      <c r="F707" s="19">
        <v>2240</v>
      </c>
      <c r="G707" s="18" t="s">
        <v>24</v>
      </c>
      <c r="H707" s="9">
        <v>46028</v>
      </c>
      <c r="I707" s="10" t="s">
        <v>71</v>
      </c>
      <c r="J707" s="10" t="s">
        <v>62</v>
      </c>
      <c r="K707" s="20">
        <v>1340</v>
      </c>
      <c r="O707" t="str" cm="1">
        <f t="array" ref="O707">_xlfn.LET(
_xlpm.corp,$I707,_xlpm.key,$M$2:$M$200,_xlpm.name,$N$2:$N$200,_xlpm.hits,_xlfn._xlws.FILTER(_xlpm.name,ISNUMBER(SEARCH(_xlpm.key,_xlpm.corp))),
IFERROR(INDEX(_xlpm.hits,1),_xlpm.corp))</f>
        <v>ソリトン</v>
      </c>
      <c r="P707" t="str">
        <f t="shared" si="46"/>
        <v>2026-01-06</v>
      </c>
      <c r="Q707" t="str">
        <f t="shared" si="39"/>
        <v>ソリトン</v>
      </c>
      <c r="R707" t="str">
        <f t="shared" si="47"/>
        <v>ベビーリーフ ロログリーン</v>
      </c>
      <c r="S707">
        <f t="shared" si="48"/>
        <v>1340</v>
      </c>
    </row>
    <row r="708" spans="1:19">
      <c r="A708" s="7">
        <v>71038</v>
      </c>
      <c r="B708" s="8" t="s">
        <v>23</v>
      </c>
      <c r="C708" s="9">
        <v>46028</v>
      </c>
      <c r="D708" s="10" t="s">
        <v>71</v>
      </c>
      <c r="E708" s="10" t="s">
        <v>62</v>
      </c>
      <c r="F708" s="20">
        <v>1340</v>
      </c>
      <c r="G708" s="12" t="s">
        <v>24</v>
      </c>
      <c r="H708" s="15">
        <v>46028</v>
      </c>
      <c r="I708" s="16" t="s">
        <v>26</v>
      </c>
      <c r="J708" s="16" t="s">
        <v>11</v>
      </c>
      <c r="K708" s="17">
        <v>120</v>
      </c>
      <c r="O708" t="str" cm="1">
        <f t="array" ref="O708">_xlfn.LET(
_xlpm.corp,$I708,_xlpm.key,$M$2:$M$200,_xlpm.name,$N$2:$N$200,_xlpm.hits,_xlfn._xlws.FILTER(_xlpm.name,ISNUMBER(SEARCH(_xlpm.key,_xlpm.corp))),
IFERROR(INDEX(_xlpm.hits,1),_xlpm.corp))</f>
        <v>日建</v>
      </c>
      <c r="P708" t="str">
        <f t="shared" si="46"/>
        <v>2026-01-06</v>
      </c>
      <c r="Q708" t="str">
        <f t="shared" si="39"/>
        <v>日建</v>
      </c>
      <c r="R708" t="str">
        <f t="shared" si="47"/>
        <v>ベビーリーフ レッドオーク</v>
      </c>
      <c r="S708">
        <f t="shared" si="48"/>
        <v>120</v>
      </c>
    </row>
    <row r="709" spans="1:19">
      <c r="A709" s="13">
        <v>71037</v>
      </c>
      <c r="B709" s="14" t="s">
        <v>23</v>
      </c>
      <c r="C709" s="15">
        <v>46028</v>
      </c>
      <c r="D709" s="16" t="s">
        <v>26</v>
      </c>
      <c r="E709" s="16" t="s">
        <v>11</v>
      </c>
      <c r="F709" s="17">
        <v>120</v>
      </c>
      <c r="G709" s="18" t="s">
        <v>24</v>
      </c>
      <c r="H709" s="9">
        <v>46028</v>
      </c>
      <c r="I709" s="10" t="s">
        <v>26</v>
      </c>
      <c r="J709" s="10" t="s">
        <v>9</v>
      </c>
      <c r="K709" s="11">
        <v>180</v>
      </c>
      <c r="O709" t="str" cm="1">
        <f t="array" ref="O709">_xlfn.LET(
_xlpm.corp,$I709,_xlpm.key,$M$2:$M$200,_xlpm.name,$N$2:$N$200,_xlpm.hits,_xlfn._xlws.FILTER(_xlpm.name,ISNUMBER(SEARCH(_xlpm.key,_xlpm.corp))),
IFERROR(INDEX(_xlpm.hits,1),_xlpm.corp))</f>
        <v>日建</v>
      </c>
      <c r="P709" t="str">
        <f t="shared" si="46"/>
        <v>2026-01-06</v>
      </c>
      <c r="Q709" t="str">
        <f t="shared" si="39"/>
        <v>日建</v>
      </c>
      <c r="R709" t="str">
        <f t="shared" si="47"/>
        <v>ベビーリーフ ロロロッサ</v>
      </c>
      <c r="S709">
        <f t="shared" si="48"/>
        <v>180</v>
      </c>
    </row>
    <row r="710" spans="1:19">
      <c r="A710" s="7">
        <v>71036</v>
      </c>
      <c r="B710" s="8" t="s">
        <v>23</v>
      </c>
      <c r="C710" s="9">
        <v>46028</v>
      </c>
      <c r="D710" s="10" t="s">
        <v>26</v>
      </c>
      <c r="E710" s="10" t="s">
        <v>9</v>
      </c>
      <c r="F710" s="11">
        <v>180</v>
      </c>
      <c r="G710" s="12" t="s">
        <v>24</v>
      </c>
      <c r="H710" s="15">
        <v>46028</v>
      </c>
      <c r="I710" s="16" t="s">
        <v>61</v>
      </c>
      <c r="J710" s="16" t="s">
        <v>62</v>
      </c>
      <c r="K710" s="17">
        <v>520</v>
      </c>
      <c r="O710" t="str" cm="1">
        <f t="array" ref="O710">_xlfn.LET(
_xlpm.corp,$I710,_xlpm.key,$M$2:$M$200,_xlpm.name,$N$2:$N$200,_xlpm.hits,_xlfn._xlws.FILTER(_xlpm.name,ISNUMBER(SEARCH(_xlpm.key,_xlpm.corp))),
IFERROR(INDEX(_xlpm.hits,1),_xlpm.corp))</f>
        <v>Adobe</v>
      </c>
      <c r="P710" t="str">
        <f t="shared" si="46"/>
        <v>2026-01-06</v>
      </c>
      <c r="Q710" t="str">
        <f t="shared" si="39"/>
        <v>Adobe</v>
      </c>
      <c r="R710" t="str">
        <f t="shared" si="47"/>
        <v>ベビーリーフ ロログリーン</v>
      </c>
      <c r="S710">
        <f t="shared" si="48"/>
        <v>520</v>
      </c>
    </row>
    <row r="711" spans="1:19">
      <c r="A711" s="13">
        <v>71035</v>
      </c>
      <c r="B711" s="14" t="s">
        <v>23</v>
      </c>
      <c r="C711" s="15">
        <v>46028</v>
      </c>
      <c r="D711" s="16" t="s">
        <v>61</v>
      </c>
      <c r="E711" s="16" t="s">
        <v>62</v>
      </c>
      <c r="F711" s="17">
        <v>520</v>
      </c>
      <c r="G711" s="18" t="s">
        <v>24</v>
      </c>
      <c r="H711" s="9">
        <v>46028</v>
      </c>
      <c r="I711" s="10" t="s">
        <v>61</v>
      </c>
      <c r="J711" s="10" t="s">
        <v>62</v>
      </c>
      <c r="K711" s="11">
        <v>820</v>
      </c>
      <c r="O711" t="str" cm="1">
        <f t="array" ref="O711">_xlfn.LET(
_xlpm.corp,$I711,_xlpm.key,$M$2:$M$200,_xlpm.name,$N$2:$N$200,_xlpm.hits,_xlfn._xlws.FILTER(_xlpm.name,ISNUMBER(SEARCH(_xlpm.key,_xlpm.corp))),
IFERROR(INDEX(_xlpm.hits,1),_xlpm.corp))</f>
        <v>Adobe</v>
      </c>
      <c r="P711" t="str">
        <f t="shared" si="46"/>
        <v>2026-01-06</v>
      </c>
      <c r="Q711" t="str">
        <f t="shared" si="39"/>
        <v>Adobe</v>
      </c>
      <c r="R711" t="str">
        <f t="shared" si="47"/>
        <v>ベビーリーフ ロログリーン</v>
      </c>
      <c r="S711">
        <f t="shared" si="48"/>
        <v>820</v>
      </c>
    </row>
    <row r="712" spans="1:19">
      <c r="A712" s="7">
        <v>71034</v>
      </c>
      <c r="B712" s="8" t="s">
        <v>23</v>
      </c>
      <c r="C712" s="9">
        <v>46028</v>
      </c>
      <c r="D712" s="10" t="s">
        <v>61</v>
      </c>
      <c r="E712" s="10" t="s">
        <v>62</v>
      </c>
      <c r="F712" s="11">
        <v>820</v>
      </c>
      <c r="G712" s="12" t="s">
        <v>24</v>
      </c>
      <c r="H712" s="15">
        <v>46028</v>
      </c>
      <c r="I712" s="16" t="s">
        <v>64</v>
      </c>
      <c r="J712" s="16" t="s">
        <v>11</v>
      </c>
      <c r="K712" s="17">
        <v>560</v>
      </c>
      <c r="O712" t="str" cm="1">
        <f t="array" ref="O712">_xlfn.LET(
_xlpm.corp,$I712,_xlpm.key,$M$2:$M$200,_xlpm.name,$N$2:$N$200,_xlpm.hits,_xlfn._xlws.FILTER(_xlpm.name,ISNUMBER(SEARCH(_xlpm.key,_xlpm.corp))),
IFERROR(INDEX(_xlpm.hits,1),_xlpm.corp))</f>
        <v>NaITO</v>
      </c>
      <c r="P712" t="str">
        <f t="shared" si="46"/>
        <v>2026-01-06</v>
      </c>
      <c r="Q712" t="str">
        <f t="shared" si="39"/>
        <v>NaITO</v>
      </c>
      <c r="R712" t="str">
        <f t="shared" si="47"/>
        <v>ベビーリーフ レッドオーク</v>
      </c>
      <c r="S712">
        <f t="shared" si="48"/>
        <v>560</v>
      </c>
    </row>
    <row r="713" spans="1:19">
      <c r="A713" s="13">
        <v>71033</v>
      </c>
      <c r="B713" s="14" t="s">
        <v>23</v>
      </c>
      <c r="C713" s="15">
        <v>46028</v>
      </c>
      <c r="D713" s="16" t="s">
        <v>64</v>
      </c>
      <c r="E713" s="16" t="s">
        <v>11</v>
      </c>
      <c r="F713" s="17">
        <v>560</v>
      </c>
      <c r="G713" s="18" t="s">
        <v>24</v>
      </c>
      <c r="H713" s="9">
        <v>46028</v>
      </c>
      <c r="I713" s="10" t="s">
        <v>69</v>
      </c>
      <c r="J713" s="10" t="s">
        <v>9</v>
      </c>
      <c r="K713" s="11">
        <v>260</v>
      </c>
      <c r="O713" t="str" cm="1">
        <f t="array" ref="O713">_xlfn.LET(
_xlpm.corp,$I713,_xlpm.key,$M$2:$M$200,_xlpm.name,$N$2:$N$200,_xlpm.hits,_xlfn._xlws.FILTER(_xlpm.name,ISNUMBER(SEARCH(_xlpm.key,_xlpm.corp))),
IFERROR(INDEX(_xlpm.hits,1),_xlpm.corp))</f>
        <v>バリュエンス</v>
      </c>
      <c r="P713" t="str">
        <f t="shared" si="46"/>
        <v>2026-01-06</v>
      </c>
      <c r="Q713" t="str">
        <f t="shared" si="39"/>
        <v>バリュエンス</v>
      </c>
      <c r="R713" t="str">
        <f t="shared" si="47"/>
        <v>ベビーリーフ ロロロッサ</v>
      </c>
      <c r="S713">
        <f t="shared" si="48"/>
        <v>260</v>
      </c>
    </row>
    <row r="714" spans="1:19">
      <c r="A714" s="7">
        <v>71032</v>
      </c>
      <c r="B714" s="8" t="s">
        <v>23</v>
      </c>
      <c r="C714" s="9">
        <v>46028</v>
      </c>
      <c r="D714" s="10" t="s">
        <v>69</v>
      </c>
      <c r="E714" s="10" t="s">
        <v>9</v>
      </c>
      <c r="F714" s="11">
        <v>260</v>
      </c>
      <c r="G714" s="12" t="s">
        <v>24</v>
      </c>
      <c r="H714" s="15">
        <v>46028</v>
      </c>
      <c r="I714" s="16" t="s">
        <v>58</v>
      </c>
      <c r="J714" s="16" t="s">
        <v>9</v>
      </c>
      <c r="K714" s="17">
        <v>920</v>
      </c>
      <c r="O714" t="str" cm="1">
        <f t="array" ref="O714">_xlfn.LET(
_xlpm.corp,$I714,_xlpm.key,$M$2:$M$200,_xlpm.name,$N$2:$N$200,_xlpm.hits,_xlfn._xlws.FILTER(_xlpm.name,ISNUMBER(SEARCH(_xlpm.key,_xlpm.corp))),
IFERROR(INDEX(_xlpm.hits,1),_xlpm.corp))</f>
        <v>慈誠会</v>
      </c>
      <c r="P714" t="str">
        <f t="shared" si="46"/>
        <v>2026-01-06</v>
      </c>
      <c r="Q714" t="str">
        <f t="shared" si="39"/>
        <v>慈誠会</v>
      </c>
      <c r="R714" t="str">
        <f t="shared" si="47"/>
        <v>ベビーリーフ ロロロッサ</v>
      </c>
      <c r="S714">
        <f t="shared" si="48"/>
        <v>920</v>
      </c>
    </row>
    <row r="715" spans="1:19">
      <c r="A715" s="13">
        <v>71031</v>
      </c>
      <c r="B715" s="14" t="s">
        <v>23</v>
      </c>
      <c r="C715" s="15">
        <v>46028</v>
      </c>
      <c r="D715" s="16" t="s">
        <v>58</v>
      </c>
      <c r="E715" s="16" t="s">
        <v>9</v>
      </c>
      <c r="F715" s="17">
        <v>920</v>
      </c>
      <c r="G715" s="18" t="s">
        <v>24</v>
      </c>
      <c r="H715" s="9">
        <v>46028</v>
      </c>
      <c r="I715" s="10" t="s">
        <v>63</v>
      </c>
      <c r="J715" s="10" t="s">
        <v>62</v>
      </c>
      <c r="K715" s="11">
        <v>860</v>
      </c>
      <c r="O715" t="str" cm="1">
        <f t="array" ref="O715">_xlfn.LET(
_xlpm.corp,$I715,_xlpm.key,$M$2:$M$200,_xlpm.name,$N$2:$N$200,_xlpm.hits,_xlfn._xlws.FILTER(_xlpm.name,ISNUMBER(SEARCH(_xlpm.key,_xlpm.corp))),
IFERROR(INDEX(_xlpm.hits,1),_xlpm.corp))</f>
        <v>富士機材</v>
      </c>
      <c r="P715" t="str">
        <f t="shared" si="46"/>
        <v>2026-01-06</v>
      </c>
      <c r="Q715" t="str">
        <f t="shared" si="39"/>
        <v>富士機材</v>
      </c>
      <c r="R715" t="str">
        <f t="shared" si="47"/>
        <v>ベビーリーフ ロログリーン</v>
      </c>
      <c r="S715">
        <f t="shared" si="48"/>
        <v>860</v>
      </c>
    </row>
    <row r="716" spans="1:19">
      <c r="A716" s="7">
        <v>71030</v>
      </c>
      <c r="B716" s="8" t="s">
        <v>23</v>
      </c>
      <c r="C716" s="9">
        <v>46028</v>
      </c>
      <c r="D716" s="10" t="s">
        <v>63</v>
      </c>
      <c r="E716" s="10" t="s">
        <v>62</v>
      </c>
      <c r="F716" s="11">
        <v>860</v>
      </c>
      <c r="G716" s="12" t="s">
        <v>24</v>
      </c>
      <c r="H716" s="15">
        <v>46028</v>
      </c>
      <c r="I716" s="16" t="s">
        <v>65</v>
      </c>
      <c r="J716" s="16" t="s">
        <v>2</v>
      </c>
      <c r="K716" s="17">
        <v>560</v>
      </c>
      <c r="O716" t="str" cm="1">
        <f t="array" ref="O716">_xlfn.LET(
_xlpm.corp,$I716,_xlpm.key,$M$2:$M$200,_xlpm.name,$N$2:$N$200,_xlpm.hits,_xlfn._xlws.FILTER(_xlpm.name,ISNUMBER(SEARCH(_xlpm.key,_xlpm.corp))),
IFERROR(INDEX(_xlpm.hits,1),_xlpm.corp))</f>
        <v>マルテー</v>
      </c>
      <c r="P716" t="str">
        <f t="shared" si="46"/>
        <v>2026-01-06</v>
      </c>
      <c r="Q716" t="str">
        <f t="shared" si="39"/>
        <v>マルテー</v>
      </c>
      <c r="R716" t="str">
        <f t="shared" si="47"/>
        <v>ベビーリーフ グリーンオーク</v>
      </c>
      <c r="S716">
        <f t="shared" si="48"/>
        <v>560</v>
      </c>
    </row>
    <row r="717" spans="1:19">
      <c r="A717" s="13">
        <v>71029</v>
      </c>
      <c r="B717" s="14" t="s">
        <v>23</v>
      </c>
      <c r="C717" s="15">
        <v>46028</v>
      </c>
      <c r="D717" s="16" t="s">
        <v>65</v>
      </c>
      <c r="E717" s="16" t="s">
        <v>2</v>
      </c>
      <c r="F717" s="17">
        <v>560</v>
      </c>
      <c r="G717" s="18" t="s">
        <v>24</v>
      </c>
      <c r="H717" s="9">
        <v>46028</v>
      </c>
      <c r="I717" s="10" t="s">
        <v>68</v>
      </c>
      <c r="J717" s="10" t="s">
        <v>2</v>
      </c>
      <c r="K717" s="11">
        <v>380</v>
      </c>
      <c r="O717" t="str" cm="1">
        <f t="array" ref="O717">_xlfn.LET(
_xlpm.corp,$I717,_xlpm.key,$M$2:$M$200,_xlpm.name,$N$2:$N$200,_xlpm.hits,_xlfn._xlws.FILTER(_xlpm.name,ISNUMBER(SEARCH(_xlpm.key,_xlpm.corp))),
IFERROR(INDEX(_xlpm.hits,1),_xlpm.corp))</f>
        <v>昭和女子</v>
      </c>
      <c r="P717" t="str">
        <f t="shared" si="46"/>
        <v>2026-01-06</v>
      </c>
      <c r="Q717" t="str">
        <f t="shared" si="39"/>
        <v>昭和女子</v>
      </c>
      <c r="R717" t="str">
        <f t="shared" si="47"/>
        <v>ベビーリーフ グリーンオーク</v>
      </c>
      <c r="S717">
        <f t="shared" si="48"/>
        <v>380</v>
      </c>
    </row>
    <row r="718" spans="1:19">
      <c r="A718" s="7">
        <v>71028</v>
      </c>
      <c r="B718" s="8" t="s">
        <v>23</v>
      </c>
      <c r="C718" s="9">
        <v>46028</v>
      </c>
      <c r="D718" s="10" t="s">
        <v>68</v>
      </c>
      <c r="E718" s="10" t="s">
        <v>2</v>
      </c>
      <c r="F718" s="11">
        <v>380</v>
      </c>
      <c r="G718" s="12" t="s">
        <v>24</v>
      </c>
      <c r="H718" s="15">
        <v>46028</v>
      </c>
      <c r="I718" s="16" t="s">
        <v>70</v>
      </c>
      <c r="J718" s="16" t="s">
        <v>73</v>
      </c>
      <c r="K718" s="19">
        <v>2600</v>
      </c>
      <c r="O718" t="str" cm="1">
        <f t="array" ref="O718">_xlfn.LET(
_xlpm.corp,$I718,_xlpm.key,$M$2:$M$200,_xlpm.name,$N$2:$N$200,_xlpm.hits,_xlfn._xlws.FILTER(_xlpm.name,ISNUMBER(SEARCH(_xlpm.key,_xlpm.corp))),
IFERROR(INDEX(_xlpm.hits,1),_xlpm.corp))</f>
        <v>富士機械</v>
      </c>
      <c r="P718" t="str">
        <f t="shared" si="46"/>
        <v>2026-01-06</v>
      </c>
      <c r="Q718" t="str">
        <f t="shared" si="39"/>
        <v>富士機械/葉物野菜</v>
      </c>
      <c r="R718" t="str">
        <f t="shared" si="47"/>
        <v>ラディッシュ</v>
      </c>
      <c r="S718">
        <f t="shared" si="48"/>
        <v>2600</v>
      </c>
    </row>
    <row r="719" spans="1:19">
      <c r="A719" s="13">
        <v>71027</v>
      </c>
      <c r="B719" s="14" t="s">
        <v>23</v>
      </c>
      <c r="C719" s="15">
        <v>46028</v>
      </c>
      <c r="D719" s="16" t="s">
        <v>70</v>
      </c>
      <c r="E719" s="16" t="s">
        <v>73</v>
      </c>
      <c r="F719" s="19">
        <v>2600</v>
      </c>
      <c r="G719" s="18" t="s">
        <v>24</v>
      </c>
      <c r="H719" s="9">
        <v>46028</v>
      </c>
      <c r="I719" s="10" t="s">
        <v>27</v>
      </c>
      <c r="J719" s="10" t="s">
        <v>62</v>
      </c>
      <c r="K719" s="11">
        <v>640</v>
      </c>
      <c r="O719" t="str" cm="1">
        <f t="array" ref="O719">_xlfn.LET(
_xlpm.corp,$I719,_xlpm.key,$M$2:$M$200,_xlpm.name,$N$2:$N$200,_xlpm.hits,_xlfn._xlws.FILTER(_xlpm.name,ISNUMBER(SEARCH(_xlpm.key,_xlpm.corp))),
IFERROR(INDEX(_xlpm.hits,1),_xlpm.corp))</f>
        <v>東レ</v>
      </c>
      <c r="P719" t="str">
        <f t="shared" si="46"/>
        <v>2026-01-06</v>
      </c>
      <c r="Q719" t="str">
        <f t="shared" si="39"/>
        <v>東レ</v>
      </c>
      <c r="R719" t="str">
        <f t="shared" si="47"/>
        <v>ベビーリーフ ロログリーン</v>
      </c>
      <c r="S719">
        <f t="shared" si="48"/>
        <v>640</v>
      </c>
    </row>
    <row r="720" spans="1:19">
      <c r="A720" s="7">
        <v>71026</v>
      </c>
      <c r="B720" s="8" t="s">
        <v>23</v>
      </c>
      <c r="C720" s="9">
        <v>46028</v>
      </c>
      <c r="D720" s="10" t="s">
        <v>27</v>
      </c>
      <c r="E720" s="10" t="s">
        <v>62</v>
      </c>
      <c r="F720" s="11">
        <v>640</v>
      </c>
      <c r="G720" s="12" t="s">
        <v>24</v>
      </c>
      <c r="H720" s="15">
        <v>46028</v>
      </c>
      <c r="I720" s="16" t="s">
        <v>66</v>
      </c>
      <c r="J720" s="16" t="s">
        <v>3</v>
      </c>
      <c r="K720" s="17">
        <v>380</v>
      </c>
      <c r="O720" t="str" cm="1">
        <f t="array" ref="O720">_xlfn.LET(
_xlpm.corp,$I720,_xlpm.key,$M$2:$M$200,_xlpm.name,$N$2:$N$200,_xlpm.hits,_xlfn._xlws.FILTER(_xlpm.name,ISNUMBER(SEARCH(_xlpm.key,_xlpm.corp))),
IFERROR(INDEX(_xlpm.hits,1),_xlpm.corp))</f>
        <v>ケイアイ</v>
      </c>
      <c r="P720" t="str">
        <f t="shared" si="46"/>
        <v>2026-01-06</v>
      </c>
      <c r="Q720" t="str">
        <f t="shared" si="39"/>
        <v>ケイアイ/加工BL</v>
      </c>
      <c r="R720" t="str">
        <f t="shared" si="47"/>
        <v>加工BL</v>
      </c>
      <c r="S720">
        <f t="shared" si="48"/>
        <v>380</v>
      </c>
    </row>
    <row r="721" spans="1:19">
      <c r="A721" s="13">
        <v>71025</v>
      </c>
      <c r="B721" s="14" t="s">
        <v>23</v>
      </c>
      <c r="C721" s="15">
        <v>46028</v>
      </c>
      <c r="D721" s="16" t="s">
        <v>66</v>
      </c>
      <c r="E721" s="16" t="s">
        <v>3</v>
      </c>
      <c r="F721" s="17">
        <v>380</v>
      </c>
      <c r="G721" s="18" t="s">
        <v>24</v>
      </c>
      <c r="H721" s="9">
        <v>46028</v>
      </c>
      <c r="I721" s="10" t="s">
        <v>72</v>
      </c>
      <c r="J721" s="10" t="s">
        <v>2</v>
      </c>
      <c r="K721" s="20">
        <v>1500</v>
      </c>
      <c r="O721" t="str" cm="1">
        <f t="array" ref="O721">_xlfn.LET(
_xlpm.corp,$I721,_xlpm.key,$M$2:$M$200,_xlpm.name,$N$2:$N$200,_xlpm.hits,_xlfn._xlws.FILTER(_xlpm.name,ISNUMBER(SEARCH(_xlpm.key,_xlpm.corp))),
IFERROR(INDEX(_xlpm.hits,1),_xlpm.corp))</f>
        <v>岡部</v>
      </c>
      <c r="P721" t="str">
        <f t="shared" si="46"/>
        <v>2026-01-06</v>
      </c>
      <c r="Q721" t="str">
        <f t="shared" si="39"/>
        <v>岡部</v>
      </c>
      <c r="R721" t="str">
        <f t="shared" si="47"/>
        <v>ベビーリーフ グリーンオーク</v>
      </c>
      <c r="S721">
        <f t="shared" si="48"/>
        <v>1500</v>
      </c>
    </row>
    <row r="722" spans="1:19">
      <c r="A722" s="7">
        <v>71024</v>
      </c>
      <c r="B722" s="8" t="s">
        <v>23</v>
      </c>
      <c r="C722" s="9">
        <v>46028</v>
      </c>
      <c r="D722" s="10" t="s">
        <v>72</v>
      </c>
      <c r="E722" s="10" t="s">
        <v>2</v>
      </c>
      <c r="F722" s="20">
        <v>1500</v>
      </c>
      <c r="G722" s="12" t="s">
        <v>24</v>
      </c>
      <c r="H722" s="15">
        <v>46028</v>
      </c>
      <c r="I722" s="16" t="s">
        <v>26</v>
      </c>
      <c r="J722" s="16" t="s">
        <v>11</v>
      </c>
      <c r="K722" s="17">
        <v>60</v>
      </c>
      <c r="O722" t="str" cm="1">
        <f t="array" ref="O722">_xlfn.LET(
_xlpm.corp,$I722,_xlpm.key,$M$2:$M$200,_xlpm.name,$N$2:$N$200,_xlpm.hits,_xlfn._xlws.FILTER(_xlpm.name,ISNUMBER(SEARCH(_xlpm.key,_xlpm.corp))),
IFERROR(INDEX(_xlpm.hits,1),_xlpm.corp))</f>
        <v>日建</v>
      </c>
      <c r="P722" t="str">
        <f t="shared" ref="P722:P753" si="49">IFERROR(TEXT(DATEVALUE(SUBSTITUTE(SUBSTITUTE(H722,".","/"),"-","/")),"yyyy-mm-dd"),
TEXT(H722,"yyyy-mm-dd"))</f>
        <v>2026-01-06</v>
      </c>
      <c r="Q722" t="str">
        <f t="shared" si="39"/>
        <v>日建</v>
      </c>
      <c r="R722" t="str">
        <f t="shared" ref="R722:R753" si="50">IF(
  AND(ISNUMBER(SEARCH("加工品",SUBSTITUTE(J722,"　"," "))),ISNUMBER(SEARCH("ベビーリーフ",SUBSTITUTE(J722,"　"," ")))),
  "加工BL",
  IF(LEFT(TRIM(SUBSTITUTE(J722,"　"," ")),5)="ベビーリーフ",
     "BL"&amp;TRIM(MID(TRIM(SUBSTITUTE(J722,"　"," ")),FIND(" ",TRIM(SUBSTITUTE(J722,"　"," "))&amp;" ")+1,255)),
     TRIM(SUBSTITUTE(J722,"　"," "))
  )
)</f>
        <v>ベビーリーフ レッドオーク</v>
      </c>
      <c r="S722">
        <f t="shared" ref="S722:S753" si="51">IF(K722="", "", --SUBSTITUTE(K722, ",", ""))</f>
        <v>60</v>
      </c>
    </row>
    <row r="723" spans="1:19">
      <c r="A723" s="13">
        <v>71023</v>
      </c>
      <c r="B723" s="14" t="s">
        <v>23</v>
      </c>
      <c r="C723" s="15">
        <v>46028</v>
      </c>
      <c r="D723" s="16" t="s">
        <v>26</v>
      </c>
      <c r="E723" s="16" t="s">
        <v>11</v>
      </c>
      <c r="F723" s="17">
        <v>60</v>
      </c>
      <c r="G723" s="18" t="s">
        <v>24</v>
      </c>
      <c r="H723" s="9">
        <v>46028</v>
      </c>
      <c r="I723" s="10" t="s">
        <v>63</v>
      </c>
      <c r="J723" s="10" t="s">
        <v>62</v>
      </c>
      <c r="K723" s="11">
        <v>900</v>
      </c>
      <c r="O723" t="str" cm="1">
        <f t="array" ref="O723">_xlfn.LET(
_xlpm.corp,$I723,_xlpm.key,$M$2:$M$200,_xlpm.name,$N$2:$N$200,_xlpm.hits,_xlfn._xlws.FILTER(_xlpm.name,ISNUMBER(SEARCH(_xlpm.key,_xlpm.corp))),
IFERROR(INDEX(_xlpm.hits,1),_xlpm.corp))</f>
        <v>富士機材</v>
      </c>
      <c r="P723" t="str">
        <f t="shared" si="49"/>
        <v>2026-01-06</v>
      </c>
      <c r="Q723" t="str">
        <f t="shared" si="39"/>
        <v>富士機材</v>
      </c>
      <c r="R723" t="str">
        <f t="shared" si="50"/>
        <v>ベビーリーフ ロログリーン</v>
      </c>
      <c r="S723">
        <f t="shared" si="51"/>
        <v>900</v>
      </c>
    </row>
    <row r="724" spans="1:19">
      <c r="A724" s="7">
        <v>71022</v>
      </c>
      <c r="B724" s="8" t="s">
        <v>23</v>
      </c>
      <c r="C724" s="9">
        <v>46028</v>
      </c>
      <c r="D724" s="10" t="s">
        <v>63</v>
      </c>
      <c r="E724" s="10" t="s">
        <v>62</v>
      </c>
      <c r="F724" s="11">
        <v>900</v>
      </c>
      <c r="G724" s="12" t="s">
        <v>24</v>
      </c>
      <c r="H724" s="15">
        <v>46028</v>
      </c>
      <c r="I724" s="16" t="s">
        <v>57</v>
      </c>
      <c r="J724" s="16" t="s">
        <v>3</v>
      </c>
      <c r="K724" s="17">
        <v>160</v>
      </c>
      <c r="O724" t="str" cm="1">
        <f t="array" ref="O724">_xlfn.LET(
_xlpm.corp,$I724,_xlpm.key,$M$2:$M$200,_xlpm.name,$N$2:$N$200,_xlpm.hits,_xlfn._xlws.FILTER(_xlpm.name,ISNUMBER(SEARCH(_xlpm.key,_xlpm.corp))),
IFERROR(INDEX(_xlpm.hits,1),_xlpm.corp))</f>
        <v>QB</v>
      </c>
      <c r="P724" t="str">
        <f t="shared" si="49"/>
        <v>2026-01-06</v>
      </c>
      <c r="Q724" t="str">
        <f t="shared" si="39"/>
        <v>QB/加工BL</v>
      </c>
      <c r="R724" t="str">
        <f t="shared" si="50"/>
        <v>加工BL</v>
      </c>
      <c r="S724">
        <f t="shared" si="51"/>
        <v>160</v>
      </c>
    </row>
    <row r="725" spans="1:19">
      <c r="A725" s="13">
        <v>71021</v>
      </c>
      <c r="B725" s="14" t="s">
        <v>23</v>
      </c>
      <c r="C725" s="15">
        <v>46028</v>
      </c>
      <c r="D725" s="16" t="s">
        <v>57</v>
      </c>
      <c r="E725" s="16" t="s">
        <v>3</v>
      </c>
      <c r="F725" s="17">
        <v>160</v>
      </c>
      <c r="G725" s="18" t="s">
        <v>24</v>
      </c>
      <c r="H725" s="9">
        <v>46028</v>
      </c>
      <c r="I725" s="10" t="s">
        <v>57</v>
      </c>
      <c r="J725" s="10" t="s">
        <v>4</v>
      </c>
      <c r="K725" s="11">
        <v>200</v>
      </c>
      <c r="O725" t="str" cm="1">
        <f t="array" ref="O725">_xlfn.LET(
_xlpm.corp,$I725,_xlpm.key,$M$2:$M$200,_xlpm.name,$N$2:$N$200,_xlpm.hits,_xlfn._xlws.FILTER(_xlpm.name,ISNUMBER(SEARCH(_xlpm.key,_xlpm.corp))),
IFERROR(INDEX(_xlpm.hits,1),_xlpm.corp))</f>
        <v>QB</v>
      </c>
      <c r="P725" t="str">
        <f t="shared" si="49"/>
        <v>2026-01-06</v>
      </c>
      <c r="Q725" t="str">
        <f t="shared" si="39"/>
        <v>QB</v>
      </c>
      <c r="R725" t="str">
        <f t="shared" si="50"/>
        <v>ベビーリーフ ピノグリーン</v>
      </c>
      <c r="S725">
        <f t="shared" si="51"/>
        <v>200</v>
      </c>
    </row>
    <row r="726" spans="1:19">
      <c r="A726" s="7">
        <v>71020</v>
      </c>
      <c r="B726" s="8" t="s">
        <v>23</v>
      </c>
      <c r="C726" s="9">
        <v>46028</v>
      </c>
      <c r="D726" s="10" t="s">
        <v>57</v>
      </c>
      <c r="E726" s="10" t="s">
        <v>4</v>
      </c>
      <c r="F726" s="11">
        <v>200</v>
      </c>
      <c r="G726" s="12" t="s">
        <v>24</v>
      </c>
      <c r="H726" s="15">
        <v>46028</v>
      </c>
      <c r="I726" s="16" t="s">
        <v>65</v>
      </c>
      <c r="J726" s="16" t="s">
        <v>2</v>
      </c>
      <c r="K726" s="19">
        <v>1060</v>
      </c>
      <c r="O726" t="str" cm="1">
        <f t="array" ref="O726">_xlfn.LET(
_xlpm.corp,$I726,_xlpm.key,$M$2:$M$200,_xlpm.name,$N$2:$N$200,_xlpm.hits,_xlfn._xlws.FILTER(_xlpm.name,ISNUMBER(SEARCH(_xlpm.key,_xlpm.corp))),
IFERROR(INDEX(_xlpm.hits,1),_xlpm.corp))</f>
        <v>マルテー</v>
      </c>
      <c r="P726" t="str">
        <f t="shared" si="49"/>
        <v>2026-01-06</v>
      </c>
      <c r="Q726" t="str">
        <f t="shared" si="39"/>
        <v>マルテー</v>
      </c>
      <c r="R726" t="str">
        <f t="shared" si="50"/>
        <v>ベビーリーフ グリーンオーク</v>
      </c>
      <c r="S726">
        <f t="shared" si="51"/>
        <v>1060</v>
      </c>
    </row>
    <row r="727" spans="1:19">
      <c r="A727" s="13">
        <v>71019</v>
      </c>
      <c r="B727" s="14" t="s">
        <v>23</v>
      </c>
      <c r="C727" s="15">
        <v>46028</v>
      </c>
      <c r="D727" s="16" t="s">
        <v>65</v>
      </c>
      <c r="E727" s="16" t="s">
        <v>2</v>
      </c>
      <c r="F727" s="19">
        <v>1060</v>
      </c>
      <c r="G727" s="18" t="s">
        <v>24</v>
      </c>
      <c r="H727" s="9">
        <v>46028</v>
      </c>
      <c r="I727" s="10" t="s">
        <v>66</v>
      </c>
      <c r="J727" s="10" t="s">
        <v>3</v>
      </c>
      <c r="K727" s="11">
        <v>580</v>
      </c>
      <c r="O727" t="str" cm="1">
        <f t="array" ref="O727">_xlfn.LET(
_xlpm.corp,$I727,_xlpm.key,$M$2:$M$200,_xlpm.name,$N$2:$N$200,_xlpm.hits,_xlfn._xlws.FILTER(_xlpm.name,ISNUMBER(SEARCH(_xlpm.key,_xlpm.corp))),
IFERROR(INDEX(_xlpm.hits,1),_xlpm.corp))</f>
        <v>ケイアイ</v>
      </c>
      <c r="P727" t="str">
        <f t="shared" si="49"/>
        <v>2026-01-06</v>
      </c>
      <c r="Q727" t="str">
        <f t="shared" si="39"/>
        <v>ケイアイ/加工BL</v>
      </c>
      <c r="R727" t="str">
        <f t="shared" si="50"/>
        <v>加工BL</v>
      </c>
      <c r="S727">
        <f t="shared" si="51"/>
        <v>580</v>
      </c>
    </row>
    <row r="728" spans="1:19">
      <c r="A728" s="7">
        <v>71018</v>
      </c>
      <c r="B728" s="8" t="s">
        <v>23</v>
      </c>
      <c r="C728" s="9">
        <v>46028</v>
      </c>
      <c r="D728" s="10" t="s">
        <v>66</v>
      </c>
      <c r="E728" s="10" t="s">
        <v>3</v>
      </c>
      <c r="F728" s="11">
        <v>580</v>
      </c>
      <c r="G728" s="12" t="s">
        <v>24</v>
      </c>
      <c r="H728" s="15">
        <v>46028</v>
      </c>
      <c r="I728" s="16" t="s">
        <v>72</v>
      </c>
      <c r="J728" s="16" t="s">
        <v>11</v>
      </c>
      <c r="K728" s="17">
        <v>660</v>
      </c>
      <c r="O728" t="str" cm="1">
        <f t="array" ref="O728">_xlfn.LET(
_xlpm.corp,$I728,_xlpm.key,$M$2:$M$200,_xlpm.name,$N$2:$N$200,_xlpm.hits,_xlfn._xlws.FILTER(_xlpm.name,ISNUMBER(SEARCH(_xlpm.key,_xlpm.corp))),
IFERROR(INDEX(_xlpm.hits,1),_xlpm.corp))</f>
        <v>岡部</v>
      </c>
      <c r="P728" t="str">
        <f t="shared" si="49"/>
        <v>2026-01-06</v>
      </c>
      <c r="Q728" t="str">
        <f t="shared" si="39"/>
        <v>岡部</v>
      </c>
      <c r="R728" t="str">
        <f t="shared" si="50"/>
        <v>ベビーリーフ レッドオーク</v>
      </c>
      <c r="S728">
        <f t="shared" si="51"/>
        <v>660</v>
      </c>
    </row>
    <row r="729" spans="1:19">
      <c r="A729" s="13">
        <v>71017</v>
      </c>
      <c r="B729" s="14" t="s">
        <v>23</v>
      </c>
      <c r="C729" s="15">
        <v>46028</v>
      </c>
      <c r="D729" s="16" t="s">
        <v>72</v>
      </c>
      <c r="E729" s="16" t="s">
        <v>11</v>
      </c>
      <c r="F729" s="17">
        <v>660</v>
      </c>
      <c r="G729" s="18" t="s">
        <v>24</v>
      </c>
      <c r="H729" s="9">
        <v>46028</v>
      </c>
      <c r="I729" s="10" t="s">
        <v>27</v>
      </c>
      <c r="J729" s="10" t="s">
        <v>3</v>
      </c>
      <c r="K729" s="11">
        <v>100</v>
      </c>
      <c r="O729" t="str" cm="1">
        <f t="array" ref="O729">_xlfn.LET(
_xlpm.corp,$I729,_xlpm.key,$M$2:$M$200,_xlpm.name,$N$2:$N$200,_xlpm.hits,_xlfn._xlws.FILTER(_xlpm.name,ISNUMBER(SEARCH(_xlpm.key,_xlpm.corp))),
IFERROR(INDEX(_xlpm.hits,1),_xlpm.corp))</f>
        <v>東レ</v>
      </c>
      <c r="P729" t="str">
        <f t="shared" si="49"/>
        <v>2026-01-06</v>
      </c>
      <c r="Q729" t="str">
        <f t="shared" si="39"/>
        <v>東レ/加工BL</v>
      </c>
      <c r="R729" t="str">
        <f t="shared" si="50"/>
        <v>加工BL</v>
      </c>
      <c r="S729">
        <f t="shared" si="51"/>
        <v>100</v>
      </c>
    </row>
    <row r="730" spans="1:19">
      <c r="A730" s="7">
        <v>71016</v>
      </c>
      <c r="B730" s="8" t="s">
        <v>23</v>
      </c>
      <c r="C730" s="9">
        <v>46028</v>
      </c>
      <c r="D730" s="10" t="s">
        <v>27</v>
      </c>
      <c r="E730" s="10" t="s">
        <v>3</v>
      </c>
      <c r="F730" s="11">
        <v>100</v>
      </c>
      <c r="G730" s="12" t="s">
        <v>24</v>
      </c>
      <c r="H730" s="15">
        <v>46028</v>
      </c>
      <c r="I730" s="16" t="s">
        <v>27</v>
      </c>
      <c r="J730" s="16" t="s">
        <v>9</v>
      </c>
      <c r="K730" s="17">
        <v>660</v>
      </c>
      <c r="O730" t="str" cm="1">
        <f t="array" ref="O730">_xlfn.LET(
_xlpm.corp,$I730,_xlpm.key,$M$2:$M$200,_xlpm.name,$N$2:$N$200,_xlpm.hits,_xlfn._xlws.FILTER(_xlpm.name,ISNUMBER(SEARCH(_xlpm.key,_xlpm.corp))),
IFERROR(INDEX(_xlpm.hits,1),_xlpm.corp))</f>
        <v>東レ</v>
      </c>
      <c r="P730" t="str">
        <f t="shared" si="49"/>
        <v>2026-01-06</v>
      </c>
      <c r="Q730" t="str">
        <f t="shared" si="39"/>
        <v>東レ</v>
      </c>
      <c r="R730" t="str">
        <f t="shared" si="50"/>
        <v>ベビーリーフ ロロロッサ</v>
      </c>
      <c r="S730">
        <f t="shared" si="51"/>
        <v>660</v>
      </c>
    </row>
    <row r="731" spans="1:19">
      <c r="A731" s="13">
        <v>71015</v>
      </c>
      <c r="B731" s="14" t="s">
        <v>23</v>
      </c>
      <c r="C731" s="15">
        <v>46028</v>
      </c>
      <c r="D731" s="16" t="s">
        <v>27</v>
      </c>
      <c r="E731" s="16" t="s">
        <v>9</v>
      </c>
      <c r="F731" s="17">
        <v>660</v>
      </c>
      <c r="G731" s="18" t="s">
        <v>24</v>
      </c>
      <c r="H731" s="9">
        <v>46028</v>
      </c>
      <c r="I731" s="10" t="s">
        <v>27</v>
      </c>
      <c r="J731" s="10" t="s">
        <v>62</v>
      </c>
      <c r="K731" s="11">
        <v>500</v>
      </c>
      <c r="O731" t="str" cm="1">
        <f t="array" ref="O731">_xlfn.LET(
_xlpm.corp,$I731,_xlpm.key,$M$2:$M$200,_xlpm.name,$N$2:$N$200,_xlpm.hits,_xlfn._xlws.FILTER(_xlpm.name,ISNUMBER(SEARCH(_xlpm.key,_xlpm.corp))),
IFERROR(INDEX(_xlpm.hits,1),_xlpm.corp))</f>
        <v>東レ</v>
      </c>
      <c r="P731" t="str">
        <f t="shared" si="49"/>
        <v>2026-01-06</v>
      </c>
      <c r="Q731" t="str">
        <f t="shared" si="39"/>
        <v>東レ</v>
      </c>
      <c r="R731" t="str">
        <f t="shared" si="50"/>
        <v>ベビーリーフ ロログリーン</v>
      </c>
      <c r="S731">
        <f t="shared" si="51"/>
        <v>500</v>
      </c>
    </row>
    <row r="732" spans="1:19">
      <c r="A732" s="7">
        <v>71014</v>
      </c>
      <c r="B732" s="8" t="s">
        <v>23</v>
      </c>
      <c r="C732" s="9">
        <v>46028</v>
      </c>
      <c r="D732" s="10" t="s">
        <v>27</v>
      </c>
      <c r="E732" s="10" t="s">
        <v>62</v>
      </c>
      <c r="F732" s="11">
        <v>500</v>
      </c>
      <c r="G732" s="12" t="s">
        <v>24</v>
      </c>
      <c r="H732" s="15">
        <v>46028</v>
      </c>
      <c r="I732" s="16" t="s">
        <v>72</v>
      </c>
      <c r="J732" s="16" t="s">
        <v>11</v>
      </c>
      <c r="K732" s="17">
        <v>780</v>
      </c>
      <c r="O732" t="str" cm="1">
        <f t="array" ref="O732">_xlfn.LET(
_xlpm.corp,$I732,_xlpm.key,$M$2:$M$200,_xlpm.name,$N$2:$N$200,_xlpm.hits,_xlfn._xlws.FILTER(_xlpm.name,ISNUMBER(SEARCH(_xlpm.key,_xlpm.corp))),
IFERROR(INDEX(_xlpm.hits,1),_xlpm.corp))</f>
        <v>岡部</v>
      </c>
      <c r="P732" t="str">
        <f t="shared" si="49"/>
        <v>2026-01-06</v>
      </c>
      <c r="Q732" t="str">
        <f t="shared" si="39"/>
        <v>岡部</v>
      </c>
      <c r="R732" t="str">
        <f t="shared" si="50"/>
        <v>ベビーリーフ レッドオーク</v>
      </c>
      <c r="S732">
        <f t="shared" si="51"/>
        <v>780</v>
      </c>
    </row>
    <row r="733" spans="1:19">
      <c r="A733" s="13">
        <v>71013</v>
      </c>
      <c r="B733" s="14" t="s">
        <v>23</v>
      </c>
      <c r="C733" s="15">
        <v>46028</v>
      </c>
      <c r="D733" s="16" t="s">
        <v>72</v>
      </c>
      <c r="E733" s="16" t="s">
        <v>11</v>
      </c>
      <c r="F733" s="17">
        <v>780</v>
      </c>
      <c r="G733" s="18" t="s">
        <v>24</v>
      </c>
      <c r="H733" s="9">
        <v>46028</v>
      </c>
      <c r="I733" s="10" t="s">
        <v>67</v>
      </c>
      <c r="J733" s="10" t="s">
        <v>2</v>
      </c>
      <c r="K733" s="11">
        <v>300</v>
      </c>
      <c r="O733" t="str" cm="1">
        <f t="array" ref="O733">_xlfn.LET(
_xlpm.corp,$I733,_xlpm.key,$M$2:$M$200,_xlpm.name,$N$2:$N$200,_xlpm.hits,_xlfn._xlws.FILTER(_xlpm.name,ISNUMBER(SEARCH(_xlpm.key,_xlpm.corp))),
IFERROR(INDEX(_xlpm.hits,1),_xlpm.corp))</f>
        <v>日本ロレアル</v>
      </c>
      <c r="P733" t="str">
        <f t="shared" si="49"/>
        <v>2026-01-06</v>
      </c>
      <c r="Q733" t="str">
        <f t="shared" si="39"/>
        <v>日本ロレアル</v>
      </c>
      <c r="R733" t="str">
        <f t="shared" si="50"/>
        <v>ベビーリーフ グリーンオーク</v>
      </c>
      <c r="S733">
        <f t="shared" si="51"/>
        <v>300</v>
      </c>
    </row>
    <row r="734" spans="1:19">
      <c r="A734" s="7">
        <v>71012</v>
      </c>
      <c r="B734" s="8" t="s">
        <v>23</v>
      </c>
      <c r="C734" s="9">
        <v>46028</v>
      </c>
      <c r="D734" s="10" t="s">
        <v>67</v>
      </c>
      <c r="E734" s="10" t="s">
        <v>2</v>
      </c>
      <c r="F734" s="11">
        <v>300</v>
      </c>
      <c r="G734" s="12" t="s">
        <v>24</v>
      </c>
      <c r="H734" s="15">
        <v>46028</v>
      </c>
      <c r="I734" s="16" t="s">
        <v>66</v>
      </c>
      <c r="J734" s="16" t="s">
        <v>11</v>
      </c>
      <c r="K734" s="19">
        <v>1100</v>
      </c>
      <c r="O734" t="str" cm="1">
        <f t="array" ref="O734">_xlfn.LET(
_xlpm.corp,$I734,_xlpm.key,$M$2:$M$200,_xlpm.name,$N$2:$N$200,_xlpm.hits,_xlfn._xlws.FILTER(_xlpm.name,ISNUMBER(SEARCH(_xlpm.key,_xlpm.corp))),
IFERROR(INDEX(_xlpm.hits,1),_xlpm.corp))</f>
        <v>ケイアイ</v>
      </c>
      <c r="P734" t="str">
        <f t="shared" si="49"/>
        <v>2026-01-06</v>
      </c>
      <c r="Q734" t="str">
        <f t="shared" si="39"/>
        <v>ケイアイ</v>
      </c>
      <c r="R734" t="str">
        <f t="shared" si="50"/>
        <v>ベビーリーフ レッドオーク</v>
      </c>
      <c r="S734">
        <f t="shared" si="51"/>
        <v>1100</v>
      </c>
    </row>
    <row r="735" spans="1:19">
      <c r="A735" s="13">
        <v>71011</v>
      </c>
      <c r="B735" s="14" t="s">
        <v>23</v>
      </c>
      <c r="C735" s="15">
        <v>46028</v>
      </c>
      <c r="D735" s="16" t="s">
        <v>66</v>
      </c>
      <c r="E735" s="16" t="s">
        <v>11</v>
      </c>
      <c r="F735" s="19">
        <v>1100</v>
      </c>
      <c r="G735" s="18" t="s">
        <v>24</v>
      </c>
      <c r="H735" s="9">
        <v>46028</v>
      </c>
      <c r="I735" s="10" t="s">
        <v>28</v>
      </c>
      <c r="J735" s="10" t="s">
        <v>2</v>
      </c>
      <c r="K735" s="11">
        <v>580</v>
      </c>
      <c r="O735" t="str" cm="1">
        <f t="array" ref="O735">_xlfn.LET(
_xlpm.corp,$I735,_xlpm.key,$M$2:$M$200,_xlpm.name,$N$2:$N$200,_xlpm.hits,_xlfn._xlws.FILTER(_xlpm.name,ISNUMBER(SEARCH(_xlpm.key,_xlpm.corp))),
IFERROR(INDEX(_xlpm.hits,1),_xlpm.corp))</f>
        <v>牧野フライス</v>
      </c>
      <c r="P735" t="str">
        <f t="shared" si="49"/>
        <v>2026-01-06</v>
      </c>
      <c r="Q735" t="str">
        <f t="shared" si="39"/>
        <v>牧野フライス</v>
      </c>
      <c r="R735" t="str">
        <f t="shared" si="50"/>
        <v>ベビーリーフ グリーンオーク</v>
      </c>
      <c r="S735">
        <f t="shared" si="51"/>
        <v>580</v>
      </c>
    </row>
    <row r="736" spans="1:19">
      <c r="A736" s="7">
        <v>71010</v>
      </c>
      <c r="B736" s="8" t="s">
        <v>23</v>
      </c>
      <c r="C736" s="9">
        <v>46028</v>
      </c>
      <c r="D736" s="10" t="s">
        <v>28</v>
      </c>
      <c r="E736" s="10" t="s">
        <v>2</v>
      </c>
      <c r="F736" s="11">
        <v>580</v>
      </c>
      <c r="G736" s="12" t="s">
        <v>24</v>
      </c>
      <c r="H736" s="15">
        <v>46027</v>
      </c>
      <c r="I736" s="16" t="s">
        <v>63</v>
      </c>
      <c r="J736" s="16" t="s">
        <v>62</v>
      </c>
      <c r="K736" s="17">
        <v>360</v>
      </c>
      <c r="O736" t="str" cm="1">
        <f t="array" ref="O736">_xlfn.LET(
_xlpm.corp,$I736,_xlpm.key,$M$2:$M$200,_xlpm.name,$N$2:$N$200,_xlpm.hits,_xlfn._xlws.FILTER(_xlpm.name,ISNUMBER(SEARCH(_xlpm.key,_xlpm.corp))),
IFERROR(INDEX(_xlpm.hits,1),_xlpm.corp))</f>
        <v>富士機材</v>
      </c>
      <c r="P736" t="str">
        <f t="shared" si="49"/>
        <v>2026-01-05</v>
      </c>
      <c r="Q736" t="str">
        <f t="shared" si="39"/>
        <v>富士機材</v>
      </c>
      <c r="R736" t="str">
        <f t="shared" si="50"/>
        <v>ベビーリーフ ロログリーン</v>
      </c>
      <c r="S736">
        <f t="shared" si="51"/>
        <v>360</v>
      </c>
    </row>
    <row r="737" spans="1:19">
      <c r="A737" s="13">
        <v>70858</v>
      </c>
      <c r="B737" s="14" t="s">
        <v>23</v>
      </c>
      <c r="C737" s="15">
        <v>46027</v>
      </c>
      <c r="D737" s="16" t="s">
        <v>63</v>
      </c>
      <c r="E737" s="16" t="s">
        <v>62</v>
      </c>
      <c r="F737" s="17">
        <v>360</v>
      </c>
      <c r="G737" s="18" t="s">
        <v>24</v>
      </c>
      <c r="H737" s="9">
        <v>46027</v>
      </c>
      <c r="I737" s="10" t="s">
        <v>56</v>
      </c>
      <c r="J737" s="10" t="s">
        <v>3</v>
      </c>
      <c r="K737" s="11">
        <v>40</v>
      </c>
      <c r="O737" t="str" cm="1">
        <f t="array" ref="O737">_xlfn.LET(
_xlpm.corp,$I737,_xlpm.key,$M$2:$M$200,_xlpm.name,$N$2:$N$200,_xlpm.hits,_xlfn._xlws.FILTER(_xlpm.name,ISNUMBER(SEARCH(_xlpm.key,_xlpm.corp))),
IFERROR(INDEX(_xlpm.hits,1),_xlpm.corp))</f>
        <v>サンセイランディック</v>
      </c>
      <c r="P737" t="str">
        <f t="shared" si="49"/>
        <v>2026-01-05</v>
      </c>
      <c r="Q737" t="str">
        <f t="shared" si="39"/>
        <v>サンセイランディック/加工BL</v>
      </c>
      <c r="R737" t="str">
        <f t="shared" si="50"/>
        <v>加工BL</v>
      </c>
      <c r="S737">
        <f t="shared" si="51"/>
        <v>40</v>
      </c>
    </row>
    <row r="738" spans="1:19">
      <c r="A738" s="7">
        <v>70857</v>
      </c>
      <c r="B738" s="8" t="s">
        <v>23</v>
      </c>
      <c r="C738" s="9">
        <v>46027</v>
      </c>
      <c r="D738" s="10" t="s">
        <v>56</v>
      </c>
      <c r="E738" s="10" t="s">
        <v>3</v>
      </c>
      <c r="F738" s="11">
        <v>40</v>
      </c>
      <c r="G738" s="12" t="s">
        <v>24</v>
      </c>
      <c r="H738" s="15">
        <v>46027</v>
      </c>
      <c r="I738" s="16" t="s">
        <v>56</v>
      </c>
      <c r="J738" s="16" t="s">
        <v>2</v>
      </c>
      <c r="K738" s="17">
        <v>240</v>
      </c>
      <c r="O738" t="str" cm="1">
        <f t="array" ref="O738">_xlfn.LET(
_xlpm.corp,$I738,_xlpm.key,$M$2:$M$200,_xlpm.name,$N$2:$N$200,_xlpm.hits,_xlfn._xlws.FILTER(_xlpm.name,ISNUMBER(SEARCH(_xlpm.key,_xlpm.corp))),
IFERROR(INDEX(_xlpm.hits,1),_xlpm.corp))</f>
        <v>サンセイランディック</v>
      </c>
      <c r="P738" t="str">
        <f t="shared" si="49"/>
        <v>2026-01-05</v>
      </c>
      <c r="Q738" t="str">
        <f t="shared" si="39"/>
        <v>サンセイランディック</v>
      </c>
      <c r="R738" t="str">
        <f t="shared" si="50"/>
        <v>ベビーリーフ グリーンオーク</v>
      </c>
      <c r="S738">
        <f t="shared" si="51"/>
        <v>240</v>
      </c>
    </row>
    <row r="739" spans="1:19">
      <c r="A739" s="13">
        <v>70856</v>
      </c>
      <c r="B739" s="14" t="s">
        <v>23</v>
      </c>
      <c r="C739" s="15">
        <v>46027</v>
      </c>
      <c r="D739" s="16" t="s">
        <v>56</v>
      </c>
      <c r="E739" s="16" t="s">
        <v>2</v>
      </c>
      <c r="F739" s="17">
        <v>240</v>
      </c>
      <c r="G739" s="18" t="s">
        <v>24</v>
      </c>
      <c r="H739" s="9">
        <v>46027</v>
      </c>
      <c r="I739" s="10" t="s">
        <v>26</v>
      </c>
      <c r="J739" s="10" t="s">
        <v>3</v>
      </c>
      <c r="K739" s="11">
        <v>20</v>
      </c>
      <c r="O739" t="str" cm="1">
        <f t="array" ref="O739">_xlfn.LET(
_xlpm.corp,$I739,_xlpm.key,$M$2:$M$200,_xlpm.name,$N$2:$N$200,_xlpm.hits,_xlfn._xlws.FILTER(_xlpm.name,ISNUMBER(SEARCH(_xlpm.key,_xlpm.corp))),
IFERROR(INDEX(_xlpm.hits,1),_xlpm.corp))</f>
        <v>日建</v>
      </c>
      <c r="P739" t="str">
        <f t="shared" si="49"/>
        <v>2026-01-05</v>
      </c>
      <c r="Q739" t="str">
        <f t="shared" si="39"/>
        <v>日建/加工BL</v>
      </c>
      <c r="R739" t="str">
        <f t="shared" si="50"/>
        <v>加工BL</v>
      </c>
      <c r="S739">
        <f t="shared" si="51"/>
        <v>20</v>
      </c>
    </row>
    <row r="740" spans="1:19">
      <c r="A740" s="7">
        <v>70855</v>
      </c>
      <c r="B740" s="8" t="s">
        <v>23</v>
      </c>
      <c r="C740" s="9">
        <v>46027</v>
      </c>
      <c r="D740" s="10" t="s">
        <v>26</v>
      </c>
      <c r="E740" s="10" t="s">
        <v>3</v>
      </c>
      <c r="F740" s="11">
        <v>20</v>
      </c>
      <c r="G740" s="12" t="s">
        <v>24</v>
      </c>
      <c r="H740" s="15">
        <v>46027</v>
      </c>
      <c r="I740" s="16" t="s">
        <v>67</v>
      </c>
      <c r="J740" s="16" t="s">
        <v>4</v>
      </c>
      <c r="K740" s="17">
        <v>80</v>
      </c>
      <c r="O740" t="str" cm="1">
        <f t="array" ref="O740">_xlfn.LET(
_xlpm.corp,$I740,_xlpm.key,$M$2:$M$200,_xlpm.name,$N$2:$N$200,_xlpm.hits,_xlfn._xlws.FILTER(_xlpm.name,ISNUMBER(SEARCH(_xlpm.key,_xlpm.corp))),
IFERROR(INDEX(_xlpm.hits,1),_xlpm.corp))</f>
        <v>日本ロレアル</v>
      </c>
      <c r="P740" t="str">
        <f t="shared" si="49"/>
        <v>2026-01-05</v>
      </c>
      <c r="Q740" t="str">
        <f t="shared" si="39"/>
        <v>日本ロレアル</v>
      </c>
      <c r="R740" t="str">
        <f t="shared" si="50"/>
        <v>ベビーリーフ ピノグリーン</v>
      </c>
      <c r="S740">
        <f t="shared" si="51"/>
        <v>80</v>
      </c>
    </row>
    <row r="741" spans="1:19">
      <c r="A741" s="13">
        <v>70854</v>
      </c>
      <c r="B741" s="14" t="s">
        <v>23</v>
      </c>
      <c r="C741" s="15">
        <v>46027</v>
      </c>
      <c r="D741" s="16" t="s">
        <v>67</v>
      </c>
      <c r="E741" s="16" t="s">
        <v>4</v>
      </c>
      <c r="F741" s="17">
        <v>80</v>
      </c>
      <c r="G741" s="18" t="s">
        <v>24</v>
      </c>
      <c r="H741" s="9">
        <v>46027</v>
      </c>
      <c r="I741" s="10" t="s">
        <v>26</v>
      </c>
      <c r="J741" s="10" t="s">
        <v>3</v>
      </c>
      <c r="K741" s="11">
        <v>420</v>
      </c>
      <c r="O741" t="str" cm="1">
        <f t="array" ref="O741">_xlfn.LET(
_xlpm.corp,$I741,_xlpm.key,$M$2:$M$200,_xlpm.name,$N$2:$N$200,_xlpm.hits,_xlfn._xlws.FILTER(_xlpm.name,ISNUMBER(SEARCH(_xlpm.key,_xlpm.corp))),
IFERROR(INDEX(_xlpm.hits,1),_xlpm.corp))</f>
        <v>日建</v>
      </c>
      <c r="P741" t="str">
        <f t="shared" si="49"/>
        <v>2026-01-05</v>
      </c>
      <c r="Q741" t="str">
        <f t="shared" si="39"/>
        <v>日建/加工BL</v>
      </c>
      <c r="R741" t="str">
        <f t="shared" si="50"/>
        <v>加工BL</v>
      </c>
      <c r="S741">
        <f t="shared" si="51"/>
        <v>420</v>
      </c>
    </row>
    <row r="742" spans="1:19">
      <c r="A742" s="7">
        <v>70853</v>
      </c>
      <c r="B742" s="8" t="s">
        <v>23</v>
      </c>
      <c r="C742" s="9">
        <v>46027</v>
      </c>
      <c r="D742" s="10" t="s">
        <v>26</v>
      </c>
      <c r="E742" s="10" t="s">
        <v>3</v>
      </c>
      <c r="F742" s="11">
        <v>420</v>
      </c>
      <c r="G742" s="12" t="s">
        <v>24</v>
      </c>
      <c r="H742" s="15">
        <v>46027</v>
      </c>
      <c r="I742" s="16" t="s">
        <v>69</v>
      </c>
      <c r="J742" s="16" t="s">
        <v>9</v>
      </c>
      <c r="K742" s="19">
        <v>1080</v>
      </c>
      <c r="O742" t="str" cm="1">
        <f t="array" ref="O742">_xlfn.LET(
_xlpm.corp,$I742,_xlpm.key,$M$2:$M$200,_xlpm.name,$N$2:$N$200,_xlpm.hits,_xlfn._xlws.FILTER(_xlpm.name,ISNUMBER(SEARCH(_xlpm.key,_xlpm.corp))),
IFERROR(INDEX(_xlpm.hits,1),_xlpm.corp))</f>
        <v>バリュエンス</v>
      </c>
      <c r="P742" t="str">
        <f t="shared" si="49"/>
        <v>2026-01-05</v>
      </c>
      <c r="Q742" t="str">
        <f t="shared" si="39"/>
        <v>バリュエンス</v>
      </c>
      <c r="R742" t="str">
        <f t="shared" si="50"/>
        <v>ベビーリーフ ロロロッサ</v>
      </c>
      <c r="S742">
        <f t="shared" si="51"/>
        <v>1080</v>
      </c>
    </row>
    <row r="743" spans="1:19">
      <c r="A743" s="13">
        <v>70852</v>
      </c>
      <c r="B743" s="14" t="s">
        <v>23</v>
      </c>
      <c r="C743" s="15">
        <v>46027</v>
      </c>
      <c r="D743" s="16" t="s">
        <v>69</v>
      </c>
      <c r="E743" s="16" t="s">
        <v>9</v>
      </c>
      <c r="F743" s="19">
        <v>1080</v>
      </c>
      <c r="G743" s="18" t="s">
        <v>24</v>
      </c>
      <c r="H743" s="9">
        <v>46027</v>
      </c>
      <c r="I743" s="10" t="s">
        <v>69</v>
      </c>
      <c r="J743" s="10" t="s">
        <v>2</v>
      </c>
      <c r="K743" s="11">
        <v>420</v>
      </c>
      <c r="O743" t="str" cm="1">
        <f t="array" ref="O743">_xlfn.LET(
_xlpm.corp,$I743,_xlpm.key,$M$2:$M$200,_xlpm.name,$N$2:$N$200,_xlpm.hits,_xlfn._xlws.FILTER(_xlpm.name,ISNUMBER(SEARCH(_xlpm.key,_xlpm.corp))),
IFERROR(INDEX(_xlpm.hits,1),_xlpm.corp))</f>
        <v>バリュエンス</v>
      </c>
      <c r="P743" t="str">
        <f t="shared" si="49"/>
        <v>2026-01-05</v>
      </c>
      <c r="Q743" t="str">
        <f t="shared" si="39"/>
        <v>バリュエンス</v>
      </c>
      <c r="R743" t="str">
        <f t="shared" si="50"/>
        <v>ベビーリーフ グリーンオーク</v>
      </c>
      <c r="S743">
        <f t="shared" si="51"/>
        <v>420</v>
      </c>
    </row>
    <row r="744" spans="1:19">
      <c r="A744" s="7">
        <v>70851</v>
      </c>
      <c r="B744" s="8" t="s">
        <v>23</v>
      </c>
      <c r="C744" s="9">
        <v>46027</v>
      </c>
      <c r="D744" s="10" t="s">
        <v>69</v>
      </c>
      <c r="E744" s="10" t="s">
        <v>2</v>
      </c>
      <c r="F744" s="11">
        <v>420</v>
      </c>
      <c r="G744" s="12" t="s">
        <v>24</v>
      </c>
      <c r="H744" s="15">
        <v>46027</v>
      </c>
      <c r="I744" s="16" t="s">
        <v>65</v>
      </c>
      <c r="J744" s="16" t="s">
        <v>2</v>
      </c>
      <c r="K744" s="17">
        <v>380</v>
      </c>
      <c r="O744" t="str" cm="1">
        <f t="array" ref="O744">_xlfn.LET(
_xlpm.corp,$I744,_xlpm.key,$M$2:$M$200,_xlpm.name,$N$2:$N$200,_xlpm.hits,_xlfn._xlws.FILTER(_xlpm.name,ISNUMBER(SEARCH(_xlpm.key,_xlpm.corp))),
IFERROR(INDEX(_xlpm.hits,1),_xlpm.corp))</f>
        <v>マルテー</v>
      </c>
      <c r="P744" t="str">
        <f t="shared" si="49"/>
        <v>2026-01-05</v>
      </c>
      <c r="Q744" t="str">
        <f t="shared" si="39"/>
        <v>マルテー</v>
      </c>
      <c r="R744" t="str">
        <f t="shared" si="50"/>
        <v>ベビーリーフ グリーンオーク</v>
      </c>
      <c r="S744">
        <f t="shared" si="51"/>
        <v>380</v>
      </c>
    </row>
    <row r="745" spans="1:19">
      <c r="A745" s="13">
        <v>70850</v>
      </c>
      <c r="B745" s="14" t="s">
        <v>23</v>
      </c>
      <c r="C745" s="15">
        <v>46027</v>
      </c>
      <c r="D745" s="16" t="s">
        <v>65</v>
      </c>
      <c r="E745" s="16" t="s">
        <v>2</v>
      </c>
      <c r="F745" s="17">
        <v>380</v>
      </c>
      <c r="G745" s="18" t="s">
        <v>24</v>
      </c>
      <c r="H745" s="9">
        <v>46027</v>
      </c>
      <c r="I745" s="10" t="s">
        <v>65</v>
      </c>
      <c r="J745" s="10" t="s">
        <v>2</v>
      </c>
      <c r="K745" s="20">
        <v>1200</v>
      </c>
      <c r="O745" t="str" cm="1">
        <f t="array" ref="O745">_xlfn.LET(
_xlpm.corp,$I745,_xlpm.key,$M$2:$M$200,_xlpm.name,$N$2:$N$200,_xlpm.hits,_xlfn._xlws.FILTER(_xlpm.name,ISNUMBER(SEARCH(_xlpm.key,_xlpm.corp))),
IFERROR(INDEX(_xlpm.hits,1),_xlpm.corp))</f>
        <v>マルテー</v>
      </c>
      <c r="P745" t="str">
        <f t="shared" si="49"/>
        <v>2026-01-05</v>
      </c>
      <c r="Q745" t="str">
        <f t="shared" si="39"/>
        <v>マルテー</v>
      </c>
      <c r="R745" t="str">
        <f t="shared" si="50"/>
        <v>ベビーリーフ グリーンオーク</v>
      </c>
      <c r="S745">
        <f t="shared" si="51"/>
        <v>1200</v>
      </c>
    </row>
    <row r="746" spans="1:19">
      <c r="A746" s="7">
        <v>70849</v>
      </c>
      <c r="B746" s="8" t="s">
        <v>23</v>
      </c>
      <c r="C746" s="9">
        <v>46027</v>
      </c>
      <c r="D746" s="10" t="s">
        <v>65</v>
      </c>
      <c r="E746" s="10" t="s">
        <v>2</v>
      </c>
      <c r="F746" s="20">
        <v>1200</v>
      </c>
      <c r="G746" s="12" t="s">
        <v>24</v>
      </c>
      <c r="H746" s="15">
        <v>46027</v>
      </c>
      <c r="I746" s="16" t="s">
        <v>59</v>
      </c>
      <c r="J746" s="16" t="s">
        <v>2</v>
      </c>
      <c r="K746" s="17">
        <v>460</v>
      </c>
      <c r="O746" t="str" cm="1">
        <f t="array" ref="O746">_xlfn.LET(
_xlpm.corp,$I746,_xlpm.key,$M$2:$M$200,_xlpm.name,$N$2:$N$200,_xlpm.hits,_xlfn._xlws.FILTER(_xlpm.name,ISNUMBER(SEARCH(_xlpm.key,_xlpm.corp))),
IFERROR(INDEX(_xlpm.hits,1),_xlpm.corp))</f>
        <v>三和</v>
      </c>
      <c r="P746" t="str">
        <f t="shared" si="49"/>
        <v>2026-01-05</v>
      </c>
      <c r="Q746" t="str">
        <f t="shared" si="39"/>
        <v>三和</v>
      </c>
      <c r="R746" t="str">
        <f t="shared" si="50"/>
        <v>ベビーリーフ グリーンオーク</v>
      </c>
      <c r="S746">
        <f t="shared" si="51"/>
        <v>460</v>
      </c>
    </row>
    <row r="747" spans="1:19">
      <c r="A747" s="13">
        <v>70848</v>
      </c>
      <c r="B747" s="14" t="s">
        <v>23</v>
      </c>
      <c r="C747" s="15">
        <v>46027</v>
      </c>
      <c r="D747" s="16" t="s">
        <v>59</v>
      </c>
      <c r="E747" s="16" t="s">
        <v>2</v>
      </c>
      <c r="F747" s="17">
        <v>460</v>
      </c>
      <c r="G747" s="18" t="s">
        <v>24</v>
      </c>
      <c r="H747" s="9">
        <v>46027</v>
      </c>
      <c r="I747" s="10" t="s">
        <v>59</v>
      </c>
      <c r="J747" s="10" t="s">
        <v>2</v>
      </c>
      <c r="K747" s="11">
        <v>480</v>
      </c>
      <c r="O747" t="str" cm="1">
        <f t="array" ref="O747">_xlfn.LET(
_xlpm.corp,$I747,_xlpm.key,$M$2:$M$200,_xlpm.name,$N$2:$N$200,_xlpm.hits,_xlfn._xlws.FILTER(_xlpm.name,ISNUMBER(SEARCH(_xlpm.key,_xlpm.corp))),
IFERROR(INDEX(_xlpm.hits,1),_xlpm.corp))</f>
        <v>三和</v>
      </c>
      <c r="P747" t="str">
        <f t="shared" si="49"/>
        <v>2026-01-05</v>
      </c>
      <c r="Q747" t="str">
        <f t="shared" si="39"/>
        <v>三和</v>
      </c>
      <c r="R747" t="str">
        <f t="shared" si="50"/>
        <v>ベビーリーフ グリーンオーク</v>
      </c>
      <c r="S747">
        <f t="shared" si="51"/>
        <v>480</v>
      </c>
    </row>
    <row r="748" spans="1:19">
      <c r="A748" s="7">
        <v>70847</v>
      </c>
      <c r="B748" s="8" t="s">
        <v>23</v>
      </c>
      <c r="C748" s="9">
        <v>46027</v>
      </c>
      <c r="D748" s="10" t="s">
        <v>59</v>
      </c>
      <c r="E748" s="10" t="s">
        <v>2</v>
      </c>
      <c r="F748" s="11">
        <v>480</v>
      </c>
      <c r="G748" s="12" t="s">
        <v>24</v>
      </c>
      <c r="H748" s="15">
        <v>46027</v>
      </c>
      <c r="I748" s="16" t="s">
        <v>59</v>
      </c>
      <c r="J748" s="16" t="s">
        <v>2</v>
      </c>
      <c r="K748" s="17">
        <v>740</v>
      </c>
      <c r="O748" t="str" cm="1">
        <f t="array" ref="O748">_xlfn.LET(
_xlpm.corp,$I748,_xlpm.key,$M$2:$M$200,_xlpm.name,$N$2:$N$200,_xlpm.hits,_xlfn._xlws.FILTER(_xlpm.name,ISNUMBER(SEARCH(_xlpm.key,_xlpm.corp))),
IFERROR(INDEX(_xlpm.hits,1),_xlpm.corp))</f>
        <v>三和</v>
      </c>
      <c r="P748" t="str">
        <f t="shared" si="49"/>
        <v>2026-01-05</v>
      </c>
      <c r="Q748" t="str">
        <f t="shared" si="39"/>
        <v>三和</v>
      </c>
      <c r="R748" t="str">
        <f t="shared" si="50"/>
        <v>ベビーリーフ グリーンオーク</v>
      </c>
      <c r="S748">
        <f t="shared" si="51"/>
        <v>740</v>
      </c>
    </row>
    <row r="749" spans="1:19">
      <c r="A749" s="13">
        <v>70846</v>
      </c>
      <c r="B749" s="14" t="s">
        <v>23</v>
      </c>
      <c r="C749" s="15">
        <v>46027</v>
      </c>
      <c r="D749" s="16" t="s">
        <v>59</v>
      </c>
      <c r="E749" s="16" t="s">
        <v>2</v>
      </c>
      <c r="F749" s="17">
        <v>740</v>
      </c>
      <c r="G749" s="18" t="s">
        <v>24</v>
      </c>
      <c r="H749" s="9">
        <v>46027</v>
      </c>
      <c r="I749" s="10" t="s">
        <v>60</v>
      </c>
      <c r="J749" s="10" t="s">
        <v>4</v>
      </c>
      <c r="K749" s="20">
        <v>1180</v>
      </c>
      <c r="O749" t="str" cm="1">
        <f t="array" ref="O749">_xlfn.LET(
_xlpm.corp,$I749,_xlpm.key,$M$2:$M$200,_xlpm.name,$N$2:$N$200,_xlpm.hits,_xlfn._xlws.FILTER(_xlpm.name,ISNUMBER(SEARCH(_xlpm.key,_xlpm.corp))),
IFERROR(INDEX(_xlpm.hits,1),_xlpm.corp))</f>
        <v>サンテレホン</v>
      </c>
      <c r="P749" t="str">
        <f t="shared" si="49"/>
        <v>2026-01-05</v>
      </c>
      <c r="Q749" t="str">
        <f t="shared" si="39"/>
        <v>サンテレホン</v>
      </c>
      <c r="R749" t="str">
        <f t="shared" si="50"/>
        <v>ベビーリーフ ピノグリーン</v>
      </c>
      <c r="S749">
        <f t="shared" si="51"/>
        <v>1180</v>
      </c>
    </row>
    <row r="750" spans="1:19">
      <c r="A750" s="7">
        <v>70845</v>
      </c>
      <c r="B750" s="8" t="s">
        <v>23</v>
      </c>
      <c r="C750" s="9">
        <v>46027</v>
      </c>
      <c r="D750" s="10" t="s">
        <v>60</v>
      </c>
      <c r="E750" s="10" t="s">
        <v>4</v>
      </c>
      <c r="F750" s="20">
        <v>1180</v>
      </c>
      <c r="G750" s="12" t="s">
        <v>24</v>
      </c>
      <c r="H750" s="15">
        <v>46027</v>
      </c>
      <c r="I750" s="16" t="s">
        <v>72</v>
      </c>
      <c r="J750" s="16" t="s">
        <v>11</v>
      </c>
      <c r="K750" s="17">
        <v>940</v>
      </c>
      <c r="O750" t="str" cm="1">
        <f t="array" ref="O750">_xlfn.LET(
_xlpm.corp,$I750,_xlpm.key,$M$2:$M$200,_xlpm.name,$N$2:$N$200,_xlpm.hits,_xlfn._xlws.FILTER(_xlpm.name,ISNUMBER(SEARCH(_xlpm.key,_xlpm.corp))),
IFERROR(INDEX(_xlpm.hits,1),_xlpm.corp))</f>
        <v>岡部</v>
      </c>
      <c r="P750" t="str">
        <f t="shared" si="49"/>
        <v>2026-01-05</v>
      </c>
      <c r="Q750" t="str">
        <f t="shared" si="39"/>
        <v>岡部</v>
      </c>
      <c r="R750" t="str">
        <f t="shared" si="50"/>
        <v>ベビーリーフ レッドオーク</v>
      </c>
      <c r="S750">
        <f t="shared" si="51"/>
        <v>940</v>
      </c>
    </row>
    <row r="751" spans="1:19">
      <c r="A751" s="13">
        <v>70844</v>
      </c>
      <c r="B751" s="14" t="s">
        <v>23</v>
      </c>
      <c r="C751" s="15">
        <v>46027</v>
      </c>
      <c r="D751" s="16" t="s">
        <v>72</v>
      </c>
      <c r="E751" s="16" t="s">
        <v>11</v>
      </c>
      <c r="F751" s="17">
        <v>940</v>
      </c>
      <c r="G751" s="18" t="s">
        <v>24</v>
      </c>
      <c r="H751" s="9">
        <v>46027</v>
      </c>
      <c r="I751" s="10" t="s">
        <v>70</v>
      </c>
      <c r="J751" s="10" t="s">
        <v>4</v>
      </c>
      <c r="K751" s="11">
        <v>760</v>
      </c>
      <c r="O751" t="str" cm="1">
        <f t="array" ref="O751">_xlfn.LET(
_xlpm.corp,$I751,_xlpm.key,$M$2:$M$200,_xlpm.name,$N$2:$N$200,_xlpm.hits,_xlfn._xlws.FILTER(_xlpm.name,ISNUMBER(SEARCH(_xlpm.key,_xlpm.corp))),
IFERROR(INDEX(_xlpm.hits,1),_xlpm.corp))</f>
        <v>富士機械</v>
      </c>
      <c r="P751" t="str">
        <f t="shared" si="49"/>
        <v>2026-01-05</v>
      </c>
      <c r="Q751" t="str">
        <f t="shared" si="39"/>
        <v>富士機械</v>
      </c>
      <c r="R751" t="str">
        <f t="shared" si="50"/>
        <v>ベビーリーフ ピノグリーン</v>
      </c>
      <c r="S751">
        <f t="shared" si="51"/>
        <v>760</v>
      </c>
    </row>
    <row r="752" spans="1:19">
      <c r="A752" s="7">
        <v>70843</v>
      </c>
      <c r="B752" s="8" t="s">
        <v>23</v>
      </c>
      <c r="C752" s="9">
        <v>46027</v>
      </c>
      <c r="D752" s="10" t="s">
        <v>70</v>
      </c>
      <c r="E752" s="10" t="s">
        <v>4</v>
      </c>
      <c r="F752" s="11">
        <v>760</v>
      </c>
      <c r="G752" s="12" t="s">
        <v>24</v>
      </c>
      <c r="H752" s="15">
        <v>46027</v>
      </c>
      <c r="I752" s="16" t="s">
        <v>27</v>
      </c>
      <c r="J752" s="16" t="s">
        <v>2</v>
      </c>
      <c r="K752" s="19">
        <v>1060</v>
      </c>
      <c r="O752" t="str" cm="1">
        <f t="array" ref="O752">_xlfn.LET(
_xlpm.corp,$I752,_xlpm.key,$M$2:$M$200,_xlpm.name,$N$2:$N$200,_xlpm.hits,_xlfn._xlws.FILTER(_xlpm.name,ISNUMBER(SEARCH(_xlpm.key,_xlpm.corp))),
IFERROR(INDEX(_xlpm.hits,1),_xlpm.corp))</f>
        <v>東レ</v>
      </c>
      <c r="P752" t="str">
        <f t="shared" si="49"/>
        <v>2026-01-05</v>
      </c>
      <c r="Q752" t="str">
        <f t="shared" si="39"/>
        <v>東レ</v>
      </c>
      <c r="R752" t="str">
        <f t="shared" si="50"/>
        <v>ベビーリーフ グリーンオーク</v>
      </c>
      <c r="S752">
        <f t="shared" si="51"/>
        <v>1060</v>
      </c>
    </row>
    <row r="753" spans="1:19">
      <c r="A753" s="13">
        <v>70842</v>
      </c>
      <c r="B753" s="14" t="s">
        <v>23</v>
      </c>
      <c r="C753" s="15">
        <v>46027</v>
      </c>
      <c r="D753" s="16" t="s">
        <v>27</v>
      </c>
      <c r="E753" s="16" t="s">
        <v>2</v>
      </c>
      <c r="F753" s="19">
        <v>1060</v>
      </c>
      <c r="G753" s="18" t="s">
        <v>24</v>
      </c>
      <c r="H753" s="9">
        <v>46027</v>
      </c>
      <c r="I753" s="10" t="s">
        <v>58</v>
      </c>
      <c r="J753" s="10" t="s">
        <v>9</v>
      </c>
      <c r="K753" s="11">
        <v>800</v>
      </c>
      <c r="O753" t="str" cm="1">
        <f t="array" ref="O753">_xlfn.LET(
_xlpm.corp,$I753,_xlpm.key,$M$2:$M$200,_xlpm.name,$N$2:$N$200,_xlpm.hits,_xlfn._xlws.FILTER(_xlpm.name,ISNUMBER(SEARCH(_xlpm.key,_xlpm.corp))),
IFERROR(INDEX(_xlpm.hits,1),_xlpm.corp))</f>
        <v>慈誠会</v>
      </c>
      <c r="P753" t="str">
        <f>IFERROR(TEXT(DATEVALUE(SUBSTITUTE(SUBSTITUTE(H753,".","/"),"-","/")),"yyyy-mm-dd"),
TEXT(H753,"yyyy-mm-dd"))</f>
        <v>2026-01-05</v>
      </c>
      <c r="Q753" t="str">
        <f t="shared" si="39"/>
        <v>慈誠会</v>
      </c>
      <c r="R753" t="str">
        <f t="shared" si="50"/>
        <v>ベビーリーフ ロロロッサ</v>
      </c>
      <c r="S753">
        <f t="shared" si="51"/>
        <v>800</v>
      </c>
    </row>
    <row r="754" spans="1:19">
      <c r="A754" s="7">
        <v>70841</v>
      </c>
      <c r="B754" s="8" t="s">
        <v>23</v>
      </c>
      <c r="C754" s="9">
        <v>46027</v>
      </c>
      <c r="D754" s="10" t="s">
        <v>58</v>
      </c>
      <c r="E754" s="10" t="s">
        <v>9</v>
      </c>
      <c r="F754" s="11">
        <v>800</v>
      </c>
      <c r="G754" s="12" t="s">
        <v>24</v>
      </c>
      <c r="H754" s="15">
        <v>46027</v>
      </c>
      <c r="I754" s="16" t="s">
        <v>61</v>
      </c>
      <c r="J754" s="16" t="s">
        <v>62</v>
      </c>
      <c r="K754" s="17">
        <v>500</v>
      </c>
      <c r="O754" t="str" cm="1">
        <f t="array" ref="O754">_xlfn.LET(
_xlpm.corp,$I754,_xlpm.key,$M$2:$M$200,_xlpm.name,$N$2:$N$200,_xlpm.hits,_xlfn._xlws.FILTER(_xlpm.name,ISNUMBER(SEARCH(_xlpm.key,_xlpm.corp))),
IFERROR(INDEX(_xlpm.hits,1),_xlpm.corp))</f>
        <v>Adobe</v>
      </c>
      <c r="P754" t="str">
        <f t="shared" ref="P754:P805" si="52">IFERROR(TEXT(DATEVALUE(SUBSTITUTE(SUBSTITUTE(H754,".","/"),"-","/")),"yyyy-mm-dd"),
TEXT(H754,"yyyy-mm-dd"))</f>
        <v>2026-01-05</v>
      </c>
      <c r="Q754" t="str">
        <f t="shared" si="39"/>
        <v>Adobe</v>
      </c>
      <c r="R754" t="str">
        <f t="shared" ref="R754:R805" si="53">IF(
  AND(ISNUMBER(SEARCH("加工品",SUBSTITUTE(J754,"　"," "))),ISNUMBER(SEARCH("ベビーリーフ",SUBSTITUTE(J754,"　"," ")))),
  "加工BL",
  IF(LEFT(TRIM(SUBSTITUTE(J754,"　"," ")),5)="ベビーリーフ",
     "BL"&amp;TRIM(MID(TRIM(SUBSTITUTE(J754,"　"," ")),FIND(" ",TRIM(SUBSTITUTE(J754,"　"," "))&amp;" ")+1,255)),
     TRIM(SUBSTITUTE(J754,"　"," "))
  )
)</f>
        <v>ベビーリーフ ロログリーン</v>
      </c>
      <c r="S754">
        <f t="shared" ref="S754:S805" si="54">IF(K754="", "", --SUBSTITUTE(K754, ",", ""))</f>
        <v>500</v>
      </c>
    </row>
    <row r="755" spans="1:19">
      <c r="A755" s="13">
        <v>70840</v>
      </c>
      <c r="B755" s="14" t="s">
        <v>23</v>
      </c>
      <c r="C755" s="15">
        <v>46027</v>
      </c>
      <c r="D755" s="16" t="s">
        <v>61</v>
      </c>
      <c r="E755" s="16" t="s">
        <v>62</v>
      </c>
      <c r="F755" s="17">
        <v>500</v>
      </c>
      <c r="G755" s="18" t="s">
        <v>24</v>
      </c>
      <c r="H755" s="9">
        <v>46027</v>
      </c>
      <c r="I755" s="10" t="s">
        <v>61</v>
      </c>
      <c r="J755" s="10" t="s">
        <v>62</v>
      </c>
      <c r="K755" s="11">
        <v>540</v>
      </c>
      <c r="O755" t="str" cm="1">
        <f t="array" ref="O755">_xlfn.LET(
_xlpm.corp,$I755,_xlpm.key,$M$2:$M$200,_xlpm.name,$N$2:$N$200,_xlpm.hits,_xlfn._xlws.FILTER(_xlpm.name,ISNUMBER(SEARCH(_xlpm.key,_xlpm.corp))),
IFERROR(INDEX(_xlpm.hits,1),_xlpm.corp))</f>
        <v>Adobe</v>
      </c>
      <c r="P755" t="str">
        <f t="shared" si="52"/>
        <v>2026-01-05</v>
      </c>
      <c r="Q755" t="str">
        <f t="shared" ref="Q755:Q805" si="55">_xlfn.LET(
  _xlpm.corp, $O755,
  _xlpm.crop, $J755,
  _xlpm.suffix,
    IF(ISNUMBER(SEARCH("加工", _xlpm.crop)),      "/加工BL",
    IF(ISNUMBER(SEARCH("ミニトマト", _xlpm.crop)),"/ミニトマト",
    IF(ISNUMBER(SEARCH("イチゴ", _xlpm.crop)),    "/イチゴ",
    IF(ISNUMBER(SEARCH("ベビーリーフ",_xlpm.crop)),"",
       "/葉物野菜"
    )))),
  _xlpm.corp &amp; _xlpm.suffix
)</f>
        <v>Adobe</v>
      </c>
      <c r="R755" t="str">
        <f t="shared" si="53"/>
        <v>ベビーリーフ ロログリーン</v>
      </c>
      <c r="S755">
        <f t="shared" si="54"/>
        <v>540</v>
      </c>
    </row>
    <row r="756" spans="1:19">
      <c r="A756" s="7">
        <v>70839</v>
      </c>
      <c r="B756" s="8" t="s">
        <v>23</v>
      </c>
      <c r="C756" s="9">
        <v>46027</v>
      </c>
      <c r="D756" s="10" t="s">
        <v>61</v>
      </c>
      <c r="E756" s="10" t="s">
        <v>62</v>
      </c>
      <c r="F756" s="11">
        <v>540</v>
      </c>
      <c r="G756" s="12" t="s">
        <v>24</v>
      </c>
      <c r="H756" s="15">
        <v>46027</v>
      </c>
      <c r="I756" s="16" t="s">
        <v>64</v>
      </c>
      <c r="J756" s="16" t="s">
        <v>9</v>
      </c>
      <c r="K756" s="17">
        <v>420</v>
      </c>
      <c r="O756" t="str" cm="1">
        <f t="array" ref="O756">_xlfn.LET(
_xlpm.corp,$I756,_xlpm.key,$M$2:$M$200,_xlpm.name,$N$2:$N$200,_xlpm.hits,_xlfn._xlws.FILTER(_xlpm.name,ISNUMBER(SEARCH(_xlpm.key,_xlpm.corp))),
IFERROR(INDEX(_xlpm.hits,1),_xlpm.corp))</f>
        <v>NaITO</v>
      </c>
      <c r="P756" t="str">
        <f t="shared" si="52"/>
        <v>2026-01-05</v>
      </c>
      <c r="Q756" t="str">
        <f t="shared" si="55"/>
        <v>NaITO</v>
      </c>
      <c r="R756" t="str">
        <f t="shared" si="53"/>
        <v>ベビーリーフ ロロロッサ</v>
      </c>
      <c r="S756">
        <f t="shared" si="54"/>
        <v>420</v>
      </c>
    </row>
    <row r="757" spans="1:19">
      <c r="A757" s="13">
        <v>70838</v>
      </c>
      <c r="B757" s="14" t="s">
        <v>23</v>
      </c>
      <c r="C757" s="15">
        <v>46027</v>
      </c>
      <c r="D757" s="16" t="s">
        <v>64</v>
      </c>
      <c r="E757" s="16" t="s">
        <v>9</v>
      </c>
      <c r="F757" s="17">
        <v>420</v>
      </c>
      <c r="G757" s="18" t="s">
        <v>24</v>
      </c>
      <c r="H757" s="9">
        <v>46027</v>
      </c>
      <c r="I757" s="10" t="s">
        <v>69</v>
      </c>
      <c r="J757" s="10" t="s">
        <v>9</v>
      </c>
      <c r="K757" s="11">
        <v>260</v>
      </c>
      <c r="O757" t="str" cm="1">
        <f t="array" ref="O757">_xlfn.LET(
_xlpm.corp,$I757,_xlpm.key,$M$2:$M$200,_xlpm.name,$N$2:$N$200,_xlpm.hits,_xlfn._xlws.FILTER(_xlpm.name,ISNUMBER(SEARCH(_xlpm.key,_xlpm.corp))),
IFERROR(INDEX(_xlpm.hits,1),_xlpm.corp))</f>
        <v>バリュエンス</v>
      </c>
      <c r="P757" t="str">
        <f t="shared" si="52"/>
        <v>2026-01-05</v>
      </c>
      <c r="Q757" t="str">
        <f t="shared" si="55"/>
        <v>バリュエンス</v>
      </c>
      <c r="R757" t="str">
        <f t="shared" si="53"/>
        <v>ベビーリーフ ロロロッサ</v>
      </c>
      <c r="S757">
        <f t="shared" si="54"/>
        <v>260</v>
      </c>
    </row>
    <row r="758" spans="1:19">
      <c r="A758" s="7">
        <v>70837</v>
      </c>
      <c r="B758" s="8" t="s">
        <v>23</v>
      </c>
      <c r="C758" s="9">
        <v>46027</v>
      </c>
      <c r="D758" s="10" t="s">
        <v>69</v>
      </c>
      <c r="E758" s="10" t="s">
        <v>9</v>
      </c>
      <c r="F758" s="11">
        <v>260</v>
      </c>
      <c r="G758" s="12" t="s">
        <v>24</v>
      </c>
      <c r="H758" s="15">
        <v>46027</v>
      </c>
      <c r="I758" s="16" t="s">
        <v>65</v>
      </c>
      <c r="J758" s="16" t="s">
        <v>2</v>
      </c>
      <c r="K758" s="17">
        <v>660</v>
      </c>
      <c r="O758" t="str" cm="1">
        <f t="array" ref="O758">_xlfn.LET(
_xlpm.corp,$I758,_xlpm.key,$M$2:$M$200,_xlpm.name,$N$2:$N$200,_xlpm.hits,_xlfn._xlws.FILTER(_xlpm.name,ISNUMBER(SEARCH(_xlpm.key,_xlpm.corp))),
IFERROR(INDEX(_xlpm.hits,1),_xlpm.corp))</f>
        <v>マルテー</v>
      </c>
      <c r="P758" t="str">
        <f t="shared" si="52"/>
        <v>2026-01-05</v>
      </c>
      <c r="Q758" t="str">
        <f t="shared" si="55"/>
        <v>マルテー</v>
      </c>
      <c r="R758" t="str">
        <f t="shared" si="53"/>
        <v>ベビーリーフ グリーンオーク</v>
      </c>
      <c r="S758">
        <f t="shared" si="54"/>
        <v>660</v>
      </c>
    </row>
    <row r="759" spans="1:19">
      <c r="A759" s="13">
        <v>70836</v>
      </c>
      <c r="B759" s="14" t="s">
        <v>23</v>
      </c>
      <c r="C759" s="15">
        <v>46027</v>
      </c>
      <c r="D759" s="16" t="s">
        <v>65</v>
      </c>
      <c r="E759" s="16" t="s">
        <v>2</v>
      </c>
      <c r="F759" s="17">
        <v>660</v>
      </c>
      <c r="G759" s="18" t="s">
        <v>24</v>
      </c>
      <c r="H759" s="9">
        <v>46027</v>
      </c>
      <c r="I759" s="10" t="s">
        <v>59</v>
      </c>
      <c r="J759" s="10" t="s">
        <v>2</v>
      </c>
      <c r="K759" s="11">
        <v>720</v>
      </c>
      <c r="O759" t="str" cm="1">
        <f t="array" ref="O759">_xlfn.LET(
_xlpm.corp,$I759,_xlpm.key,$M$2:$M$200,_xlpm.name,$N$2:$N$200,_xlpm.hits,_xlfn._xlws.FILTER(_xlpm.name,ISNUMBER(SEARCH(_xlpm.key,_xlpm.corp))),
IFERROR(INDEX(_xlpm.hits,1),_xlpm.corp))</f>
        <v>三和</v>
      </c>
      <c r="P759" t="str">
        <f t="shared" si="52"/>
        <v>2026-01-05</v>
      </c>
      <c r="Q759" t="str">
        <f t="shared" si="55"/>
        <v>三和</v>
      </c>
      <c r="R759" t="str">
        <f t="shared" si="53"/>
        <v>ベビーリーフ グリーンオーク</v>
      </c>
      <c r="S759">
        <f t="shared" si="54"/>
        <v>720</v>
      </c>
    </row>
    <row r="760" spans="1:19">
      <c r="A760" s="7">
        <v>70835</v>
      </c>
      <c r="B760" s="8" t="s">
        <v>23</v>
      </c>
      <c r="C760" s="9">
        <v>46027</v>
      </c>
      <c r="D760" s="10" t="s">
        <v>59</v>
      </c>
      <c r="E760" s="10" t="s">
        <v>2</v>
      </c>
      <c r="F760" s="11">
        <v>720</v>
      </c>
      <c r="G760" s="12" t="s">
        <v>24</v>
      </c>
      <c r="H760" s="15">
        <v>46027</v>
      </c>
      <c r="I760" s="16" t="s">
        <v>59</v>
      </c>
      <c r="J760" s="16" t="s">
        <v>2</v>
      </c>
      <c r="K760" s="17">
        <v>900</v>
      </c>
      <c r="O760" t="str" cm="1">
        <f t="array" ref="O760">_xlfn.LET(
_xlpm.corp,$I760,_xlpm.key,$M$2:$M$200,_xlpm.name,$N$2:$N$200,_xlpm.hits,_xlfn._xlws.FILTER(_xlpm.name,ISNUMBER(SEARCH(_xlpm.key,_xlpm.corp))),
IFERROR(INDEX(_xlpm.hits,1),_xlpm.corp))</f>
        <v>三和</v>
      </c>
      <c r="P760" t="str">
        <f t="shared" si="52"/>
        <v>2026-01-05</v>
      </c>
      <c r="Q760" t="str">
        <f t="shared" si="55"/>
        <v>三和</v>
      </c>
      <c r="R760" t="str">
        <f t="shared" si="53"/>
        <v>ベビーリーフ グリーンオーク</v>
      </c>
      <c r="S760">
        <f t="shared" si="54"/>
        <v>900</v>
      </c>
    </row>
    <row r="761" spans="1:19">
      <c r="A761" s="13">
        <v>70834</v>
      </c>
      <c r="B761" s="14" t="s">
        <v>23</v>
      </c>
      <c r="C761" s="15">
        <v>46027</v>
      </c>
      <c r="D761" s="16" t="s">
        <v>59</v>
      </c>
      <c r="E761" s="16" t="s">
        <v>2</v>
      </c>
      <c r="F761" s="17">
        <v>900</v>
      </c>
      <c r="G761" s="18" t="s">
        <v>24</v>
      </c>
      <c r="H761" s="9">
        <v>46027</v>
      </c>
      <c r="I761" s="10" t="s">
        <v>58</v>
      </c>
      <c r="J761" s="10" t="s">
        <v>9</v>
      </c>
      <c r="K761" s="11">
        <v>580</v>
      </c>
      <c r="O761" t="str" cm="1">
        <f t="array" ref="O761">_xlfn.LET(
_xlpm.corp,$I761,_xlpm.key,$M$2:$M$200,_xlpm.name,$N$2:$N$200,_xlpm.hits,_xlfn._xlws.FILTER(_xlpm.name,ISNUMBER(SEARCH(_xlpm.key,_xlpm.corp))),
IFERROR(INDEX(_xlpm.hits,1),_xlpm.corp))</f>
        <v>慈誠会</v>
      </c>
      <c r="P761" t="str">
        <f t="shared" si="52"/>
        <v>2026-01-05</v>
      </c>
      <c r="Q761" t="str">
        <f t="shared" si="55"/>
        <v>慈誠会</v>
      </c>
      <c r="R761" t="str">
        <f t="shared" si="53"/>
        <v>ベビーリーフ ロロロッサ</v>
      </c>
      <c r="S761">
        <f t="shared" si="54"/>
        <v>580</v>
      </c>
    </row>
    <row r="762" spans="1:19">
      <c r="A762" s="7">
        <v>70833</v>
      </c>
      <c r="B762" s="8" t="s">
        <v>23</v>
      </c>
      <c r="C762" s="9">
        <v>46027</v>
      </c>
      <c r="D762" s="10" t="s">
        <v>58</v>
      </c>
      <c r="E762" s="10" t="s">
        <v>9</v>
      </c>
      <c r="F762" s="11">
        <v>580</v>
      </c>
      <c r="G762" s="12" t="s">
        <v>24</v>
      </c>
      <c r="H762" s="15">
        <v>46027</v>
      </c>
      <c r="I762" s="16" t="s">
        <v>58</v>
      </c>
      <c r="J762" s="16" t="s">
        <v>4</v>
      </c>
      <c r="K762" s="17">
        <v>960</v>
      </c>
      <c r="O762" t="str" cm="1">
        <f t="array" ref="O762">_xlfn.LET(
_xlpm.corp,$I762,_xlpm.key,$M$2:$M$200,_xlpm.name,$N$2:$N$200,_xlpm.hits,_xlfn._xlws.FILTER(_xlpm.name,ISNUMBER(SEARCH(_xlpm.key,_xlpm.corp))),
IFERROR(INDEX(_xlpm.hits,1),_xlpm.corp))</f>
        <v>慈誠会</v>
      </c>
      <c r="P762" t="str">
        <f t="shared" si="52"/>
        <v>2026-01-05</v>
      </c>
      <c r="Q762" t="str">
        <f t="shared" si="55"/>
        <v>慈誠会</v>
      </c>
      <c r="R762" t="str">
        <f t="shared" si="53"/>
        <v>ベビーリーフ ピノグリーン</v>
      </c>
      <c r="S762">
        <f t="shared" si="54"/>
        <v>960</v>
      </c>
    </row>
    <row r="763" spans="1:19">
      <c r="A763" s="13">
        <v>70832</v>
      </c>
      <c r="B763" s="14" t="s">
        <v>23</v>
      </c>
      <c r="C763" s="15">
        <v>46027</v>
      </c>
      <c r="D763" s="16" t="s">
        <v>58</v>
      </c>
      <c r="E763" s="16" t="s">
        <v>4</v>
      </c>
      <c r="F763" s="17">
        <v>960</v>
      </c>
      <c r="G763" s="18" t="s">
        <v>24</v>
      </c>
      <c r="H763" s="9">
        <v>46027</v>
      </c>
      <c r="I763" s="10" t="s">
        <v>57</v>
      </c>
      <c r="J763" s="10" t="s">
        <v>3</v>
      </c>
      <c r="K763" s="11">
        <v>120</v>
      </c>
      <c r="O763" t="str" cm="1">
        <f t="array" ref="O763">_xlfn.LET(
_xlpm.corp,$I763,_xlpm.key,$M$2:$M$200,_xlpm.name,$N$2:$N$200,_xlpm.hits,_xlfn._xlws.FILTER(_xlpm.name,ISNUMBER(SEARCH(_xlpm.key,_xlpm.corp))),
IFERROR(INDEX(_xlpm.hits,1),_xlpm.corp))</f>
        <v>QB</v>
      </c>
      <c r="P763" t="str">
        <f t="shared" si="52"/>
        <v>2026-01-05</v>
      </c>
      <c r="Q763" t="str">
        <f t="shared" si="55"/>
        <v>QB/加工BL</v>
      </c>
      <c r="R763" t="str">
        <f t="shared" si="53"/>
        <v>加工BL</v>
      </c>
      <c r="S763">
        <f t="shared" si="54"/>
        <v>120</v>
      </c>
    </row>
    <row r="764" spans="1:19">
      <c r="A764" s="7">
        <v>70831</v>
      </c>
      <c r="B764" s="8" t="s">
        <v>23</v>
      </c>
      <c r="C764" s="9">
        <v>46027</v>
      </c>
      <c r="D764" s="10" t="s">
        <v>57</v>
      </c>
      <c r="E764" s="10" t="s">
        <v>3</v>
      </c>
      <c r="F764" s="11">
        <v>120</v>
      </c>
      <c r="G764" s="12" t="s">
        <v>24</v>
      </c>
      <c r="H764" s="15">
        <v>46027</v>
      </c>
      <c r="I764" s="16" t="s">
        <v>57</v>
      </c>
      <c r="J764" s="16" t="s">
        <v>4</v>
      </c>
      <c r="K764" s="17">
        <v>240</v>
      </c>
      <c r="O764" t="str" cm="1">
        <f t="array" ref="O764">_xlfn.LET(
_xlpm.corp,$I764,_xlpm.key,$M$2:$M$200,_xlpm.name,$N$2:$N$200,_xlpm.hits,_xlfn._xlws.FILTER(_xlpm.name,ISNUMBER(SEARCH(_xlpm.key,_xlpm.corp))),
IFERROR(INDEX(_xlpm.hits,1),_xlpm.corp))</f>
        <v>QB</v>
      </c>
      <c r="P764" t="str">
        <f t="shared" si="52"/>
        <v>2026-01-05</v>
      </c>
      <c r="Q764" t="str">
        <f t="shared" si="55"/>
        <v>QB</v>
      </c>
      <c r="R764" t="str">
        <f t="shared" si="53"/>
        <v>ベビーリーフ ピノグリーン</v>
      </c>
      <c r="S764">
        <f t="shared" si="54"/>
        <v>240</v>
      </c>
    </row>
    <row r="765" spans="1:19">
      <c r="A765" s="13">
        <v>70830</v>
      </c>
      <c r="B765" s="14" t="s">
        <v>23</v>
      </c>
      <c r="C765" s="15">
        <v>46027</v>
      </c>
      <c r="D765" s="16" t="s">
        <v>57</v>
      </c>
      <c r="E765" s="16" t="s">
        <v>4</v>
      </c>
      <c r="F765" s="17">
        <v>240</v>
      </c>
      <c r="G765" s="18" t="s">
        <v>24</v>
      </c>
      <c r="H765" s="9">
        <v>46027</v>
      </c>
      <c r="I765" s="10" t="s">
        <v>57</v>
      </c>
      <c r="J765" s="10" t="s">
        <v>2</v>
      </c>
      <c r="K765" s="11">
        <v>350</v>
      </c>
      <c r="O765" t="str" cm="1">
        <f t="array" ref="O765">_xlfn.LET(
_xlpm.corp,$I765,_xlpm.key,$M$2:$M$200,_xlpm.name,$N$2:$N$200,_xlpm.hits,_xlfn._xlws.FILTER(_xlpm.name,ISNUMBER(SEARCH(_xlpm.key,_xlpm.corp))),
IFERROR(INDEX(_xlpm.hits,1),_xlpm.corp))</f>
        <v>QB</v>
      </c>
      <c r="P765" t="str">
        <f t="shared" si="52"/>
        <v>2026-01-05</v>
      </c>
      <c r="Q765" t="str">
        <f t="shared" si="55"/>
        <v>QB</v>
      </c>
      <c r="R765" t="str">
        <f t="shared" si="53"/>
        <v>ベビーリーフ グリーンオーク</v>
      </c>
      <c r="S765">
        <f t="shared" si="54"/>
        <v>350</v>
      </c>
    </row>
    <row r="766" spans="1:19">
      <c r="A766" s="7">
        <v>70829</v>
      </c>
      <c r="B766" s="8" t="s">
        <v>23</v>
      </c>
      <c r="C766" s="9">
        <v>46027</v>
      </c>
      <c r="D766" s="10" t="s">
        <v>57</v>
      </c>
      <c r="E766" s="10" t="s">
        <v>2</v>
      </c>
      <c r="F766" s="11">
        <v>350</v>
      </c>
      <c r="G766" s="12" t="s">
        <v>24</v>
      </c>
      <c r="H766" s="15">
        <v>46027</v>
      </c>
      <c r="I766" s="16" t="s">
        <v>60</v>
      </c>
      <c r="J766" s="16" t="s">
        <v>4</v>
      </c>
      <c r="K766" s="17">
        <v>460</v>
      </c>
      <c r="O766" t="str" cm="1">
        <f t="array" ref="O766">_xlfn.LET(
_xlpm.corp,$I766,_xlpm.key,$M$2:$M$200,_xlpm.name,$N$2:$N$200,_xlpm.hits,_xlfn._xlws.FILTER(_xlpm.name,ISNUMBER(SEARCH(_xlpm.key,_xlpm.corp))),
IFERROR(INDEX(_xlpm.hits,1),_xlpm.corp))</f>
        <v>サンテレホン</v>
      </c>
      <c r="P766" t="str">
        <f t="shared" si="52"/>
        <v>2026-01-05</v>
      </c>
      <c r="Q766" t="str">
        <f t="shared" si="55"/>
        <v>サンテレホン</v>
      </c>
      <c r="R766" t="str">
        <f t="shared" si="53"/>
        <v>ベビーリーフ ピノグリーン</v>
      </c>
      <c r="S766">
        <f t="shared" si="54"/>
        <v>460</v>
      </c>
    </row>
    <row r="767" spans="1:19">
      <c r="A767" s="13">
        <v>70828</v>
      </c>
      <c r="B767" s="14" t="s">
        <v>23</v>
      </c>
      <c r="C767" s="15">
        <v>46027</v>
      </c>
      <c r="D767" s="16" t="s">
        <v>60</v>
      </c>
      <c r="E767" s="16" t="s">
        <v>4</v>
      </c>
      <c r="F767" s="17">
        <v>460</v>
      </c>
      <c r="G767" s="18" t="s">
        <v>24</v>
      </c>
      <c r="H767" s="9">
        <v>46027</v>
      </c>
      <c r="I767" s="10" t="s">
        <v>60</v>
      </c>
      <c r="J767" s="10" t="s">
        <v>3</v>
      </c>
      <c r="K767" s="11">
        <v>230</v>
      </c>
      <c r="O767" t="str" cm="1">
        <f t="array" ref="O767">_xlfn.LET(
_xlpm.corp,$I767,_xlpm.key,$M$2:$M$200,_xlpm.name,$N$2:$N$200,_xlpm.hits,_xlfn._xlws.FILTER(_xlpm.name,ISNUMBER(SEARCH(_xlpm.key,_xlpm.corp))),
IFERROR(INDEX(_xlpm.hits,1),_xlpm.corp))</f>
        <v>サンテレホン</v>
      </c>
      <c r="P767" t="str">
        <f t="shared" si="52"/>
        <v>2026-01-05</v>
      </c>
      <c r="Q767" t="str">
        <f t="shared" si="55"/>
        <v>サンテレホン/加工BL</v>
      </c>
      <c r="R767" t="str">
        <f t="shared" si="53"/>
        <v>加工BL</v>
      </c>
      <c r="S767">
        <f t="shared" si="54"/>
        <v>230</v>
      </c>
    </row>
    <row r="768" spans="1:19">
      <c r="A768" s="7">
        <v>70827</v>
      </c>
      <c r="B768" s="8" t="s">
        <v>23</v>
      </c>
      <c r="C768" s="9">
        <v>46027</v>
      </c>
      <c r="D768" s="10" t="s">
        <v>60</v>
      </c>
      <c r="E768" s="10" t="s">
        <v>3</v>
      </c>
      <c r="F768" s="11">
        <v>230</v>
      </c>
      <c r="G768" s="12" t="s">
        <v>24</v>
      </c>
      <c r="H768" s="15">
        <v>46027</v>
      </c>
      <c r="I768" s="16" t="s">
        <v>71</v>
      </c>
      <c r="J768" s="16" t="s">
        <v>62</v>
      </c>
      <c r="K768" s="19">
        <v>1960</v>
      </c>
      <c r="O768" t="str" cm="1">
        <f t="array" ref="O768">_xlfn.LET(
_xlpm.corp,$I768,_xlpm.key,$M$2:$M$200,_xlpm.name,$N$2:$N$200,_xlpm.hits,_xlfn._xlws.FILTER(_xlpm.name,ISNUMBER(SEARCH(_xlpm.key,_xlpm.corp))),
IFERROR(INDEX(_xlpm.hits,1),_xlpm.corp))</f>
        <v>ソリトン</v>
      </c>
      <c r="P768" t="str">
        <f t="shared" si="52"/>
        <v>2026-01-05</v>
      </c>
      <c r="Q768" t="str">
        <f t="shared" si="55"/>
        <v>ソリトン</v>
      </c>
      <c r="R768" t="str">
        <f t="shared" si="53"/>
        <v>ベビーリーフ ロログリーン</v>
      </c>
      <c r="S768">
        <f t="shared" si="54"/>
        <v>1960</v>
      </c>
    </row>
    <row r="769" spans="1:19">
      <c r="A769" s="13">
        <v>70826</v>
      </c>
      <c r="B769" s="14" t="s">
        <v>23</v>
      </c>
      <c r="C769" s="15">
        <v>46027</v>
      </c>
      <c r="D769" s="16" t="s">
        <v>71</v>
      </c>
      <c r="E769" s="16" t="s">
        <v>62</v>
      </c>
      <c r="F769" s="19">
        <v>1960</v>
      </c>
      <c r="G769" s="18" t="s">
        <v>24</v>
      </c>
      <c r="H769" s="9">
        <v>46027</v>
      </c>
      <c r="I769" s="10" t="s">
        <v>66</v>
      </c>
      <c r="J769" s="10" t="s">
        <v>11</v>
      </c>
      <c r="K769" s="20">
        <v>2440</v>
      </c>
      <c r="O769" t="str" cm="1">
        <f t="array" ref="O769">_xlfn.LET(
_xlpm.corp,$I769,_xlpm.key,$M$2:$M$200,_xlpm.name,$N$2:$N$200,_xlpm.hits,_xlfn._xlws.FILTER(_xlpm.name,ISNUMBER(SEARCH(_xlpm.key,_xlpm.corp))),
IFERROR(INDEX(_xlpm.hits,1),_xlpm.corp))</f>
        <v>ケイアイ</v>
      </c>
      <c r="P769" t="str">
        <f t="shared" si="52"/>
        <v>2026-01-05</v>
      </c>
      <c r="Q769" t="str">
        <f t="shared" si="55"/>
        <v>ケイアイ</v>
      </c>
      <c r="R769" t="str">
        <f t="shared" si="53"/>
        <v>ベビーリーフ レッドオーク</v>
      </c>
      <c r="S769">
        <f t="shared" si="54"/>
        <v>2440</v>
      </c>
    </row>
    <row r="770" spans="1:19">
      <c r="A770" s="7">
        <v>70825</v>
      </c>
      <c r="B770" s="8" t="s">
        <v>23</v>
      </c>
      <c r="C770" s="9">
        <v>46027</v>
      </c>
      <c r="D770" s="10" t="s">
        <v>66</v>
      </c>
      <c r="E770" s="10" t="s">
        <v>11</v>
      </c>
      <c r="F770" s="20">
        <v>2440</v>
      </c>
      <c r="G770" s="12" t="s">
        <v>24</v>
      </c>
      <c r="H770" s="15">
        <v>46027</v>
      </c>
      <c r="I770" s="16" t="s">
        <v>72</v>
      </c>
      <c r="J770" s="16" t="s">
        <v>11</v>
      </c>
      <c r="K770" s="17">
        <v>760</v>
      </c>
      <c r="O770" t="str" cm="1">
        <f t="array" ref="O770">_xlfn.LET(
_xlpm.corp,$I770,_xlpm.key,$M$2:$M$200,_xlpm.name,$N$2:$N$200,_xlpm.hits,_xlfn._xlws.FILTER(_xlpm.name,ISNUMBER(SEARCH(_xlpm.key,_xlpm.corp))),
IFERROR(INDEX(_xlpm.hits,1),_xlpm.corp))</f>
        <v>岡部</v>
      </c>
      <c r="P770" t="str">
        <f t="shared" si="52"/>
        <v>2026-01-05</v>
      </c>
      <c r="Q770" t="str">
        <f t="shared" si="55"/>
        <v>岡部</v>
      </c>
      <c r="R770" t="str">
        <f t="shared" si="53"/>
        <v>ベビーリーフ レッドオーク</v>
      </c>
      <c r="S770">
        <f t="shared" si="54"/>
        <v>760</v>
      </c>
    </row>
    <row r="771" spans="1:19">
      <c r="A771" s="13">
        <v>70824</v>
      </c>
      <c r="B771" s="14" t="s">
        <v>23</v>
      </c>
      <c r="C771" s="15">
        <v>46027</v>
      </c>
      <c r="D771" s="16" t="s">
        <v>72</v>
      </c>
      <c r="E771" s="16" t="s">
        <v>11</v>
      </c>
      <c r="F771" s="17">
        <v>760</v>
      </c>
      <c r="G771" s="18" t="s">
        <v>24</v>
      </c>
      <c r="H771" s="9">
        <v>46027</v>
      </c>
      <c r="I771" s="10" t="s">
        <v>27</v>
      </c>
      <c r="J771" s="10" t="s">
        <v>2</v>
      </c>
      <c r="K771" s="20">
        <v>1100</v>
      </c>
      <c r="O771" t="str" cm="1">
        <f t="array" ref="O771">_xlfn.LET(
_xlpm.corp,$I771,_xlpm.key,$M$2:$M$200,_xlpm.name,$N$2:$N$200,_xlpm.hits,_xlfn._xlws.FILTER(_xlpm.name,ISNUMBER(SEARCH(_xlpm.key,_xlpm.corp))),
IFERROR(INDEX(_xlpm.hits,1),_xlpm.corp))</f>
        <v>東レ</v>
      </c>
      <c r="P771" t="str">
        <f t="shared" si="52"/>
        <v>2026-01-05</v>
      </c>
      <c r="Q771" t="str">
        <f t="shared" si="55"/>
        <v>東レ</v>
      </c>
      <c r="R771" t="str">
        <f t="shared" si="53"/>
        <v>ベビーリーフ グリーンオーク</v>
      </c>
      <c r="S771">
        <f t="shared" si="54"/>
        <v>1100</v>
      </c>
    </row>
    <row r="772" spans="1:19">
      <c r="A772" s="7">
        <v>70823</v>
      </c>
      <c r="B772" s="8" t="s">
        <v>23</v>
      </c>
      <c r="C772" s="9">
        <v>46027</v>
      </c>
      <c r="D772" s="10" t="s">
        <v>27</v>
      </c>
      <c r="E772" s="10" t="s">
        <v>2</v>
      </c>
      <c r="F772" s="20">
        <v>1100</v>
      </c>
      <c r="G772" s="12" t="s">
        <v>24</v>
      </c>
      <c r="H772" s="15">
        <v>46027</v>
      </c>
      <c r="I772" s="16" t="s">
        <v>27</v>
      </c>
      <c r="J772" s="16" t="s">
        <v>3</v>
      </c>
      <c r="K772" s="17">
        <v>200</v>
      </c>
      <c r="O772" t="str" cm="1">
        <f t="array" ref="O772">_xlfn.LET(
_xlpm.corp,$I772,_xlpm.key,$M$2:$M$200,_xlpm.name,$N$2:$N$200,_xlpm.hits,_xlfn._xlws.FILTER(_xlpm.name,ISNUMBER(SEARCH(_xlpm.key,_xlpm.corp))),
IFERROR(INDEX(_xlpm.hits,1),_xlpm.corp))</f>
        <v>東レ</v>
      </c>
      <c r="P772" t="str">
        <f t="shared" si="52"/>
        <v>2026-01-05</v>
      </c>
      <c r="Q772" t="str">
        <f t="shared" si="55"/>
        <v>東レ/加工BL</v>
      </c>
      <c r="R772" t="str">
        <f t="shared" si="53"/>
        <v>加工BL</v>
      </c>
      <c r="S772">
        <f t="shared" si="54"/>
        <v>200</v>
      </c>
    </row>
    <row r="773" spans="1:19">
      <c r="A773" s="13">
        <v>70822</v>
      </c>
      <c r="B773" s="14" t="s">
        <v>23</v>
      </c>
      <c r="C773" s="15">
        <v>46027</v>
      </c>
      <c r="D773" s="16" t="s">
        <v>27</v>
      </c>
      <c r="E773" s="16" t="s">
        <v>3</v>
      </c>
      <c r="F773" s="17">
        <v>200</v>
      </c>
      <c r="G773" s="18" t="s">
        <v>24</v>
      </c>
      <c r="H773" s="9">
        <v>46027</v>
      </c>
      <c r="I773" s="10" t="s">
        <v>63</v>
      </c>
      <c r="J773" s="10" t="s">
        <v>62</v>
      </c>
      <c r="K773" s="11">
        <v>620</v>
      </c>
      <c r="O773" t="str" cm="1">
        <f t="array" ref="O773">_xlfn.LET(
_xlpm.corp,$I773,_xlpm.key,$M$2:$M$200,_xlpm.name,$N$2:$N$200,_xlpm.hits,_xlfn._xlws.FILTER(_xlpm.name,ISNUMBER(SEARCH(_xlpm.key,_xlpm.corp))),
IFERROR(INDEX(_xlpm.hits,1),_xlpm.corp))</f>
        <v>富士機材</v>
      </c>
      <c r="P773" t="str">
        <f t="shared" si="52"/>
        <v>2026-01-05</v>
      </c>
      <c r="Q773" t="str">
        <f t="shared" si="55"/>
        <v>富士機材</v>
      </c>
      <c r="R773" t="str">
        <f t="shared" si="53"/>
        <v>ベビーリーフ ロログリーン</v>
      </c>
      <c r="S773">
        <f t="shared" si="54"/>
        <v>620</v>
      </c>
    </row>
    <row r="774" spans="1:19">
      <c r="A774" s="7">
        <v>70821</v>
      </c>
      <c r="B774" s="8" t="s">
        <v>23</v>
      </c>
      <c r="C774" s="9">
        <v>46027</v>
      </c>
      <c r="D774" s="10" t="s">
        <v>63</v>
      </c>
      <c r="E774" s="10" t="s">
        <v>62</v>
      </c>
      <c r="F774" s="11">
        <v>620</v>
      </c>
      <c r="G774" s="12" t="s">
        <v>24</v>
      </c>
      <c r="H774" s="15">
        <v>46027</v>
      </c>
      <c r="I774" s="16" t="s">
        <v>27</v>
      </c>
      <c r="J774" s="16" t="s">
        <v>62</v>
      </c>
      <c r="K774" s="17">
        <v>760</v>
      </c>
      <c r="O774" t="str" cm="1">
        <f t="array" ref="O774">_xlfn.LET(
_xlpm.corp,$I774,_xlpm.key,$M$2:$M$200,_xlpm.name,$N$2:$N$200,_xlpm.hits,_xlfn._xlws.FILTER(_xlpm.name,ISNUMBER(SEARCH(_xlpm.key,_xlpm.corp))),
IFERROR(INDEX(_xlpm.hits,1),_xlpm.corp))</f>
        <v>東レ</v>
      </c>
      <c r="P774" t="str">
        <f t="shared" si="52"/>
        <v>2026-01-05</v>
      </c>
      <c r="Q774" t="str">
        <f t="shared" si="55"/>
        <v>東レ</v>
      </c>
      <c r="R774" t="str">
        <f t="shared" si="53"/>
        <v>ベビーリーフ ロログリーン</v>
      </c>
      <c r="S774">
        <f t="shared" si="54"/>
        <v>760</v>
      </c>
    </row>
    <row r="775" spans="1:19">
      <c r="A775" s="13">
        <v>70820</v>
      </c>
      <c r="B775" s="14" t="s">
        <v>23</v>
      </c>
      <c r="C775" s="15">
        <v>46027</v>
      </c>
      <c r="D775" s="16" t="s">
        <v>27</v>
      </c>
      <c r="E775" s="16" t="s">
        <v>62</v>
      </c>
      <c r="F775" s="17">
        <v>760</v>
      </c>
      <c r="G775" s="18" t="s">
        <v>24</v>
      </c>
      <c r="H775" s="9">
        <v>46027</v>
      </c>
      <c r="I775" s="10" t="s">
        <v>27</v>
      </c>
      <c r="J775" s="10" t="s">
        <v>9</v>
      </c>
      <c r="K775" s="11">
        <v>800</v>
      </c>
      <c r="O775" t="str" cm="1">
        <f t="array" ref="O775">_xlfn.LET(
_xlpm.corp,$I775,_xlpm.key,$M$2:$M$200,_xlpm.name,$N$2:$N$200,_xlpm.hits,_xlfn._xlws.FILTER(_xlpm.name,ISNUMBER(SEARCH(_xlpm.key,_xlpm.corp))),
IFERROR(INDEX(_xlpm.hits,1),_xlpm.corp))</f>
        <v>東レ</v>
      </c>
      <c r="P775" t="str">
        <f t="shared" si="52"/>
        <v>2026-01-05</v>
      </c>
      <c r="Q775" t="str">
        <f t="shared" si="55"/>
        <v>東レ</v>
      </c>
      <c r="R775" t="str">
        <f t="shared" si="53"/>
        <v>ベビーリーフ ロロロッサ</v>
      </c>
      <c r="S775">
        <f t="shared" si="54"/>
        <v>800</v>
      </c>
    </row>
    <row r="776" spans="1:19">
      <c r="A776" s="7">
        <v>70819</v>
      </c>
      <c r="B776" s="8" t="s">
        <v>23</v>
      </c>
      <c r="C776" s="9">
        <v>46027</v>
      </c>
      <c r="D776" s="10" t="s">
        <v>27</v>
      </c>
      <c r="E776" s="10" t="s">
        <v>9</v>
      </c>
      <c r="F776" s="11">
        <v>800</v>
      </c>
      <c r="G776" s="12" t="s">
        <v>24</v>
      </c>
      <c r="H776" s="15">
        <v>46027</v>
      </c>
      <c r="I776" s="16" t="s">
        <v>27</v>
      </c>
      <c r="J776" s="16" t="s">
        <v>2</v>
      </c>
      <c r="K776" s="17">
        <v>280</v>
      </c>
      <c r="O776" t="str" cm="1">
        <f t="array" ref="O776">_xlfn.LET(
_xlpm.corp,$I776,_xlpm.key,$M$2:$M$200,_xlpm.name,$N$2:$N$200,_xlpm.hits,_xlfn._xlws.FILTER(_xlpm.name,ISNUMBER(SEARCH(_xlpm.key,_xlpm.corp))),
IFERROR(INDEX(_xlpm.hits,1),_xlpm.corp))</f>
        <v>東レ</v>
      </c>
      <c r="P776" t="str">
        <f t="shared" si="52"/>
        <v>2026-01-05</v>
      </c>
      <c r="Q776" t="str">
        <f t="shared" si="55"/>
        <v>東レ</v>
      </c>
      <c r="R776" t="str">
        <f t="shared" si="53"/>
        <v>ベビーリーフ グリーンオーク</v>
      </c>
      <c r="S776">
        <f t="shared" si="54"/>
        <v>280</v>
      </c>
    </row>
    <row r="777" spans="1:19">
      <c r="A777" s="13">
        <v>70818</v>
      </c>
      <c r="B777" s="14" t="s">
        <v>23</v>
      </c>
      <c r="C777" s="15">
        <v>46027</v>
      </c>
      <c r="D777" s="16" t="s">
        <v>27</v>
      </c>
      <c r="E777" s="16" t="s">
        <v>2</v>
      </c>
      <c r="F777" s="17">
        <v>280</v>
      </c>
      <c r="G777" s="18" t="s">
        <v>24</v>
      </c>
      <c r="H777" s="9">
        <v>46027</v>
      </c>
      <c r="I777" s="10" t="s">
        <v>27</v>
      </c>
      <c r="J777" s="10" t="s">
        <v>3</v>
      </c>
      <c r="K777" s="11">
        <v>120</v>
      </c>
      <c r="O777" t="str" cm="1">
        <f t="array" ref="O777">_xlfn.LET(
_xlpm.corp,$I777,_xlpm.key,$M$2:$M$200,_xlpm.name,$N$2:$N$200,_xlpm.hits,_xlfn._xlws.FILTER(_xlpm.name,ISNUMBER(SEARCH(_xlpm.key,_xlpm.corp))),
IFERROR(INDEX(_xlpm.hits,1),_xlpm.corp))</f>
        <v>東レ</v>
      </c>
      <c r="P777" t="str">
        <f t="shared" si="52"/>
        <v>2026-01-05</v>
      </c>
      <c r="Q777" t="str">
        <f t="shared" si="55"/>
        <v>東レ/加工BL</v>
      </c>
      <c r="R777" t="str">
        <f t="shared" si="53"/>
        <v>加工BL</v>
      </c>
      <c r="S777">
        <f t="shared" si="54"/>
        <v>120</v>
      </c>
    </row>
    <row r="778" spans="1:19">
      <c r="A778" s="7">
        <v>70817</v>
      </c>
      <c r="B778" s="8" t="s">
        <v>23</v>
      </c>
      <c r="C778" s="9">
        <v>46027</v>
      </c>
      <c r="D778" s="10" t="s">
        <v>27</v>
      </c>
      <c r="E778" s="10" t="s">
        <v>3</v>
      </c>
      <c r="F778" s="11">
        <v>120</v>
      </c>
      <c r="G778" s="12" t="s">
        <v>24</v>
      </c>
      <c r="H778" s="15">
        <v>46027</v>
      </c>
      <c r="I778" s="16" t="s">
        <v>72</v>
      </c>
      <c r="J778" s="16" t="s">
        <v>11</v>
      </c>
      <c r="K778" s="19">
        <v>1180</v>
      </c>
      <c r="O778" t="str" cm="1">
        <f t="array" ref="O778">_xlfn.LET(
_xlpm.corp,$I778,_xlpm.key,$M$2:$M$200,_xlpm.name,$N$2:$N$200,_xlpm.hits,_xlfn._xlws.FILTER(_xlpm.name,ISNUMBER(SEARCH(_xlpm.key,_xlpm.corp))),
IFERROR(INDEX(_xlpm.hits,1),_xlpm.corp))</f>
        <v>岡部</v>
      </c>
      <c r="P778" t="str">
        <f t="shared" si="52"/>
        <v>2026-01-05</v>
      </c>
      <c r="Q778" t="str">
        <f t="shared" si="55"/>
        <v>岡部</v>
      </c>
      <c r="R778" t="str">
        <f t="shared" si="53"/>
        <v>ベビーリーフ レッドオーク</v>
      </c>
      <c r="S778">
        <f t="shared" si="54"/>
        <v>1180</v>
      </c>
    </row>
    <row r="779" spans="1:19">
      <c r="A779" s="13">
        <v>70816</v>
      </c>
      <c r="B779" s="14" t="s">
        <v>23</v>
      </c>
      <c r="C779" s="15">
        <v>46027</v>
      </c>
      <c r="D779" s="16" t="s">
        <v>72</v>
      </c>
      <c r="E779" s="16" t="s">
        <v>11</v>
      </c>
      <c r="F779" s="19">
        <v>1180</v>
      </c>
      <c r="G779" s="18" t="s">
        <v>24</v>
      </c>
      <c r="H779" s="9">
        <v>46027</v>
      </c>
      <c r="I779" s="10" t="s">
        <v>66</v>
      </c>
      <c r="J779" s="10" t="s">
        <v>11</v>
      </c>
      <c r="K779" s="20">
        <v>2200</v>
      </c>
      <c r="O779" t="str" cm="1">
        <f t="array" ref="O779">_xlfn.LET(
_xlpm.corp,$I779,_xlpm.key,$M$2:$M$200,_xlpm.name,$N$2:$N$200,_xlpm.hits,_xlfn._xlws.FILTER(_xlpm.name,ISNUMBER(SEARCH(_xlpm.key,_xlpm.corp))),
IFERROR(INDEX(_xlpm.hits,1),_xlpm.corp))</f>
        <v>ケイアイ</v>
      </c>
      <c r="P779" t="str">
        <f t="shared" si="52"/>
        <v>2026-01-05</v>
      </c>
      <c r="Q779" t="str">
        <f t="shared" si="55"/>
        <v>ケイアイ</v>
      </c>
      <c r="R779" t="str">
        <f t="shared" si="53"/>
        <v>ベビーリーフ レッドオーク</v>
      </c>
      <c r="S779">
        <f t="shared" si="54"/>
        <v>2200</v>
      </c>
    </row>
    <row r="780" spans="1:19">
      <c r="A780" s="7">
        <v>70815</v>
      </c>
      <c r="B780" s="8" t="s">
        <v>23</v>
      </c>
      <c r="C780" s="9">
        <v>46027</v>
      </c>
      <c r="D780" s="10" t="s">
        <v>66</v>
      </c>
      <c r="E780" s="10" t="s">
        <v>11</v>
      </c>
      <c r="F780" s="20">
        <v>2200</v>
      </c>
      <c r="G780" s="12" t="s">
        <v>24</v>
      </c>
      <c r="H780" s="15">
        <v>46027</v>
      </c>
      <c r="I780" s="16" t="s">
        <v>26</v>
      </c>
      <c r="J780" s="16" t="s">
        <v>2</v>
      </c>
      <c r="K780" s="17">
        <v>540</v>
      </c>
      <c r="O780" t="str" cm="1">
        <f t="array" ref="O780">_xlfn.LET(
_xlpm.corp,$I780,_xlpm.key,$M$2:$M$200,_xlpm.name,$N$2:$N$200,_xlpm.hits,_xlfn._xlws.FILTER(_xlpm.name,ISNUMBER(SEARCH(_xlpm.key,_xlpm.corp))),
IFERROR(INDEX(_xlpm.hits,1),_xlpm.corp))</f>
        <v>日建</v>
      </c>
      <c r="P780" t="str">
        <f t="shared" si="52"/>
        <v>2026-01-05</v>
      </c>
      <c r="Q780" t="str">
        <f t="shared" si="55"/>
        <v>日建</v>
      </c>
      <c r="R780" t="str">
        <f t="shared" si="53"/>
        <v>ベビーリーフ グリーンオーク</v>
      </c>
      <c r="S780">
        <f t="shared" si="54"/>
        <v>540</v>
      </c>
    </row>
    <row r="781" spans="1:19">
      <c r="A781" s="13">
        <v>70814</v>
      </c>
      <c r="B781" s="14" t="s">
        <v>23</v>
      </c>
      <c r="C781" s="15">
        <v>46027</v>
      </c>
      <c r="D781" s="16" t="s">
        <v>26</v>
      </c>
      <c r="E781" s="16" t="s">
        <v>2</v>
      </c>
      <c r="F781" s="17">
        <v>540</v>
      </c>
      <c r="G781" s="18" t="s">
        <v>24</v>
      </c>
      <c r="H781" s="9">
        <v>46027</v>
      </c>
      <c r="I781" s="10" t="s">
        <v>26</v>
      </c>
      <c r="J781" s="10" t="s">
        <v>3</v>
      </c>
      <c r="K781" s="11">
        <v>220</v>
      </c>
      <c r="O781" t="str" cm="1">
        <f t="array" ref="O781">_xlfn.LET(
_xlpm.corp,$I781,_xlpm.key,$M$2:$M$200,_xlpm.name,$N$2:$N$200,_xlpm.hits,_xlfn._xlws.FILTER(_xlpm.name,ISNUMBER(SEARCH(_xlpm.key,_xlpm.corp))),
IFERROR(INDEX(_xlpm.hits,1),_xlpm.corp))</f>
        <v>日建</v>
      </c>
      <c r="P781" t="str">
        <f t="shared" si="52"/>
        <v>2026-01-05</v>
      </c>
      <c r="Q781" t="str">
        <f t="shared" si="55"/>
        <v>日建/加工BL</v>
      </c>
      <c r="R781" t="str">
        <f t="shared" si="53"/>
        <v>加工BL</v>
      </c>
      <c r="S781">
        <f t="shared" si="54"/>
        <v>220</v>
      </c>
    </row>
    <row r="782" spans="1:19">
      <c r="A782" s="7">
        <v>70813</v>
      </c>
      <c r="B782" s="8" t="s">
        <v>23</v>
      </c>
      <c r="C782" s="9">
        <v>46027</v>
      </c>
      <c r="D782" s="10" t="s">
        <v>26</v>
      </c>
      <c r="E782" s="10" t="s">
        <v>3</v>
      </c>
      <c r="F782" s="11">
        <v>220</v>
      </c>
      <c r="G782" s="12" t="s">
        <v>24</v>
      </c>
      <c r="H782" s="15">
        <v>46027</v>
      </c>
      <c r="I782" s="16" t="s">
        <v>67</v>
      </c>
      <c r="J782" s="16" t="s">
        <v>4</v>
      </c>
      <c r="K782" s="17">
        <v>80</v>
      </c>
      <c r="O782" t="str" cm="1">
        <f t="array" ref="O782">_xlfn.LET(
_xlpm.corp,$I782,_xlpm.key,$M$2:$M$200,_xlpm.name,$N$2:$N$200,_xlpm.hits,_xlfn._xlws.FILTER(_xlpm.name,ISNUMBER(SEARCH(_xlpm.key,_xlpm.corp))),
IFERROR(INDEX(_xlpm.hits,1),_xlpm.corp))</f>
        <v>日本ロレアル</v>
      </c>
      <c r="P782" t="str">
        <f t="shared" si="52"/>
        <v>2026-01-05</v>
      </c>
      <c r="Q782" t="str">
        <f t="shared" si="55"/>
        <v>日本ロレアル</v>
      </c>
      <c r="R782" t="str">
        <f t="shared" si="53"/>
        <v>ベビーリーフ ピノグリーン</v>
      </c>
      <c r="S782">
        <f t="shared" si="54"/>
        <v>80</v>
      </c>
    </row>
    <row r="783" spans="1:19">
      <c r="A783" s="13">
        <v>70812</v>
      </c>
      <c r="B783" s="14" t="s">
        <v>23</v>
      </c>
      <c r="C783" s="15">
        <v>46027</v>
      </c>
      <c r="D783" s="16" t="s">
        <v>67</v>
      </c>
      <c r="E783" s="16" t="s">
        <v>4</v>
      </c>
      <c r="F783" s="17">
        <v>80</v>
      </c>
      <c r="G783" s="18" t="s">
        <v>24</v>
      </c>
      <c r="H783" s="9">
        <v>46027</v>
      </c>
      <c r="I783" s="10" t="s">
        <v>26</v>
      </c>
      <c r="J783" s="10" t="s">
        <v>4</v>
      </c>
      <c r="K783" s="11">
        <v>100</v>
      </c>
      <c r="O783" t="str" cm="1">
        <f t="array" ref="O783">_xlfn.LET(
_xlpm.corp,$I783,_xlpm.key,$M$2:$M$200,_xlpm.name,$N$2:$N$200,_xlpm.hits,_xlfn._xlws.FILTER(_xlpm.name,ISNUMBER(SEARCH(_xlpm.key,_xlpm.corp))),
IFERROR(INDEX(_xlpm.hits,1),_xlpm.corp))</f>
        <v>日建</v>
      </c>
      <c r="P783" t="str">
        <f t="shared" si="52"/>
        <v>2026-01-05</v>
      </c>
      <c r="Q783" t="str">
        <f t="shared" si="55"/>
        <v>日建</v>
      </c>
      <c r="R783" t="str">
        <f t="shared" si="53"/>
        <v>ベビーリーフ ピノグリーン</v>
      </c>
      <c r="S783">
        <f t="shared" si="54"/>
        <v>100</v>
      </c>
    </row>
    <row r="784" spans="1:19">
      <c r="A784" s="7">
        <v>70811</v>
      </c>
      <c r="B784" s="8" t="s">
        <v>23</v>
      </c>
      <c r="C784" s="9">
        <v>46027</v>
      </c>
      <c r="D784" s="10" t="s">
        <v>26</v>
      </c>
      <c r="E784" s="10" t="s">
        <v>4</v>
      </c>
      <c r="F784" s="11">
        <v>100</v>
      </c>
      <c r="G784" s="12" t="s">
        <v>24</v>
      </c>
      <c r="H784" s="15">
        <v>46027</v>
      </c>
      <c r="I784" s="16" t="s">
        <v>69</v>
      </c>
      <c r="J784" s="16" t="s">
        <v>2</v>
      </c>
      <c r="K784" s="17">
        <v>340</v>
      </c>
      <c r="O784" t="str" cm="1">
        <f t="array" ref="O784">_xlfn.LET(
_xlpm.corp,$I784,_xlpm.key,$M$2:$M$200,_xlpm.name,$N$2:$N$200,_xlpm.hits,_xlfn._xlws.FILTER(_xlpm.name,ISNUMBER(SEARCH(_xlpm.key,_xlpm.corp))),
IFERROR(INDEX(_xlpm.hits,1),_xlpm.corp))</f>
        <v>バリュエンス</v>
      </c>
      <c r="P784" t="str">
        <f t="shared" si="52"/>
        <v>2026-01-05</v>
      </c>
      <c r="Q784" t="str">
        <f t="shared" si="55"/>
        <v>バリュエンス</v>
      </c>
      <c r="R784" t="str">
        <f t="shared" si="53"/>
        <v>ベビーリーフ グリーンオーク</v>
      </c>
      <c r="S784">
        <f t="shared" si="54"/>
        <v>340</v>
      </c>
    </row>
    <row r="785" spans="1:19">
      <c r="A785" s="13">
        <v>70810</v>
      </c>
      <c r="B785" s="14" t="s">
        <v>23</v>
      </c>
      <c r="C785" s="15">
        <v>46027</v>
      </c>
      <c r="D785" s="16" t="s">
        <v>69</v>
      </c>
      <c r="E785" s="16" t="s">
        <v>2</v>
      </c>
      <c r="F785" s="17">
        <v>340</v>
      </c>
      <c r="G785" s="18" t="s">
        <v>24</v>
      </c>
      <c r="H785" s="9">
        <v>46027</v>
      </c>
      <c r="I785" s="10" t="s">
        <v>28</v>
      </c>
      <c r="J785" s="10" t="s">
        <v>3</v>
      </c>
      <c r="K785" s="11">
        <v>120</v>
      </c>
      <c r="O785" t="str" cm="1">
        <f t="array" ref="O785">_xlfn.LET(
_xlpm.corp,$I785,_xlpm.key,$M$2:$M$200,_xlpm.name,$N$2:$N$200,_xlpm.hits,_xlfn._xlws.FILTER(_xlpm.name,ISNUMBER(SEARCH(_xlpm.key,_xlpm.corp))),
IFERROR(INDEX(_xlpm.hits,1),_xlpm.corp))</f>
        <v>牧野フライス</v>
      </c>
      <c r="P785" t="str">
        <f t="shared" si="52"/>
        <v>2026-01-05</v>
      </c>
      <c r="Q785" t="str">
        <f t="shared" si="55"/>
        <v>牧野フライス/加工BL</v>
      </c>
      <c r="R785" t="str">
        <f t="shared" si="53"/>
        <v>加工BL</v>
      </c>
      <c r="S785">
        <f t="shared" si="54"/>
        <v>120</v>
      </c>
    </row>
    <row r="786" spans="1:19">
      <c r="A786" s="7">
        <v>70809</v>
      </c>
      <c r="B786" s="8" t="s">
        <v>23</v>
      </c>
      <c r="C786" s="9">
        <v>46027</v>
      </c>
      <c r="D786" s="10" t="s">
        <v>28</v>
      </c>
      <c r="E786" s="10" t="s">
        <v>3</v>
      </c>
      <c r="F786" s="11">
        <v>120</v>
      </c>
      <c r="G786" s="12" t="s">
        <v>24</v>
      </c>
      <c r="H786" s="15">
        <v>46027</v>
      </c>
      <c r="I786" s="16" t="s">
        <v>28</v>
      </c>
      <c r="J786" s="16" t="s">
        <v>2</v>
      </c>
      <c r="K786" s="17">
        <v>220</v>
      </c>
      <c r="O786" t="str" cm="1">
        <f t="array" ref="O786">_xlfn.LET(
_xlpm.corp,$I786,_xlpm.key,$M$2:$M$200,_xlpm.name,$N$2:$N$200,_xlpm.hits,_xlfn._xlws.FILTER(_xlpm.name,ISNUMBER(SEARCH(_xlpm.key,_xlpm.corp))),
IFERROR(INDEX(_xlpm.hits,1),_xlpm.corp))</f>
        <v>牧野フライス</v>
      </c>
      <c r="P786" t="str">
        <f t="shared" si="52"/>
        <v>2026-01-05</v>
      </c>
      <c r="Q786" t="str">
        <f t="shared" si="55"/>
        <v>牧野フライス</v>
      </c>
      <c r="R786" t="str">
        <f t="shared" si="53"/>
        <v>ベビーリーフ グリーンオーク</v>
      </c>
      <c r="S786">
        <f t="shared" si="54"/>
        <v>220</v>
      </c>
    </row>
    <row r="787" spans="1:19">
      <c r="A787" s="13">
        <v>70808</v>
      </c>
      <c r="B787" s="14" t="s">
        <v>23</v>
      </c>
      <c r="C787" s="15">
        <v>46027</v>
      </c>
      <c r="D787" s="16" t="s">
        <v>28</v>
      </c>
      <c r="E787" s="16" t="s">
        <v>2</v>
      </c>
      <c r="F787" s="17">
        <v>220</v>
      </c>
      <c r="G787" s="18" t="s">
        <v>24</v>
      </c>
      <c r="H787" s="9">
        <v>46027</v>
      </c>
      <c r="I787" s="10" t="s">
        <v>66</v>
      </c>
      <c r="J787" s="10" t="s">
        <v>12</v>
      </c>
      <c r="K787" s="20">
        <v>1320</v>
      </c>
      <c r="O787" t="str" cm="1">
        <f t="array" ref="O787">_xlfn.LET(
_xlpm.corp,$I787,_xlpm.key,$M$2:$M$200,_xlpm.name,$N$2:$N$200,_xlpm.hits,_xlfn._xlws.FILTER(_xlpm.name,ISNUMBER(SEARCH(_xlpm.key,_xlpm.corp))),
IFERROR(INDEX(_xlpm.hits,1),_xlpm.corp))</f>
        <v>ケイアイ</v>
      </c>
      <c r="P787" t="str">
        <f t="shared" si="52"/>
        <v>2026-01-05</v>
      </c>
      <c r="Q787" t="str">
        <f t="shared" si="55"/>
        <v>ケイアイ/葉物野菜</v>
      </c>
      <c r="R787" t="str">
        <f t="shared" si="53"/>
        <v>ブロッコリースプラウト</v>
      </c>
      <c r="S787">
        <f t="shared" si="54"/>
        <v>1320</v>
      </c>
    </row>
    <row r="788" spans="1:19">
      <c r="A788" s="7">
        <v>70807</v>
      </c>
      <c r="B788" s="8" t="s">
        <v>23</v>
      </c>
      <c r="C788" s="9">
        <v>46027</v>
      </c>
      <c r="D788" s="10" t="s">
        <v>66</v>
      </c>
      <c r="E788" s="10" t="s">
        <v>12</v>
      </c>
      <c r="F788" s="20">
        <v>1320</v>
      </c>
      <c r="G788" s="12" t="s">
        <v>24</v>
      </c>
      <c r="H788" s="15">
        <v>46027</v>
      </c>
      <c r="I788" s="16" t="s">
        <v>56</v>
      </c>
      <c r="J788" s="16" t="s">
        <v>2</v>
      </c>
      <c r="K788" s="17">
        <v>400</v>
      </c>
      <c r="O788" t="str" cm="1">
        <f t="array" ref="O788">_xlfn.LET(
_xlpm.corp,$I788,_xlpm.key,$M$2:$M$200,_xlpm.name,$N$2:$N$200,_xlpm.hits,_xlfn._xlws.FILTER(_xlpm.name,ISNUMBER(SEARCH(_xlpm.key,_xlpm.corp))),
IFERROR(INDEX(_xlpm.hits,1),_xlpm.corp))</f>
        <v>サンセイランディック</v>
      </c>
      <c r="P788" t="str">
        <f t="shared" si="52"/>
        <v>2026-01-05</v>
      </c>
      <c r="Q788" t="str">
        <f t="shared" si="55"/>
        <v>サンセイランディック</v>
      </c>
      <c r="R788" t="str">
        <f t="shared" si="53"/>
        <v>ベビーリーフ グリーンオーク</v>
      </c>
      <c r="S788">
        <f t="shared" si="54"/>
        <v>400</v>
      </c>
    </row>
    <row r="789" spans="1:19">
      <c r="A789" s="13">
        <v>70806</v>
      </c>
      <c r="B789" s="14" t="s">
        <v>23</v>
      </c>
      <c r="C789" s="15">
        <v>46027</v>
      </c>
      <c r="D789" s="16" t="s">
        <v>56</v>
      </c>
      <c r="E789" s="16" t="s">
        <v>2</v>
      </c>
      <c r="F789" s="17">
        <v>400</v>
      </c>
      <c r="G789" s="18" t="s">
        <v>24</v>
      </c>
      <c r="H789" s="9">
        <v>46027</v>
      </c>
      <c r="I789" s="10" t="s">
        <v>56</v>
      </c>
      <c r="J789" s="10" t="s">
        <v>3</v>
      </c>
      <c r="K789" s="11">
        <v>60</v>
      </c>
      <c r="O789" t="str" cm="1">
        <f t="array" ref="O789">_xlfn.LET(
_xlpm.corp,$I789,_xlpm.key,$M$2:$M$200,_xlpm.name,$N$2:$N$200,_xlpm.hits,_xlfn._xlws.FILTER(_xlpm.name,ISNUMBER(SEARCH(_xlpm.key,_xlpm.corp))),
IFERROR(INDEX(_xlpm.hits,1),_xlpm.corp))</f>
        <v>サンセイランディック</v>
      </c>
      <c r="P789" t="str">
        <f t="shared" si="52"/>
        <v>2026-01-05</v>
      </c>
      <c r="Q789" t="str">
        <f t="shared" si="55"/>
        <v>サンセイランディック/加工BL</v>
      </c>
      <c r="R789" t="str">
        <f t="shared" si="53"/>
        <v>加工BL</v>
      </c>
      <c r="S789">
        <f t="shared" si="54"/>
        <v>60</v>
      </c>
    </row>
    <row r="790" spans="1:19">
      <c r="A790" s="7">
        <v>70805</v>
      </c>
      <c r="B790" s="8" t="s">
        <v>23</v>
      </c>
      <c r="C790" s="9">
        <v>46027</v>
      </c>
      <c r="D790" s="10" t="s">
        <v>56</v>
      </c>
      <c r="E790" s="10" t="s">
        <v>3</v>
      </c>
      <c r="F790" s="11">
        <v>60</v>
      </c>
      <c r="G790" s="12" t="s">
        <v>24</v>
      </c>
      <c r="H790" s="15">
        <v>46027</v>
      </c>
      <c r="I790" s="16" t="s">
        <v>58</v>
      </c>
      <c r="J790" s="16" t="s">
        <v>9</v>
      </c>
      <c r="K790" s="17">
        <v>280</v>
      </c>
      <c r="O790" t="str" cm="1">
        <f t="array" ref="O790">_xlfn.LET(
_xlpm.corp,$I790,_xlpm.key,$M$2:$M$200,_xlpm.name,$N$2:$N$200,_xlpm.hits,_xlfn._xlws.FILTER(_xlpm.name,ISNUMBER(SEARCH(_xlpm.key,_xlpm.corp))),
IFERROR(INDEX(_xlpm.hits,1),_xlpm.corp))</f>
        <v>慈誠会</v>
      </c>
      <c r="P790" t="str">
        <f t="shared" si="52"/>
        <v>2026-01-05</v>
      </c>
      <c r="Q790" t="str">
        <f t="shared" si="55"/>
        <v>慈誠会</v>
      </c>
      <c r="R790" t="str">
        <f t="shared" si="53"/>
        <v>ベビーリーフ ロロロッサ</v>
      </c>
      <c r="S790">
        <f t="shared" si="54"/>
        <v>280</v>
      </c>
    </row>
    <row r="791" spans="1:19">
      <c r="A791" s="13">
        <v>70804</v>
      </c>
      <c r="B791" s="14" t="s">
        <v>23</v>
      </c>
      <c r="C791" s="15">
        <v>46027</v>
      </c>
      <c r="D791" s="16" t="s">
        <v>58</v>
      </c>
      <c r="E791" s="16" t="s">
        <v>9</v>
      </c>
      <c r="F791" s="17">
        <v>280</v>
      </c>
      <c r="G791" s="18" t="s">
        <v>24</v>
      </c>
      <c r="H791" s="9">
        <v>46027</v>
      </c>
      <c r="I791" s="10" t="s">
        <v>60</v>
      </c>
      <c r="J791" s="10" t="s">
        <v>3</v>
      </c>
      <c r="K791" s="11">
        <v>80</v>
      </c>
      <c r="O791" t="str" cm="1">
        <f t="array" ref="O791">_xlfn.LET(
_xlpm.corp,$I791,_xlpm.key,$M$2:$M$200,_xlpm.name,$N$2:$N$200,_xlpm.hits,_xlfn._xlws.FILTER(_xlpm.name,ISNUMBER(SEARCH(_xlpm.key,_xlpm.corp))),
IFERROR(INDEX(_xlpm.hits,1),_xlpm.corp))</f>
        <v>サンテレホン</v>
      </c>
      <c r="P791" t="str">
        <f t="shared" si="52"/>
        <v>2026-01-05</v>
      </c>
      <c r="Q791" t="str">
        <f t="shared" si="55"/>
        <v>サンテレホン/加工BL</v>
      </c>
      <c r="R791" t="str">
        <f t="shared" si="53"/>
        <v>加工BL</v>
      </c>
      <c r="S791">
        <f t="shared" si="54"/>
        <v>80</v>
      </c>
    </row>
    <row r="792" spans="1:19">
      <c r="A792" s="7">
        <v>70803</v>
      </c>
      <c r="B792" s="8" t="s">
        <v>23</v>
      </c>
      <c r="C792" s="9">
        <v>46027</v>
      </c>
      <c r="D792" s="10" t="s">
        <v>60</v>
      </c>
      <c r="E792" s="10" t="s">
        <v>3</v>
      </c>
      <c r="F792" s="11">
        <v>80</v>
      </c>
      <c r="G792" s="12" t="s">
        <v>24</v>
      </c>
      <c r="H792" s="15">
        <v>46027</v>
      </c>
      <c r="I792" s="16" t="s">
        <v>60</v>
      </c>
      <c r="J792" s="16" t="s">
        <v>4</v>
      </c>
      <c r="K792" s="17">
        <v>240</v>
      </c>
      <c r="O792" t="str" cm="1">
        <f t="array" ref="O792">_xlfn.LET(
_xlpm.corp,$I792,_xlpm.key,$M$2:$M$200,_xlpm.name,$N$2:$N$200,_xlpm.hits,_xlfn._xlws.FILTER(_xlpm.name,ISNUMBER(SEARCH(_xlpm.key,_xlpm.corp))),
IFERROR(INDEX(_xlpm.hits,1),_xlpm.corp))</f>
        <v>サンテレホン</v>
      </c>
      <c r="P792" t="str">
        <f t="shared" si="52"/>
        <v>2026-01-05</v>
      </c>
      <c r="Q792" t="str">
        <f t="shared" si="55"/>
        <v>サンテレホン</v>
      </c>
      <c r="R792" t="str">
        <f t="shared" si="53"/>
        <v>ベビーリーフ ピノグリーン</v>
      </c>
      <c r="S792">
        <f t="shared" si="54"/>
        <v>240</v>
      </c>
    </row>
    <row r="793" spans="1:19">
      <c r="A793" s="13">
        <v>70802</v>
      </c>
      <c r="B793" s="14" t="s">
        <v>23</v>
      </c>
      <c r="C793" s="15">
        <v>46027</v>
      </c>
      <c r="D793" s="16" t="s">
        <v>60</v>
      </c>
      <c r="E793" s="16" t="s">
        <v>4</v>
      </c>
      <c r="F793" s="17">
        <v>240</v>
      </c>
      <c r="G793" s="18" t="s">
        <v>24</v>
      </c>
      <c r="H793" s="9">
        <v>46027</v>
      </c>
      <c r="I793" s="10" t="s">
        <v>70</v>
      </c>
      <c r="J793" s="10" t="s">
        <v>9</v>
      </c>
      <c r="K793" s="20">
        <v>1040</v>
      </c>
      <c r="O793" t="str" cm="1">
        <f t="array" ref="O793">_xlfn.LET(
_xlpm.corp,$I793,_xlpm.key,$M$2:$M$200,_xlpm.name,$N$2:$N$200,_xlpm.hits,_xlfn._xlws.FILTER(_xlpm.name,ISNUMBER(SEARCH(_xlpm.key,_xlpm.corp))),
IFERROR(INDEX(_xlpm.hits,1),_xlpm.corp))</f>
        <v>富士機械</v>
      </c>
      <c r="P793" t="str">
        <f t="shared" si="52"/>
        <v>2026-01-05</v>
      </c>
      <c r="Q793" t="str">
        <f t="shared" si="55"/>
        <v>富士機械</v>
      </c>
      <c r="R793" t="str">
        <f t="shared" si="53"/>
        <v>ベビーリーフ ロロロッサ</v>
      </c>
      <c r="S793">
        <f t="shared" si="54"/>
        <v>1040</v>
      </c>
    </row>
    <row r="794" spans="1:19">
      <c r="A794" s="7">
        <v>70801</v>
      </c>
      <c r="B794" s="8" t="s">
        <v>23</v>
      </c>
      <c r="C794" s="9">
        <v>46027</v>
      </c>
      <c r="D794" s="10" t="s">
        <v>70</v>
      </c>
      <c r="E794" s="10" t="s">
        <v>9</v>
      </c>
      <c r="F794" s="20">
        <v>1040</v>
      </c>
      <c r="G794" s="12" t="s">
        <v>24</v>
      </c>
      <c r="H794" s="15">
        <v>46027</v>
      </c>
      <c r="I794" s="16" t="s">
        <v>71</v>
      </c>
      <c r="J794" s="16" t="s">
        <v>12</v>
      </c>
      <c r="K794" s="19">
        <v>1960</v>
      </c>
      <c r="O794" t="str" cm="1">
        <f t="array" ref="O794">_xlfn.LET(
_xlpm.corp,$I794,_xlpm.key,$M$2:$M$200,_xlpm.name,$N$2:$N$200,_xlpm.hits,_xlfn._xlws.FILTER(_xlpm.name,ISNUMBER(SEARCH(_xlpm.key,_xlpm.corp))),
IFERROR(INDEX(_xlpm.hits,1),_xlpm.corp))</f>
        <v>ソリトン</v>
      </c>
      <c r="P794" t="str">
        <f t="shared" si="52"/>
        <v>2026-01-05</v>
      </c>
      <c r="Q794" t="str">
        <f t="shared" si="55"/>
        <v>ソリトン/葉物野菜</v>
      </c>
      <c r="R794" t="str">
        <f t="shared" si="53"/>
        <v>ブロッコリースプラウト</v>
      </c>
      <c r="S794">
        <f t="shared" si="54"/>
        <v>1960</v>
      </c>
    </row>
    <row r="795" spans="1:19">
      <c r="A795" s="13">
        <v>70800</v>
      </c>
      <c r="B795" s="14" t="s">
        <v>23</v>
      </c>
      <c r="C795" s="15">
        <v>46027</v>
      </c>
      <c r="D795" s="16" t="s">
        <v>71</v>
      </c>
      <c r="E795" s="16" t="s">
        <v>12</v>
      </c>
      <c r="F795" s="19">
        <v>1960</v>
      </c>
      <c r="G795" s="18" t="s">
        <v>24</v>
      </c>
      <c r="H795" s="9">
        <v>46027</v>
      </c>
      <c r="I795" s="10" t="s">
        <v>72</v>
      </c>
      <c r="J795" s="10" t="s">
        <v>2</v>
      </c>
      <c r="K795" s="20">
        <v>1380</v>
      </c>
      <c r="O795" t="str" cm="1">
        <f t="array" ref="O795">_xlfn.LET(
_xlpm.corp,$I795,_xlpm.key,$M$2:$M$200,_xlpm.name,$N$2:$N$200,_xlpm.hits,_xlfn._xlws.FILTER(_xlpm.name,ISNUMBER(SEARCH(_xlpm.key,_xlpm.corp))),
IFERROR(INDEX(_xlpm.hits,1),_xlpm.corp))</f>
        <v>岡部</v>
      </c>
      <c r="P795" t="str">
        <f t="shared" si="52"/>
        <v>2026-01-05</v>
      </c>
      <c r="Q795" t="str">
        <f t="shared" si="55"/>
        <v>岡部</v>
      </c>
      <c r="R795" t="str">
        <f t="shared" si="53"/>
        <v>ベビーリーフ グリーンオーク</v>
      </c>
      <c r="S795">
        <f t="shared" si="54"/>
        <v>1380</v>
      </c>
    </row>
    <row r="796" spans="1:19">
      <c r="A796" s="7">
        <v>70799</v>
      </c>
      <c r="B796" s="8" t="s">
        <v>23</v>
      </c>
      <c r="C796" s="9">
        <v>46027</v>
      </c>
      <c r="D796" s="10" t="s">
        <v>72</v>
      </c>
      <c r="E796" s="10" t="s">
        <v>2</v>
      </c>
      <c r="F796" s="20">
        <v>1380</v>
      </c>
      <c r="G796" s="12" t="s">
        <v>24</v>
      </c>
      <c r="H796" s="15">
        <v>46027</v>
      </c>
      <c r="I796" s="16" t="s">
        <v>69</v>
      </c>
      <c r="J796" s="16" t="s">
        <v>9</v>
      </c>
      <c r="K796" s="17">
        <v>260</v>
      </c>
      <c r="O796" t="str" cm="1">
        <f t="array" ref="O796">_xlfn.LET(
_xlpm.corp,$I796,_xlpm.key,$M$2:$M$200,_xlpm.name,$N$2:$N$200,_xlpm.hits,_xlfn._xlws.FILTER(_xlpm.name,ISNUMBER(SEARCH(_xlpm.key,_xlpm.corp))),
IFERROR(INDEX(_xlpm.hits,1),_xlpm.corp))</f>
        <v>バリュエンス</v>
      </c>
      <c r="P796" t="str">
        <f t="shared" si="52"/>
        <v>2026-01-05</v>
      </c>
      <c r="Q796" t="str">
        <f t="shared" si="55"/>
        <v>バリュエンス</v>
      </c>
      <c r="R796" t="str">
        <f t="shared" si="53"/>
        <v>ベビーリーフ ロロロッサ</v>
      </c>
      <c r="S796">
        <f t="shared" si="54"/>
        <v>260</v>
      </c>
    </row>
    <row r="797" spans="1:19">
      <c r="A797" s="13">
        <v>70798</v>
      </c>
      <c r="B797" s="14" t="s">
        <v>23</v>
      </c>
      <c r="C797" s="15">
        <v>46027</v>
      </c>
      <c r="D797" s="16" t="s">
        <v>69</v>
      </c>
      <c r="E797" s="16" t="s">
        <v>9</v>
      </c>
      <c r="F797" s="17">
        <v>260</v>
      </c>
      <c r="G797" s="18" t="s">
        <v>24</v>
      </c>
      <c r="H797" s="9">
        <v>46027</v>
      </c>
      <c r="I797" s="10" t="s">
        <v>61</v>
      </c>
      <c r="J797" s="10" t="s">
        <v>62</v>
      </c>
      <c r="K797" s="11">
        <v>320</v>
      </c>
      <c r="O797" t="str" cm="1">
        <f t="array" ref="O797">_xlfn.LET(
_xlpm.corp,$I797,_xlpm.key,$M$2:$M$200,_xlpm.name,$N$2:$N$200,_xlpm.hits,_xlfn._xlws.FILTER(_xlpm.name,ISNUMBER(SEARCH(_xlpm.key,_xlpm.corp))),
IFERROR(INDEX(_xlpm.hits,1),_xlpm.corp))</f>
        <v>Adobe</v>
      </c>
      <c r="P797" t="str">
        <f t="shared" si="52"/>
        <v>2026-01-05</v>
      </c>
      <c r="Q797" t="str">
        <f t="shared" si="55"/>
        <v>Adobe</v>
      </c>
      <c r="R797" t="str">
        <f t="shared" si="53"/>
        <v>ベビーリーフ ロログリーン</v>
      </c>
      <c r="S797">
        <f t="shared" si="54"/>
        <v>320</v>
      </c>
    </row>
    <row r="798" spans="1:19">
      <c r="A798" s="7">
        <v>70797</v>
      </c>
      <c r="B798" s="8" t="s">
        <v>23</v>
      </c>
      <c r="C798" s="9">
        <v>46027</v>
      </c>
      <c r="D798" s="10" t="s">
        <v>61</v>
      </c>
      <c r="E798" s="10" t="s">
        <v>62</v>
      </c>
      <c r="F798" s="11">
        <v>320</v>
      </c>
      <c r="G798" s="12" t="s">
        <v>24</v>
      </c>
      <c r="H798" s="15">
        <v>46027</v>
      </c>
      <c r="I798" s="16" t="s">
        <v>64</v>
      </c>
      <c r="J798" s="16" t="s">
        <v>9</v>
      </c>
      <c r="K798" s="17">
        <v>280</v>
      </c>
      <c r="O798" t="str" cm="1">
        <f t="array" ref="O798">_xlfn.LET(
_xlpm.corp,$I798,_xlpm.key,$M$2:$M$200,_xlpm.name,$N$2:$N$200,_xlpm.hits,_xlfn._xlws.FILTER(_xlpm.name,ISNUMBER(SEARCH(_xlpm.key,_xlpm.corp))),
IFERROR(INDEX(_xlpm.hits,1),_xlpm.corp))</f>
        <v>NaITO</v>
      </c>
      <c r="P798" t="str">
        <f t="shared" si="52"/>
        <v>2026-01-05</v>
      </c>
      <c r="Q798" t="str">
        <f t="shared" si="55"/>
        <v>NaITO</v>
      </c>
      <c r="R798" t="str">
        <f t="shared" si="53"/>
        <v>ベビーリーフ ロロロッサ</v>
      </c>
      <c r="S798">
        <f t="shared" si="54"/>
        <v>280</v>
      </c>
    </row>
    <row r="799" spans="1:19">
      <c r="A799" s="13">
        <v>70796</v>
      </c>
      <c r="B799" s="14" t="s">
        <v>23</v>
      </c>
      <c r="C799" s="15">
        <v>46027</v>
      </c>
      <c r="D799" s="16" t="s">
        <v>64</v>
      </c>
      <c r="E799" s="16" t="s">
        <v>9</v>
      </c>
      <c r="F799" s="17">
        <v>280</v>
      </c>
      <c r="G799" s="18" t="s">
        <v>24</v>
      </c>
      <c r="H799" s="9">
        <v>46027</v>
      </c>
      <c r="I799" s="10" t="s">
        <v>57</v>
      </c>
      <c r="J799" s="10" t="s">
        <v>3</v>
      </c>
      <c r="K799" s="11">
        <v>120</v>
      </c>
      <c r="O799" t="str" cm="1">
        <f t="array" ref="O799">_xlfn.LET(
_xlpm.corp,$I799,_xlpm.key,$M$2:$M$200,_xlpm.name,$N$2:$N$200,_xlpm.hits,_xlfn._xlws.FILTER(_xlpm.name,ISNUMBER(SEARCH(_xlpm.key,_xlpm.corp))),
IFERROR(INDEX(_xlpm.hits,1),_xlpm.corp))</f>
        <v>QB</v>
      </c>
      <c r="P799" t="str">
        <f t="shared" si="52"/>
        <v>2026-01-05</v>
      </c>
      <c r="Q799" t="str">
        <f t="shared" si="55"/>
        <v>QB/加工BL</v>
      </c>
      <c r="R799" t="str">
        <f t="shared" si="53"/>
        <v>加工BL</v>
      </c>
      <c r="S799">
        <f t="shared" si="54"/>
        <v>120</v>
      </c>
    </row>
    <row r="800" spans="1:19">
      <c r="A800" s="7">
        <v>70795</v>
      </c>
      <c r="B800" s="8" t="s">
        <v>23</v>
      </c>
      <c r="C800" s="9">
        <v>46027</v>
      </c>
      <c r="D800" s="10" t="s">
        <v>57</v>
      </c>
      <c r="E800" s="10" t="s">
        <v>3</v>
      </c>
      <c r="F800" s="11">
        <v>120</v>
      </c>
      <c r="G800" s="12" t="s">
        <v>24</v>
      </c>
      <c r="H800" s="15">
        <v>46027</v>
      </c>
      <c r="I800" s="16" t="s">
        <v>57</v>
      </c>
      <c r="J800" s="16" t="s">
        <v>2</v>
      </c>
      <c r="K800" s="17">
        <v>160</v>
      </c>
      <c r="O800" t="str" cm="1">
        <f t="array" ref="O800">_xlfn.LET(
_xlpm.corp,$I800,_xlpm.key,$M$2:$M$200,_xlpm.name,$N$2:$N$200,_xlpm.hits,_xlfn._xlws.FILTER(_xlpm.name,ISNUMBER(SEARCH(_xlpm.key,_xlpm.corp))),
IFERROR(INDEX(_xlpm.hits,1),_xlpm.corp))</f>
        <v>QB</v>
      </c>
      <c r="P800" t="str">
        <f t="shared" si="52"/>
        <v>2026-01-05</v>
      </c>
      <c r="Q800" t="str">
        <f t="shared" si="55"/>
        <v>QB</v>
      </c>
      <c r="R800" t="str">
        <f t="shared" si="53"/>
        <v>ベビーリーフ グリーンオーク</v>
      </c>
      <c r="S800">
        <f t="shared" si="54"/>
        <v>160</v>
      </c>
    </row>
    <row r="801" spans="1:19">
      <c r="A801" s="13">
        <v>70794</v>
      </c>
      <c r="B801" s="14" t="s">
        <v>23</v>
      </c>
      <c r="C801" s="15">
        <v>46027</v>
      </c>
      <c r="D801" s="16" t="s">
        <v>57</v>
      </c>
      <c r="E801" s="16" t="s">
        <v>2</v>
      </c>
      <c r="F801" s="17">
        <v>160</v>
      </c>
      <c r="G801" s="18" t="s">
        <v>24</v>
      </c>
      <c r="H801" s="9">
        <v>46027</v>
      </c>
      <c r="I801" s="10" t="s">
        <v>57</v>
      </c>
      <c r="J801" s="10" t="s">
        <v>3</v>
      </c>
      <c r="K801" s="11">
        <v>180</v>
      </c>
      <c r="O801" t="str" cm="1">
        <f t="array" ref="O801">_xlfn.LET(
_xlpm.corp,$I801,_xlpm.key,$M$2:$M$200,_xlpm.name,$N$2:$N$200,_xlpm.hits,_xlfn._xlws.FILTER(_xlpm.name,ISNUMBER(SEARCH(_xlpm.key,_xlpm.corp))),
IFERROR(INDEX(_xlpm.hits,1),_xlpm.corp))</f>
        <v>QB</v>
      </c>
      <c r="P801" t="str">
        <f t="shared" si="52"/>
        <v>2026-01-05</v>
      </c>
      <c r="Q801" t="str">
        <f t="shared" si="55"/>
        <v>QB/加工BL</v>
      </c>
      <c r="R801" t="str">
        <f t="shared" si="53"/>
        <v>加工BL</v>
      </c>
      <c r="S801">
        <f t="shared" si="54"/>
        <v>180</v>
      </c>
    </row>
    <row r="802" spans="1:19">
      <c r="A802" s="7">
        <v>70793</v>
      </c>
      <c r="B802" s="8" t="s">
        <v>23</v>
      </c>
      <c r="C802" s="9">
        <v>46027</v>
      </c>
      <c r="D802" s="10" t="s">
        <v>57</v>
      </c>
      <c r="E802" s="10" t="s">
        <v>3</v>
      </c>
      <c r="F802" s="11">
        <v>180</v>
      </c>
      <c r="G802" s="12" t="s">
        <v>24</v>
      </c>
      <c r="H802" s="15">
        <v>46027</v>
      </c>
      <c r="I802" s="16" t="s">
        <v>57</v>
      </c>
      <c r="J802" s="16" t="s">
        <v>4</v>
      </c>
      <c r="K802" s="17">
        <v>260</v>
      </c>
      <c r="O802" t="str" cm="1">
        <f t="array" ref="O802">_xlfn.LET(
_xlpm.corp,$I802,_xlpm.key,$M$2:$M$200,_xlpm.name,$N$2:$N$200,_xlpm.hits,_xlfn._xlws.FILTER(_xlpm.name,ISNUMBER(SEARCH(_xlpm.key,_xlpm.corp))),
IFERROR(INDEX(_xlpm.hits,1),_xlpm.corp))</f>
        <v>QB</v>
      </c>
      <c r="P802" t="str">
        <f t="shared" si="52"/>
        <v>2026-01-05</v>
      </c>
      <c r="Q802" t="str">
        <f t="shared" si="55"/>
        <v>QB</v>
      </c>
      <c r="R802" t="str">
        <f t="shared" si="53"/>
        <v>ベビーリーフ ピノグリーン</v>
      </c>
      <c r="S802">
        <f t="shared" si="54"/>
        <v>260</v>
      </c>
    </row>
    <row r="803" spans="1:19">
      <c r="A803" s="13">
        <v>70792</v>
      </c>
      <c r="B803" s="14" t="s">
        <v>23</v>
      </c>
      <c r="C803" s="15">
        <v>46027</v>
      </c>
      <c r="D803" s="16" t="s">
        <v>57</v>
      </c>
      <c r="E803" s="16" t="s">
        <v>4</v>
      </c>
      <c r="F803" s="17">
        <v>260</v>
      </c>
      <c r="G803" s="18" t="s">
        <v>24</v>
      </c>
      <c r="H803" s="9">
        <v>46027</v>
      </c>
      <c r="I803" s="10" t="s">
        <v>69</v>
      </c>
      <c r="J803" s="10" t="s">
        <v>9</v>
      </c>
      <c r="K803" s="11">
        <v>320</v>
      </c>
      <c r="O803" t="str" cm="1">
        <f t="array" ref="O803">_xlfn.LET(
_xlpm.corp,$I803,_xlpm.key,$M$2:$M$200,_xlpm.name,$N$2:$N$200,_xlpm.hits,_xlfn._xlws.FILTER(_xlpm.name,ISNUMBER(SEARCH(_xlpm.key,_xlpm.corp))),
IFERROR(INDEX(_xlpm.hits,1),_xlpm.corp))</f>
        <v>バリュエンス</v>
      </c>
      <c r="P803" t="str">
        <f t="shared" si="52"/>
        <v>2026-01-05</v>
      </c>
      <c r="Q803" t="str">
        <f t="shared" si="55"/>
        <v>バリュエンス</v>
      </c>
      <c r="R803" t="str">
        <f t="shared" si="53"/>
        <v>ベビーリーフ ロロロッサ</v>
      </c>
      <c r="S803">
        <f t="shared" si="54"/>
        <v>320</v>
      </c>
    </row>
    <row r="804" spans="1:19">
      <c r="A804" s="7">
        <v>70791</v>
      </c>
      <c r="B804" s="8" t="s">
        <v>23</v>
      </c>
      <c r="C804" s="9">
        <v>46027</v>
      </c>
      <c r="D804" s="10" t="s">
        <v>69</v>
      </c>
      <c r="E804" s="10" t="s">
        <v>9</v>
      </c>
      <c r="F804" s="11">
        <v>320</v>
      </c>
      <c r="G804" s="12" t="s">
        <v>24</v>
      </c>
      <c r="H804" s="15">
        <v>46027</v>
      </c>
      <c r="I804" s="16" t="s">
        <v>59</v>
      </c>
      <c r="J804" s="16" t="s">
        <v>4</v>
      </c>
      <c r="K804" s="17">
        <v>60</v>
      </c>
      <c r="O804" t="str" cm="1">
        <f t="array" ref="O804">_xlfn.LET(
_xlpm.corp,$I804,_xlpm.key,$M$2:$M$200,_xlpm.name,$N$2:$N$200,_xlpm.hits,_xlfn._xlws.FILTER(_xlpm.name,ISNUMBER(SEARCH(_xlpm.key,_xlpm.corp))),
IFERROR(INDEX(_xlpm.hits,1),_xlpm.corp))</f>
        <v>三和</v>
      </c>
      <c r="P804" t="str">
        <f t="shared" si="52"/>
        <v>2026-01-05</v>
      </c>
      <c r="Q804" t="str">
        <f t="shared" si="55"/>
        <v>三和</v>
      </c>
      <c r="R804" t="str">
        <f t="shared" si="53"/>
        <v>ベビーリーフ ピノグリーン</v>
      </c>
      <c r="S804">
        <f t="shared" si="54"/>
        <v>60</v>
      </c>
    </row>
    <row r="805" spans="1:19">
      <c r="A805" s="13">
        <v>70790</v>
      </c>
      <c r="B805" s="14" t="s">
        <v>23</v>
      </c>
      <c r="C805" s="15">
        <v>46027</v>
      </c>
      <c r="D805" s="16" t="s">
        <v>59</v>
      </c>
      <c r="E805" s="16" t="s">
        <v>4</v>
      </c>
      <c r="F805" s="17">
        <v>60</v>
      </c>
      <c r="G805" s="18" t="s">
        <v>24</v>
      </c>
      <c r="H805" s="9">
        <v>46027</v>
      </c>
      <c r="I805" s="10" t="s">
        <v>58</v>
      </c>
      <c r="J805" s="10" t="s">
        <v>9</v>
      </c>
      <c r="K805" s="11">
        <v>400</v>
      </c>
      <c r="O805" t="str" cm="1">
        <f t="array" ref="O805">_xlfn.LET(
_xlpm.corp,$I805,_xlpm.key,$M$2:$M$200,_xlpm.name,$N$2:$N$200,_xlpm.hits,_xlfn._xlws.FILTER(_xlpm.name,ISNUMBER(SEARCH(_xlpm.key,_xlpm.corp))),
IFERROR(INDEX(_xlpm.hits,1),_xlpm.corp))</f>
        <v>慈誠会</v>
      </c>
      <c r="P805" t="str">
        <f t="shared" si="52"/>
        <v>2026-01-05</v>
      </c>
      <c r="Q805" t="str">
        <f t="shared" si="55"/>
        <v>慈誠会</v>
      </c>
      <c r="R805" t="str">
        <f t="shared" si="53"/>
        <v>ベビーリーフ ロロロッサ</v>
      </c>
      <c r="S805">
        <f t="shared" si="54"/>
        <v>400</v>
      </c>
    </row>
    <row r="806" spans="1:19">
      <c r="A806" s="7">
        <v>70789</v>
      </c>
      <c r="B806" s="8" t="s">
        <v>23</v>
      </c>
      <c r="C806" s="9">
        <v>46027</v>
      </c>
      <c r="D806" s="10" t="s">
        <v>58</v>
      </c>
      <c r="E806" s="10" t="s">
        <v>9</v>
      </c>
      <c r="F806" s="11">
        <v>400</v>
      </c>
      <c r="G806" s="12" t="s">
        <v>24</v>
      </c>
      <c r="H806" s="10"/>
    </row>
  </sheetData>
  <phoneticPr fontId="1"/>
  <hyperlinks>
    <hyperlink ref="A4" r:id="rId1" display="https://www.nrg-farms.com/FarMS/harvest/reference?harvest_id=73479" xr:uid="{72EA6101-F103-4C3D-8A1B-BBEBD2AABA83}"/>
    <hyperlink ref="A5" r:id="rId2" display="https://www.nrg-farms.com/FarMS/harvest/reference?harvest_id=73478" xr:uid="{7D8B057C-016F-47AB-9AE1-842020E3739E}"/>
    <hyperlink ref="A6" r:id="rId3" display="https://www.nrg-farms.com/FarMS/harvest/reference?harvest_id=73477" xr:uid="{8AC73B98-95A1-40BC-9037-8122DDFAA450}"/>
    <hyperlink ref="A7" r:id="rId4" display="https://www.nrg-farms.com/FarMS/harvest/reference?harvest_id=73476" xr:uid="{AC161660-25B6-446C-9063-AC54AE0EC450}"/>
    <hyperlink ref="A8" r:id="rId5" display="https://www.nrg-farms.com/FarMS/harvest/reference?harvest_id=73475" xr:uid="{7F88C1E6-6831-4E9E-91C8-23278A4554DE}"/>
    <hyperlink ref="A9" r:id="rId6" display="https://www.nrg-farms.com/FarMS/harvest/reference?harvest_id=73474" xr:uid="{E8947B0D-26E7-4A1B-A05A-36D031CFB414}"/>
    <hyperlink ref="A10" r:id="rId7" display="https://www.nrg-farms.com/FarMS/harvest/reference?harvest_id=73473" xr:uid="{429A5CE4-993D-4F0C-8B12-951BF2F3632A}"/>
    <hyperlink ref="A11" r:id="rId8" display="https://www.nrg-farms.com/FarMS/harvest/reference?harvest_id=73472" xr:uid="{2395ADD0-66BC-4A15-9CFE-53C99099B3D5}"/>
    <hyperlink ref="A12" r:id="rId9" display="https://www.nrg-farms.com/FarMS/harvest/reference?harvest_id=73471" xr:uid="{7AF91646-581D-40DB-9623-14C5AEFA8C96}"/>
    <hyperlink ref="A13" r:id="rId10" display="https://www.nrg-farms.com/FarMS/harvest/reference?harvest_id=73470" xr:uid="{7EB04446-9181-47BA-B17A-A927AB416748}"/>
    <hyperlink ref="A14" r:id="rId11" display="https://www.nrg-farms.com/FarMS/harvest/reference?harvest_id=73469" xr:uid="{198687C4-1186-454A-86E4-50146412B6E8}"/>
    <hyperlink ref="A15" r:id="rId12" display="https://www.nrg-farms.com/FarMS/harvest/reference?harvest_id=73468" xr:uid="{2BD81B8F-7EA4-4ED7-B082-C7FE4B431A43}"/>
    <hyperlink ref="A16" r:id="rId13" display="https://www.nrg-farms.com/FarMS/harvest/reference?harvest_id=73467" xr:uid="{C066840F-8D5C-4AAB-9357-DB7623C87D6E}"/>
    <hyperlink ref="A17" r:id="rId14" display="https://www.nrg-farms.com/FarMS/harvest/reference?harvest_id=73466" xr:uid="{55BF21C2-480E-4D72-8503-E103346A2EDD}"/>
    <hyperlink ref="A18" r:id="rId15" display="https://www.nrg-farms.com/FarMS/harvest/reference?harvest_id=73465" xr:uid="{A8694F93-5509-4482-80BD-55DF25AEF005}"/>
    <hyperlink ref="A19" r:id="rId16" display="https://www.nrg-farms.com/FarMS/harvest/reference?harvest_id=73464" xr:uid="{04F4BD14-0EA5-410F-9C49-69F2D38EB6E2}"/>
    <hyperlink ref="A20" r:id="rId17" display="https://www.nrg-farms.com/FarMS/harvest/reference?harvest_id=73463" xr:uid="{FED1E152-1C65-4F28-A706-F446B3BE4480}"/>
    <hyperlink ref="A21" r:id="rId18" display="https://www.nrg-farms.com/FarMS/harvest/reference?harvest_id=73462" xr:uid="{FE216152-2D88-4251-B590-907AB9AABDDC}"/>
    <hyperlink ref="A22" r:id="rId19" display="https://www.nrg-farms.com/FarMS/harvest/reference?harvest_id=73461" xr:uid="{777D50D0-FF51-4AC1-B3D6-597396C936FC}"/>
    <hyperlink ref="A23" r:id="rId20" display="https://www.nrg-farms.com/FarMS/harvest/reference?harvest_id=73460" xr:uid="{890547D6-5B0E-444E-8C91-59132F52FFDD}"/>
    <hyperlink ref="A24" r:id="rId21" display="https://www.nrg-farms.com/FarMS/harvest/reference?harvest_id=73459" xr:uid="{4FD6DDE6-0FFC-47F6-8B60-B7DC6996E00B}"/>
    <hyperlink ref="A25" r:id="rId22" display="https://www.nrg-farms.com/FarMS/harvest/reference?harvest_id=73391" xr:uid="{06ADEC50-8A2E-404A-83E3-A5F7C9018CFA}"/>
    <hyperlink ref="A26" r:id="rId23" display="https://www.nrg-farms.com/FarMS/harvest/reference?harvest_id=73390" xr:uid="{357462C3-5985-41EC-9CEE-24A508A065B0}"/>
    <hyperlink ref="A27" r:id="rId24" display="https://www.nrg-farms.com/FarMS/harvest/reference?harvest_id=73389" xr:uid="{4ED5389B-1D12-4EDC-8610-2AF3042C3295}"/>
    <hyperlink ref="A28" r:id="rId25" display="https://www.nrg-farms.com/FarMS/harvest/reference?harvest_id=73388" xr:uid="{D73A223B-C1DA-40CE-A39E-6CA157844EB5}"/>
    <hyperlink ref="A29" r:id="rId26" display="https://www.nrg-farms.com/FarMS/harvest/reference?harvest_id=73368" xr:uid="{A423CE8B-87ED-4F11-8B77-85A091B4A2CB}"/>
    <hyperlink ref="A30" r:id="rId27" display="https://www.nrg-farms.com/FarMS/harvest/reference?harvest_id=73458" xr:uid="{450C3259-A1D0-46CC-9B3A-BBFC4E85C31F}"/>
    <hyperlink ref="A31" r:id="rId28" display="https://www.nrg-farms.com/FarMS/harvest/reference?harvest_id=73457" xr:uid="{4A2B9308-FFD8-4A35-AAE1-8A5908F6A93B}"/>
    <hyperlink ref="A32" r:id="rId29" display="https://www.nrg-farms.com/FarMS/harvest/reference?harvest_id=73456" xr:uid="{2FB2D2B5-4FD5-4F3F-96B1-CEE607A4662E}"/>
    <hyperlink ref="A33" r:id="rId30" display="https://www.nrg-farms.com/FarMS/harvest/reference?harvest_id=73387" xr:uid="{BED5831C-88C7-4956-8AD1-4C38B8F29093}"/>
    <hyperlink ref="A34" r:id="rId31" display="https://www.nrg-farms.com/FarMS/harvest/reference?harvest_id=73386" xr:uid="{F8E4D7D8-9446-4818-9B01-4BA26E18FF42}"/>
    <hyperlink ref="A35" r:id="rId32" display="https://www.nrg-farms.com/FarMS/harvest/reference?harvest_id=72998" xr:uid="{ACAB2A58-57A5-4E6D-A745-5EB62DB41A3B}"/>
    <hyperlink ref="A36" r:id="rId33" display="https://www.nrg-farms.com/FarMS/harvest/reference?harvest_id=72997" xr:uid="{F6928D35-9BEB-454D-8546-AC3A44085E51}"/>
    <hyperlink ref="A37" r:id="rId34" display="https://www.nrg-farms.com/FarMS/harvest/reference?harvest_id=72996" xr:uid="{A47E61C2-029D-4DED-9BFF-E0BD0662C161}"/>
    <hyperlink ref="A38" r:id="rId35" display="https://www.nrg-farms.com/FarMS/harvest/reference?harvest_id=72995" xr:uid="{793634CF-BF6C-4D56-9E19-27D180E5DAF4}"/>
    <hyperlink ref="A39" r:id="rId36" display="https://www.nrg-farms.com/FarMS/harvest/reference?harvest_id=72994" xr:uid="{0B6AA2FD-45B9-41B0-AB40-98BF1A3E4FE2}"/>
    <hyperlink ref="A40" r:id="rId37" display="https://www.nrg-farms.com/FarMS/harvest/reference?harvest_id=72993" xr:uid="{59567137-BC07-4D8F-9E12-A8EB066F2A86}"/>
    <hyperlink ref="A41" r:id="rId38" display="https://www.nrg-farms.com/FarMS/harvest/reference?harvest_id=72992" xr:uid="{56F344CA-C672-4E9D-91DE-F9C1D5AE01EC}"/>
    <hyperlink ref="A42" r:id="rId39" display="https://www.nrg-farms.com/FarMS/harvest/reference?harvest_id=72991" xr:uid="{8B241CC4-5BA3-44B0-BCD3-3DF6CB2ADB7A}"/>
    <hyperlink ref="A43" r:id="rId40" display="https://www.nrg-farms.com/FarMS/harvest/reference?harvest_id=72990" xr:uid="{367A1D6F-EE82-4C1A-903B-A35F5EEBC0E2}"/>
    <hyperlink ref="A44" r:id="rId41" display="https://www.nrg-farms.com/FarMS/harvest/reference?harvest_id=72989" xr:uid="{3424A022-F07C-40B9-AB40-E5A768FCDAD4}"/>
    <hyperlink ref="A45" r:id="rId42" display="https://www.nrg-farms.com/FarMS/harvest/reference?harvest_id=72988" xr:uid="{14B46B2F-BB43-4E60-A4FE-84C9EC41E359}"/>
    <hyperlink ref="A46" r:id="rId43" display="https://www.nrg-farms.com/FarMS/harvest/reference?harvest_id=72987" xr:uid="{641F7B84-9174-4772-A6ED-F93256CFFF83}"/>
    <hyperlink ref="A47" r:id="rId44" display="https://www.nrg-farms.com/FarMS/harvest/reference?harvest_id=72986" xr:uid="{01CC8CBB-C244-41AC-AEA8-48AA4BFE7CF6}"/>
    <hyperlink ref="A48" r:id="rId45" display="https://www.nrg-farms.com/FarMS/harvest/reference?harvest_id=72985" xr:uid="{9D39CECC-650A-496A-A0D4-9D8A1C4B153D}"/>
    <hyperlink ref="A49" r:id="rId46" display="https://www.nrg-farms.com/FarMS/harvest/reference?harvest_id=72984" xr:uid="{7089D248-158B-45E4-8986-5F875556F907}"/>
    <hyperlink ref="A50" r:id="rId47" display="https://www.nrg-farms.com/FarMS/harvest/reference?harvest_id=72983" xr:uid="{2D27D085-71E1-4799-97AC-D0F8DBC1C02F}"/>
    <hyperlink ref="A51" r:id="rId48" display="https://www.nrg-farms.com/FarMS/harvest/reference?harvest_id=72982" xr:uid="{3EA0AF0A-83A6-401E-83BD-3E219C00DEF8}"/>
    <hyperlink ref="A52" r:id="rId49" display="https://www.nrg-farms.com/FarMS/harvest/reference?harvest_id=72981" xr:uid="{B78B9172-942F-4A05-8D1F-68CC06E4F9B6}"/>
    <hyperlink ref="A53" r:id="rId50" display="https://www.nrg-farms.com/FarMS/harvest/reference?harvest_id=72980" xr:uid="{5708E1C1-5CE1-4460-B6A9-1C339B33B8D9}"/>
    <hyperlink ref="A54" r:id="rId51" display="https://www.nrg-farms.com/FarMS/harvest/reference?harvest_id=72979" xr:uid="{1F28B93F-3EAE-41C5-BEF9-5BA86FCC6A2B}"/>
    <hyperlink ref="A55" r:id="rId52" display="https://www.nrg-farms.com/FarMS/harvest/reference?harvest_id=72978" xr:uid="{F30A0B47-DD84-4490-A274-A09713C015BB}"/>
    <hyperlink ref="A56" r:id="rId53" display="https://www.nrg-farms.com/FarMS/harvest/reference?harvest_id=72976" xr:uid="{BF1D74EB-8351-49D3-ABBD-8A2C62BBD64B}"/>
    <hyperlink ref="A57" r:id="rId54" display="https://www.nrg-farms.com/FarMS/harvest/reference?harvest_id=72975" xr:uid="{551F5D19-DD49-413B-B50D-7E0CDAAAF20C}"/>
    <hyperlink ref="A58" r:id="rId55" display="https://www.nrg-farms.com/FarMS/harvest/reference?harvest_id=72974" xr:uid="{9848E9AE-C597-4A5D-9177-F2E212930BE9}"/>
    <hyperlink ref="A59" r:id="rId56" display="https://www.nrg-farms.com/FarMS/harvest/reference?harvest_id=72973" xr:uid="{004B6655-DC17-4EB1-BF2B-10769083B931}"/>
    <hyperlink ref="A60" r:id="rId57" display="https://www.nrg-farms.com/FarMS/harvest/reference?harvest_id=72972" xr:uid="{E53D4695-4731-4159-98B3-24F9F5D8AB9B}"/>
    <hyperlink ref="A61" r:id="rId58" display="https://www.nrg-farms.com/FarMS/harvest/reference?harvest_id=72971" xr:uid="{2F2F7736-90FD-4D41-B612-E25D2AA0BEDE}"/>
    <hyperlink ref="A62" r:id="rId59" display="https://www.nrg-farms.com/FarMS/harvest/reference?harvest_id=72970" xr:uid="{DBD0DAE4-8E9F-4002-AB26-20D2B839CF6E}"/>
    <hyperlink ref="A63" r:id="rId60" display="https://www.nrg-farms.com/FarMS/harvest/reference?harvest_id=72969" xr:uid="{873EDEC2-5D50-4B1D-9BAE-A2BD0AC62B98}"/>
    <hyperlink ref="A64" r:id="rId61" display="https://www.nrg-farms.com/FarMS/harvest/reference?harvest_id=72968" xr:uid="{6381FFA3-AC0B-429B-A27D-4DE272ABDB70}"/>
    <hyperlink ref="A65" r:id="rId62" display="https://www.nrg-farms.com/FarMS/harvest/reference?harvest_id=72967" xr:uid="{44290A25-6A35-4589-B8B2-AA4B0BB0DF4D}"/>
    <hyperlink ref="A66" r:id="rId63" display="https://www.nrg-farms.com/FarMS/harvest/reference?harvest_id=72966" xr:uid="{DD7D33B1-304D-4459-9BD4-19E86045514C}"/>
    <hyperlink ref="A67" r:id="rId64" display="https://www.nrg-farms.com/FarMS/harvest/reference?harvest_id=72965" xr:uid="{882C82BE-3BEB-4F49-B98C-E119E8692871}"/>
    <hyperlink ref="A68" r:id="rId65" display="https://www.nrg-farms.com/FarMS/harvest/reference?harvest_id=72964" xr:uid="{FB5BD6D6-9A9F-47A9-86CE-A2CED4BBD6FC}"/>
    <hyperlink ref="A69" r:id="rId66" display="https://www.nrg-farms.com/FarMS/harvest/reference?harvest_id=72963" xr:uid="{B94CBED4-E661-40F0-A559-76B35B158F8F}"/>
    <hyperlink ref="A70" r:id="rId67" display="https://www.nrg-farms.com/FarMS/harvest/reference?harvest_id=72962" xr:uid="{6530ADD4-2F8C-41B2-A09C-08F81B9BBBE8}"/>
    <hyperlink ref="A71" r:id="rId68" display="https://www.nrg-farms.com/FarMS/harvest/reference?harvest_id=73455" xr:uid="{A0B7ED7A-2B5B-4D67-84BC-BCB124DB260A}"/>
    <hyperlink ref="A72" r:id="rId69" display="https://www.nrg-farms.com/FarMS/harvest/reference?harvest_id=73454" xr:uid="{6BC7BF8F-C898-44D8-B231-980AA4F12D83}"/>
    <hyperlink ref="A73" r:id="rId70" display="https://www.nrg-farms.com/FarMS/harvest/reference?harvest_id=73453" xr:uid="{F6DA3082-7C0B-4CE6-9A2A-0E3C5B869A4D}"/>
    <hyperlink ref="A74" r:id="rId71" display="https://www.nrg-farms.com/FarMS/harvest/reference?harvest_id=72961" xr:uid="{6CAFBDCD-82CE-4C0F-9578-6BDF8DC20657}"/>
    <hyperlink ref="A75" r:id="rId72" display="https://www.nrg-farms.com/FarMS/harvest/reference?harvest_id=72960" xr:uid="{A9AB2296-D308-454B-A143-8719643447A2}"/>
    <hyperlink ref="A76" r:id="rId73" display="https://www.nrg-farms.com/FarMS/harvest/reference?harvest_id=72959" xr:uid="{026DB6BE-F592-42CE-9B26-6F30C82906F7}"/>
    <hyperlink ref="A77" r:id="rId74" display="https://www.nrg-farms.com/FarMS/harvest/reference?harvest_id=72958" xr:uid="{2818FBA9-04D0-4B64-B13D-6E973B9463BD}"/>
    <hyperlink ref="A78" r:id="rId75" display="https://www.nrg-farms.com/FarMS/harvest/reference?harvest_id=72957" xr:uid="{18BABEBC-A9E5-4E4E-A632-DDD75083518B}"/>
    <hyperlink ref="A79" r:id="rId76" display="https://www.nrg-farms.com/FarMS/harvest/reference?harvest_id=72956" xr:uid="{874BBBCE-542C-4315-AFF3-785912C1AA96}"/>
    <hyperlink ref="A80" r:id="rId77" display="https://www.nrg-farms.com/FarMS/harvest/reference?harvest_id=72955" xr:uid="{26AA5C59-A491-4533-9C79-79FE28C8E7DB}"/>
    <hyperlink ref="A81" r:id="rId78" display="https://www.nrg-farms.com/FarMS/harvest/reference?harvest_id=72954" xr:uid="{B1723143-EE71-4C2A-BE6E-BA4DEE380AA5}"/>
    <hyperlink ref="A82" r:id="rId79" display="https://www.nrg-farms.com/FarMS/harvest/reference?harvest_id=72953" xr:uid="{CA4466A3-4F41-45BC-BB7B-63082B8C49BC}"/>
    <hyperlink ref="A83" r:id="rId80" display="https://www.nrg-farms.com/FarMS/harvest/reference?harvest_id=72952" xr:uid="{CC8FB7C0-8D26-4C89-9BA0-D83EC4F55E4D}"/>
    <hyperlink ref="A84" r:id="rId81" display="https://www.nrg-farms.com/FarMS/harvest/reference?harvest_id=72951" xr:uid="{0EB46480-6A68-4F42-8F66-1DB97F7770C1}"/>
    <hyperlink ref="A85" r:id="rId82" display="https://www.nrg-farms.com/FarMS/harvest/reference?harvest_id=72950" xr:uid="{C8B3EA6B-D806-4611-A426-9F1128B170B1}"/>
    <hyperlink ref="A86" r:id="rId83" display="https://www.nrg-farms.com/FarMS/harvest/reference?harvest_id=72949" xr:uid="{EDF16400-BF9E-4C27-A95C-6EFD77006990}"/>
    <hyperlink ref="A87" r:id="rId84" display="https://www.nrg-farms.com/FarMS/harvest/reference?harvest_id=72948" xr:uid="{0DAE9A1B-6EBE-4DD8-A3EA-65E27C89BDA2}"/>
    <hyperlink ref="A88" r:id="rId85" display="https://www.nrg-farms.com/FarMS/harvest/reference?harvest_id=72947" xr:uid="{8C6AA526-F0D3-4166-AD2A-013785F8DD41}"/>
    <hyperlink ref="A89" r:id="rId86" display="https://www.nrg-farms.com/FarMS/harvest/reference?harvest_id=72946" xr:uid="{EC3BF93E-4304-481E-90BB-E5F11A3F4AA6}"/>
    <hyperlink ref="A90" r:id="rId87" display="https://www.nrg-farms.com/FarMS/harvest/reference?harvest_id=72945" xr:uid="{63A4557D-0C13-4504-8F88-B1256A4A8A8B}"/>
    <hyperlink ref="A91" r:id="rId88" display="https://www.nrg-farms.com/FarMS/harvest/reference?harvest_id=72944" xr:uid="{1B869B5A-1D5D-4465-B264-E8A868FDD1F0}"/>
    <hyperlink ref="A92" r:id="rId89" display="https://www.nrg-farms.com/FarMS/harvest/reference?harvest_id=72943" xr:uid="{9FEFEC1E-BBD0-44D8-A141-F9E108558DC9}"/>
    <hyperlink ref="A93" r:id="rId90" display="https://www.nrg-farms.com/FarMS/harvest/reference?harvest_id=72942" xr:uid="{9D260943-C062-4E80-9CF9-6C890135FC2F}"/>
    <hyperlink ref="A94" r:id="rId91" display="https://www.nrg-farms.com/FarMS/harvest/reference?harvest_id=72941" xr:uid="{5EA1020B-737F-401C-8534-C41E38C0E06B}"/>
    <hyperlink ref="A95" r:id="rId92" display="https://www.nrg-farms.com/FarMS/harvest/reference?harvest_id=72940" xr:uid="{14C69199-E951-415D-81F3-AE79649A5ACF}"/>
    <hyperlink ref="A96" r:id="rId93" display="https://www.nrg-farms.com/FarMS/harvest/reference?harvest_id=72939" xr:uid="{B6D62787-63B4-4DE1-B2F6-607D53EB3FD0}"/>
    <hyperlink ref="A97" r:id="rId94" display="https://www.nrg-farms.com/FarMS/harvest/reference?harvest_id=72938" xr:uid="{30D3B5B7-BC1E-4A46-A90E-AF78D647E185}"/>
    <hyperlink ref="A98" r:id="rId95" display="https://www.nrg-farms.com/FarMS/harvest/reference?harvest_id=72937" xr:uid="{EBB5A1AA-2D90-4630-A4CF-EFCEB9D9A902}"/>
    <hyperlink ref="A99" r:id="rId96" display="https://www.nrg-farms.com/FarMS/harvest/reference?harvest_id=72936" xr:uid="{2B452A69-3079-475E-AD41-FFD5B5207F78}"/>
    <hyperlink ref="A100" r:id="rId97" display="https://www.nrg-farms.com/FarMS/harvest/reference?harvest_id=72935" xr:uid="{077F9988-7A3C-42DB-A85A-2D2DD2FF5B0E}"/>
    <hyperlink ref="A101" r:id="rId98" display="https://www.nrg-farms.com/FarMS/harvest/reference?harvest_id=72934" xr:uid="{C6A278A9-3D96-47B7-9FB2-CF5AF215F3C8}"/>
    <hyperlink ref="A102" r:id="rId99" display="https://www.nrg-farms.com/FarMS/harvest/reference?harvest_id=72933" xr:uid="{0956915E-DA5C-4522-8488-94E61A4941F9}"/>
    <hyperlink ref="A103" r:id="rId100" display="https://www.nrg-farms.com/FarMS/harvest/reference?harvest_id=72932" xr:uid="{77DAF10C-0CEF-4DA8-8936-49259A959933}"/>
    <hyperlink ref="A104" r:id="rId101" display="https://www.nrg-farms.com/FarMS/harvest/reference?harvest_id=72931" xr:uid="{3639F453-0F31-49FC-923D-AA426846DCFF}"/>
    <hyperlink ref="A105" r:id="rId102" display="https://www.nrg-farms.com/FarMS/harvest/reference?harvest_id=72930" xr:uid="{27DFA483-D730-4593-99D6-B971E929A1A0}"/>
    <hyperlink ref="A106" r:id="rId103" display="https://www.nrg-farms.com/FarMS/harvest/reference?harvest_id=72929" xr:uid="{366762BC-D15D-4540-8A0B-0BD00CB6DF09}"/>
    <hyperlink ref="A107" r:id="rId104" display="https://www.nrg-farms.com/FarMS/harvest/reference?harvest_id=72928" xr:uid="{6343536C-0B9A-48D4-ABE5-E50DC5691414}"/>
    <hyperlink ref="A108" r:id="rId105" display="https://www.nrg-farms.com/FarMS/harvest/reference?harvest_id=72927" xr:uid="{8F72C7E4-CCFA-450F-A251-8D18C78264E0}"/>
    <hyperlink ref="A109" r:id="rId106" display="https://www.nrg-farms.com/FarMS/harvest/reference?harvest_id=72926" xr:uid="{2BE516D2-AAA5-4E6D-BF33-3F931D5D5581}"/>
    <hyperlink ref="A110" r:id="rId107" display="https://www.nrg-farms.com/FarMS/harvest/reference?harvest_id=72925" xr:uid="{AAF68900-9312-4809-B288-FA137EEE07F0}"/>
    <hyperlink ref="A111" r:id="rId108" display="https://www.nrg-farms.com/FarMS/harvest/reference?harvest_id=72924" xr:uid="{896CB43B-BB71-4F99-B665-C458303BFAC9}"/>
    <hyperlink ref="A112" r:id="rId109" display="https://www.nrg-farms.com/FarMS/harvest/reference?harvest_id=72923" xr:uid="{8A956F9A-7810-4060-8822-90F733EE8C70}"/>
    <hyperlink ref="A113" r:id="rId110" display="https://www.nrg-farms.com/FarMS/harvest/reference?harvest_id=72922" xr:uid="{B4F8C6A7-83BC-44AE-B30F-E3A7559C88B4}"/>
    <hyperlink ref="A114" r:id="rId111" display="https://www.nrg-farms.com/FarMS/harvest/reference?harvest_id=72921" xr:uid="{67BA3E52-706C-4520-83E1-96AD7A924CC7}"/>
    <hyperlink ref="A115" r:id="rId112" display="https://www.nrg-farms.com/FarMS/harvest/reference?harvest_id=72920" xr:uid="{7FF7F66A-A9AA-48F9-AD32-423ED05289FA}"/>
    <hyperlink ref="A116" r:id="rId113" display="https://www.nrg-farms.com/FarMS/harvest/reference?harvest_id=72919" xr:uid="{FF09223B-5F12-4106-8B68-52D946FC7CFB}"/>
    <hyperlink ref="A117" r:id="rId114" display="https://www.nrg-farms.com/FarMS/harvest/reference?harvest_id=72918" xr:uid="{0FE35186-2C83-4AAE-89C3-D6EE888128BF}"/>
    <hyperlink ref="A118" r:id="rId115" display="https://www.nrg-farms.com/FarMS/harvest/reference?harvest_id=72917" xr:uid="{BAE10FA5-7AD0-4EB0-AD8E-EE90A33149C1}"/>
    <hyperlink ref="A119" r:id="rId116" display="https://www.nrg-farms.com/FarMS/harvest/reference?harvest_id=72916" xr:uid="{FB544A56-1244-4E13-897D-A19D51820D13}"/>
    <hyperlink ref="A120" r:id="rId117" display="https://www.nrg-farms.com/FarMS/harvest/reference?harvest_id=72915" xr:uid="{569F060D-081E-4960-95CE-3A350E31F521}"/>
    <hyperlink ref="A121" r:id="rId118" display="https://www.nrg-farms.com/FarMS/harvest/reference?harvest_id=72914" xr:uid="{8C7CF01B-B426-4FC2-B41F-84D3302927D8}"/>
    <hyperlink ref="A122" r:id="rId119" display="https://www.nrg-farms.com/FarMS/harvest/reference?harvest_id=72913" xr:uid="{673728D5-48C8-4154-863B-AA85A6744364}"/>
    <hyperlink ref="A123" r:id="rId120" display="https://www.nrg-farms.com/FarMS/harvest/reference?harvest_id=72912" xr:uid="{46B6E436-620B-4038-B26F-54BBCAC1FA1D}"/>
    <hyperlink ref="A124" r:id="rId121" display="https://www.nrg-farms.com/FarMS/harvest/reference?harvest_id=72911" xr:uid="{4B2B372A-5EA0-43BC-9BC9-F07BAEF47DFA}"/>
    <hyperlink ref="A125" r:id="rId122" display="https://www.nrg-farms.com/FarMS/harvest/reference?harvest_id=72910" xr:uid="{20A9B08F-A959-4826-956E-998398E0B502}"/>
    <hyperlink ref="A126" r:id="rId123" display="https://www.nrg-farms.com/FarMS/harvest/reference?harvest_id=72909" xr:uid="{B0404834-26AD-4FC9-BC27-6C75F8611483}"/>
    <hyperlink ref="A127" r:id="rId124" display="https://www.nrg-farms.com/FarMS/harvest/reference?harvest_id=72908" xr:uid="{C46E32ED-ED6F-4FDF-A198-E11B7B9B4EDB}"/>
    <hyperlink ref="A128" r:id="rId125" display="https://www.nrg-farms.com/FarMS/harvest/reference?harvest_id=72907" xr:uid="{669A2446-FE0C-4C34-9911-94AD70CD8EBB}"/>
    <hyperlink ref="A129" r:id="rId126" display="https://www.nrg-farms.com/FarMS/harvest/reference?harvest_id=72906" xr:uid="{7D50C4F3-70D1-46AE-B586-353F2431FDF3}"/>
    <hyperlink ref="A130" r:id="rId127" display="https://www.nrg-farms.com/FarMS/harvest/reference?harvest_id=72905" xr:uid="{D0AA32A9-4180-4E0E-A35E-20592CBB6AAA}"/>
    <hyperlink ref="A131" r:id="rId128" display="https://www.nrg-farms.com/FarMS/harvest/reference?harvest_id=72904" xr:uid="{E27F4C40-E059-46BE-9DEB-9D74BF0CDDA7}"/>
    <hyperlink ref="A132" r:id="rId129" display="https://www.nrg-farms.com/FarMS/harvest/reference?harvest_id=72903" xr:uid="{8566BE68-EDA8-47B4-A9E7-5DB579A1BA99}"/>
    <hyperlink ref="A133" r:id="rId130" display="https://www.nrg-farms.com/FarMS/harvest/reference?harvest_id=73385" xr:uid="{4BE84F03-6A57-4EED-8C91-A40C489BF9A9}"/>
    <hyperlink ref="A134" r:id="rId131" display="https://www.nrg-farms.com/FarMS/harvest/reference?harvest_id=73384" xr:uid="{9EA91525-088E-46EE-BE86-91448BA68646}"/>
    <hyperlink ref="A135" r:id="rId132" display="https://www.nrg-farms.com/FarMS/harvest/reference?harvest_id=73367" xr:uid="{A42B7294-A512-48A6-957A-C9CDAED8F0E5}"/>
    <hyperlink ref="A136" r:id="rId133" display="https://www.nrg-farms.com/FarMS/harvest/reference?harvest_id=73366" xr:uid="{21A8A252-BDF9-4257-99C3-DBA4CEA7192B}"/>
    <hyperlink ref="A137" r:id="rId134" display="https://www.nrg-farms.com/FarMS/harvest/reference?harvest_id=73365" xr:uid="{4F50D6CD-D8D5-48DF-B5BF-647AC4988A89}"/>
    <hyperlink ref="A138" r:id="rId135" display="https://www.nrg-farms.com/FarMS/harvest/reference?harvest_id=73364" xr:uid="{77BE82E4-9268-488D-BAAA-0EF3EBB8FD11}"/>
    <hyperlink ref="A139" r:id="rId136" display="https://www.nrg-farms.com/FarMS/harvest/reference?harvest_id=73363" xr:uid="{2DC5E621-33CD-463E-9FC5-4E91CB080471}"/>
    <hyperlink ref="A140" r:id="rId137" display="https://www.nrg-farms.com/FarMS/harvest/reference?harvest_id=73362" xr:uid="{E6CEFF8B-AC59-4D22-8D0C-28DA9763F3F4}"/>
    <hyperlink ref="A141" r:id="rId138" display="https://www.nrg-farms.com/FarMS/harvest/reference?harvest_id=73361" xr:uid="{26799BFC-5836-40E3-976F-2E056438D9E8}"/>
    <hyperlink ref="A142" r:id="rId139" display="https://www.nrg-farms.com/FarMS/harvest/reference?harvest_id=73360" xr:uid="{0A098543-1921-41C3-8B1C-A87EBF0B806D}"/>
    <hyperlink ref="A143" r:id="rId140" display="https://www.nrg-farms.com/FarMS/harvest/reference?harvest_id=73359" xr:uid="{D8F59141-6AEC-4DA8-A62F-17B3F8472E88}"/>
    <hyperlink ref="A144" r:id="rId141" display="https://www.nrg-farms.com/FarMS/harvest/reference?harvest_id=73358" xr:uid="{A72804D2-052C-40E3-8B63-5942A17AAEF9}"/>
    <hyperlink ref="A145" r:id="rId142" display="https://www.nrg-farms.com/FarMS/harvest/reference?harvest_id=73357" xr:uid="{4441B796-04D7-4D9D-8DB0-F6FE81DD6B91}"/>
    <hyperlink ref="A146" r:id="rId143" display="https://www.nrg-farms.com/FarMS/harvest/reference?harvest_id=73356" xr:uid="{98B096AB-4FBF-4BA4-AD1F-82C2BB8C8116}"/>
    <hyperlink ref="A147" r:id="rId144" display="https://www.nrg-farms.com/FarMS/harvest/reference?harvest_id=73355" xr:uid="{C92371C6-4B30-482B-BE9F-D16327FD6F7C}"/>
    <hyperlink ref="A148" r:id="rId145" display="https://www.nrg-farms.com/FarMS/harvest/reference?harvest_id=73354" xr:uid="{00D24EE2-5A31-43D2-A570-F2AFEA2B3641}"/>
    <hyperlink ref="A149" r:id="rId146" display="https://www.nrg-farms.com/FarMS/harvest/reference?harvest_id=73353" xr:uid="{B958988A-210C-41FF-ABBF-6DA7EA4BAC83}"/>
    <hyperlink ref="A150" r:id="rId147" display="https://www.nrg-farms.com/FarMS/harvest/reference?harvest_id=73352" xr:uid="{FCE6B0B7-04DE-4CBA-9790-709FBABE77DF}"/>
    <hyperlink ref="A151" r:id="rId148" display="https://www.nrg-farms.com/FarMS/harvest/reference?harvest_id=73351" xr:uid="{C1F10376-778E-4502-B208-DB5D15156369}"/>
    <hyperlink ref="A152" r:id="rId149" display="https://www.nrg-farms.com/FarMS/harvest/reference?harvest_id=73350" xr:uid="{EFF66167-B65A-4C6E-A775-B46BA3284C0E}"/>
    <hyperlink ref="A153" r:id="rId150" display="https://www.nrg-farms.com/FarMS/harvest/reference?harvest_id=73349" xr:uid="{938C61F6-F2C0-4ABB-8647-7C056A0B2D56}"/>
    <hyperlink ref="A154" r:id="rId151" display="https://www.nrg-farms.com/FarMS/harvest/reference?harvest_id=73348" xr:uid="{78C26C15-8794-42F5-A256-34D9CBCDD356}"/>
    <hyperlink ref="A155" r:id="rId152" display="https://www.nrg-farms.com/FarMS/harvest/reference?harvest_id=73347" xr:uid="{A77AEF7C-85A2-4DC1-B0AC-3480111900BE}"/>
    <hyperlink ref="A156" r:id="rId153" display="https://www.nrg-farms.com/FarMS/harvest/reference?harvest_id=73346" xr:uid="{EA6E3F2A-3811-4DBE-A1E4-C6FFA5E2D02E}"/>
    <hyperlink ref="A157" r:id="rId154" display="https://www.nrg-farms.com/FarMS/harvest/reference?harvest_id=73345" xr:uid="{F6E87514-C7E8-4E29-BE1C-2FADBED702D9}"/>
    <hyperlink ref="A158" r:id="rId155" display="https://www.nrg-farms.com/FarMS/harvest/reference?harvest_id=73344" xr:uid="{E134A8F0-ED5D-473D-894D-20C883776B66}"/>
    <hyperlink ref="A159" r:id="rId156" display="https://www.nrg-farms.com/FarMS/harvest/reference?harvest_id=73343" xr:uid="{CA5513A2-5DE3-4FD8-A513-8B5B1C52FF4A}"/>
    <hyperlink ref="A160" r:id="rId157" display="https://www.nrg-farms.com/FarMS/harvest/reference?harvest_id=73342" xr:uid="{96D04BF1-8307-458A-B64B-1C96739205C7}"/>
    <hyperlink ref="A161" r:id="rId158" display="https://www.nrg-farms.com/FarMS/harvest/reference?harvest_id=73341" xr:uid="{40DC0BA2-D96A-4BB7-9B36-F5F7B2C59AC0}"/>
    <hyperlink ref="A162" r:id="rId159" display="https://www.nrg-farms.com/FarMS/harvest/reference?harvest_id=73340" xr:uid="{149A51B2-4D88-4192-A342-806370390188}"/>
    <hyperlink ref="A163" r:id="rId160" display="https://www.nrg-farms.com/FarMS/harvest/reference?harvest_id=73339" xr:uid="{0FEB1B0F-B741-4033-BB8C-0A38F9D810BF}"/>
    <hyperlink ref="A164" r:id="rId161" display="https://www.nrg-farms.com/FarMS/harvest/reference?harvest_id=73338" xr:uid="{9B15C4F2-E4AC-4201-9ED4-40FBC1183A15}"/>
    <hyperlink ref="A165" r:id="rId162" display="https://www.nrg-farms.com/FarMS/harvest/reference?harvest_id=73337" xr:uid="{EFAB4BA1-CFFA-4040-924A-1EADE67EC326}"/>
    <hyperlink ref="A166" r:id="rId163" display="https://www.nrg-farms.com/FarMS/harvest/reference?harvest_id=73336" xr:uid="{99B240C3-10ED-4EDA-860E-5C303BA7EF02}"/>
    <hyperlink ref="A167" r:id="rId164" display="https://www.nrg-farms.com/FarMS/harvest/reference?harvest_id=73335" xr:uid="{2BF4B8AB-8419-4F7E-89E9-D036387313A0}"/>
    <hyperlink ref="A168" r:id="rId165" display="https://www.nrg-farms.com/FarMS/harvest/reference?harvest_id=73334" xr:uid="{F44FE591-A4D0-417D-8600-1DA2B7C51A75}"/>
    <hyperlink ref="A169" r:id="rId166" display="https://www.nrg-farms.com/FarMS/harvest/reference?harvest_id=73333" xr:uid="{2B542B80-451B-45DD-8B99-DC068DB3D232}"/>
    <hyperlink ref="A170" r:id="rId167" display="https://www.nrg-farms.com/FarMS/harvest/reference?harvest_id=73332" xr:uid="{FB32BB5F-2222-493B-8760-7AB3DD41DE96}"/>
    <hyperlink ref="A171" r:id="rId168" display="https://www.nrg-farms.com/FarMS/harvest/reference?harvest_id=73331" xr:uid="{0848FED4-DE27-44E0-ACFD-B81F6DB81EA2}"/>
    <hyperlink ref="A172" r:id="rId169" display="https://www.nrg-farms.com/FarMS/harvest/reference?harvest_id=73330" xr:uid="{0DE742AA-CD5D-41DD-A3CF-3240EA5C7C89}"/>
    <hyperlink ref="A173" r:id="rId170" display="https://www.nrg-farms.com/FarMS/harvest/reference?harvest_id=73452" xr:uid="{417AB7DB-B1D5-4C28-A131-355732520A2D}"/>
    <hyperlink ref="A174" r:id="rId171" display="https://www.nrg-farms.com/FarMS/harvest/reference?harvest_id=73451" xr:uid="{256F9E45-4D7C-4D40-A223-4BCF619CCAA0}"/>
    <hyperlink ref="A175" r:id="rId172" display="https://www.nrg-farms.com/FarMS/harvest/reference?harvest_id=73450" xr:uid="{E1AB3549-F347-466C-A02D-5B3614695E4B}"/>
    <hyperlink ref="A176" r:id="rId173" display="https://www.nrg-farms.com/FarMS/harvest/reference?harvest_id=72902" xr:uid="{794211AB-FF57-4835-A79D-B0E09F127C11}"/>
    <hyperlink ref="A177" r:id="rId174" display="https://www.nrg-farms.com/FarMS/harvest/reference?harvest_id=72901" xr:uid="{FFD8A809-A222-4F3D-8723-18EEC508294C}"/>
    <hyperlink ref="A178" r:id="rId175" display="https://www.nrg-farms.com/FarMS/harvest/reference?harvest_id=72900" xr:uid="{40082F3C-E6A3-4549-AE0C-42D1DDC58869}"/>
    <hyperlink ref="A179" r:id="rId176" display="https://www.nrg-farms.com/FarMS/harvest/reference?harvest_id=72899" xr:uid="{42A3179E-5C7F-4596-9EA5-452D8CA45D74}"/>
    <hyperlink ref="A180" r:id="rId177" display="https://www.nrg-farms.com/FarMS/harvest/reference?harvest_id=72898" xr:uid="{BF950301-548D-471E-ACB9-1A97F016AB74}"/>
    <hyperlink ref="A181" r:id="rId178" display="https://www.nrg-farms.com/FarMS/harvest/reference?harvest_id=72897" xr:uid="{68D48EC9-6C89-437B-8A08-342848929312}"/>
    <hyperlink ref="A182" r:id="rId179" display="https://www.nrg-farms.com/FarMS/harvest/reference?harvest_id=72896" xr:uid="{2B9E996D-1FDD-4ACF-A4DE-8B40B5A81FF4}"/>
    <hyperlink ref="A183" r:id="rId180" display="https://www.nrg-farms.com/FarMS/harvest/reference?harvest_id=72895" xr:uid="{545674A9-AB1A-4FE1-B295-A7B94455D8D3}"/>
    <hyperlink ref="A184" r:id="rId181" display="https://www.nrg-farms.com/FarMS/harvest/reference?harvest_id=72894" xr:uid="{F495A82F-38C6-45A4-A8E4-80BB2CA649EC}"/>
    <hyperlink ref="A185" r:id="rId182" display="https://www.nrg-farms.com/FarMS/harvest/reference?harvest_id=72893" xr:uid="{EDBA9DAA-EC5E-4D68-BB31-02EF98FD40CA}"/>
    <hyperlink ref="A186" r:id="rId183" display="https://www.nrg-farms.com/FarMS/harvest/reference?harvest_id=72892" xr:uid="{82251CE5-4E4D-41E6-B856-F6BE4A12C8F6}"/>
    <hyperlink ref="A187" r:id="rId184" display="https://www.nrg-farms.com/FarMS/harvest/reference?harvest_id=72891" xr:uid="{46494226-A8C1-4F80-A7F1-33ABA7FDAC74}"/>
    <hyperlink ref="A188" r:id="rId185" display="https://www.nrg-farms.com/FarMS/harvest/reference?harvest_id=72890" xr:uid="{BE766554-E72F-4C09-8CF0-0179F5F21555}"/>
    <hyperlink ref="A189" r:id="rId186" display="https://www.nrg-farms.com/FarMS/harvest/reference?harvest_id=72889" xr:uid="{49302B20-90C6-432F-9FE0-E06702E7521B}"/>
    <hyperlink ref="A190" r:id="rId187" display="https://www.nrg-farms.com/FarMS/harvest/reference?harvest_id=72888" xr:uid="{26405EE5-060B-45C6-B4B6-BBE7996F7AA2}"/>
    <hyperlink ref="A191" r:id="rId188" display="https://www.nrg-farms.com/FarMS/harvest/reference?harvest_id=72887" xr:uid="{E18B260C-721F-4989-AFC8-DDC5ACD00862}"/>
    <hyperlink ref="A192" r:id="rId189" display="https://www.nrg-farms.com/FarMS/harvest/reference?harvest_id=72886" xr:uid="{987B91DC-71D2-4F2E-8606-281F1237DB41}"/>
    <hyperlink ref="A193" r:id="rId190" display="https://www.nrg-farms.com/FarMS/harvest/reference?harvest_id=72885" xr:uid="{B08BADEC-E213-40B3-9215-703800A97996}"/>
    <hyperlink ref="A194" r:id="rId191" display="https://www.nrg-farms.com/FarMS/harvest/reference?harvest_id=72884" xr:uid="{F9150312-90D5-44BE-9FC6-27A36605B37C}"/>
    <hyperlink ref="A195" r:id="rId192" display="https://www.nrg-farms.com/FarMS/harvest/reference?harvest_id=72883" xr:uid="{C3DDFBAF-92FF-4089-A9C1-D3AA97CCDF28}"/>
    <hyperlink ref="A196" r:id="rId193" display="https://www.nrg-farms.com/FarMS/harvest/reference?harvest_id=72882" xr:uid="{5DDF1D87-B8BC-432C-9120-FC6B3E1A48E4}"/>
    <hyperlink ref="A197" r:id="rId194" display="https://www.nrg-farms.com/FarMS/harvest/reference?harvest_id=72881" xr:uid="{04F2178B-CF93-4E4F-99F8-39DA7C236C4B}"/>
    <hyperlink ref="A198" r:id="rId195" display="https://www.nrg-farms.com/FarMS/harvest/reference?harvest_id=72880" xr:uid="{AB8B0CD2-FED8-4BCA-9FC4-20440BB9E8D7}"/>
    <hyperlink ref="A199" r:id="rId196" display="https://www.nrg-farms.com/FarMS/harvest/reference?harvest_id=72879" xr:uid="{FCEE5235-BBF2-4EBE-B0B4-60A187B17428}"/>
    <hyperlink ref="A200" r:id="rId197" display="https://www.nrg-farms.com/FarMS/harvest/reference?harvest_id=72878" xr:uid="{3780ED54-0641-4F4E-B379-3E82BE875C9D}"/>
    <hyperlink ref="A201" r:id="rId198" display="https://www.nrg-farms.com/FarMS/harvest/reference?harvest_id=72877" xr:uid="{925062E1-300F-4669-B211-241BF4DC14C4}"/>
    <hyperlink ref="A202" r:id="rId199" display="https://www.nrg-farms.com/FarMS/harvest/reference?harvest_id=72876" xr:uid="{82E6D604-DF91-4846-95CE-27DE12B943BA}"/>
    <hyperlink ref="A203" r:id="rId200" display="https://www.nrg-farms.com/FarMS/harvest/reference?harvest_id=72875" xr:uid="{58BFD590-338A-44B1-B89C-6DFB6326D7A8}"/>
    <hyperlink ref="A204" r:id="rId201" display="https://www.nrg-farms.com/FarMS/harvest/reference?harvest_id=72874" xr:uid="{3AAF6C93-01BC-40B8-AE35-9034D2FF79FA}"/>
    <hyperlink ref="A205" r:id="rId202" display="https://www.nrg-farms.com/FarMS/harvest/reference?harvest_id=72873" xr:uid="{D71909B3-CD16-4373-BB5D-C648A887AECB}"/>
    <hyperlink ref="A206" r:id="rId203" display="https://www.nrg-farms.com/FarMS/harvest/reference?harvest_id=72872" xr:uid="{5A5046FB-A0A0-4D0B-A27A-E6399C3E96E2}"/>
    <hyperlink ref="A207" r:id="rId204" display="https://www.nrg-farms.com/FarMS/harvest/reference?harvest_id=72871" xr:uid="{CDFCAA8A-E509-47BF-87CD-613ACB4E50F2}"/>
    <hyperlink ref="A208" r:id="rId205" display="https://www.nrg-farms.com/FarMS/harvest/reference?harvest_id=72870" xr:uid="{2597EFA5-43FC-4F85-B20F-8250F3359FFA}"/>
    <hyperlink ref="A209" r:id="rId206" display="https://www.nrg-farms.com/FarMS/harvest/reference?harvest_id=72869" xr:uid="{03A09494-BBD9-44A2-AE23-136B7E2904EC}"/>
    <hyperlink ref="A210" r:id="rId207" display="https://www.nrg-farms.com/FarMS/harvest/reference?harvest_id=72868" xr:uid="{46954FB2-9307-45BC-9AA9-96A8BCDDDB37}"/>
    <hyperlink ref="A211" r:id="rId208" display="https://www.nrg-farms.com/FarMS/harvest/reference?harvest_id=72867" xr:uid="{714FBA16-E50D-4C4D-907E-BB376664B82B}"/>
    <hyperlink ref="A212" r:id="rId209" display="https://www.nrg-farms.com/FarMS/harvest/reference?harvest_id=72866" xr:uid="{16CA479B-F435-4EB9-903E-CDEC949F6366}"/>
    <hyperlink ref="A213" r:id="rId210" display="https://www.nrg-farms.com/FarMS/harvest/reference?harvest_id=72865" xr:uid="{41718829-3B88-4AFA-A171-878649B49C4B}"/>
    <hyperlink ref="A214" r:id="rId211" display="https://www.nrg-farms.com/FarMS/harvest/reference?harvest_id=72864" xr:uid="{CE497C8B-CD96-4CDD-B403-6F1CCDFCB9DB}"/>
    <hyperlink ref="A215" r:id="rId212" display="https://www.nrg-farms.com/FarMS/harvest/reference?harvest_id=72863" xr:uid="{31F61B6F-9E71-4FFE-B61F-B4F0A34FF4F0}"/>
    <hyperlink ref="A216" r:id="rId213" display="https://www.nrg-farms.com/FarMS/harvest/reference?harvest_id=72862" xr:uid="{3ABB4C4F-E52D-48D3-BC2C-AC65186E7ADD}"/>
    <hyperlink ref="A217" r:id="rId214" display="https://www.nrg-farms.com/FarMS/harvest/reference?harvest_id=72861" xr:uid="{C6FCB173-77BD-4ADA-9E77-717EDCDF4478}"/>
    <hyperlink ref="A218" r:id="rId215" display="https://www.nrg-farms.com/FarMS/harvest/reference?harvest_id=72860" xr:uid="{B3D4050E-1886-44D6-82DC-00AE2F387DF7}"/>
    <hyperlink ref="A219" r:id="rId216" display="https://www.nrg-farms.com/FarMS/harvest/reference?harvest_id=72859" xr:uid="{1246469C-2210-4829-B489-CF6B368A2A23}"/>
    <hyperlink ref="A220" r:id="rId217" display="https://www.nrg-farms.com/FarMS/harvest/reference?harvest_id=72858" xr:uid="{89386073-7AFA-47D3-A63E-08878DBD5065}"/>
    <hyperlink ref="A221" r:id="rId218" display="https://www.nrg-farms.com/FarMS/harvest/reference?harvest_id=72857" xr:uid="{59292F06-798D-4AEE-B3CB-21C173441FA1}"/>
    <hyperlink ref="A222" r:id="rId219" display="https://www.nrg-farms.com/FarMS/harvest/reference?harvest_id=72856" xr:uid="{23AEB9FB-5E05-4286-93CD-B57A9BEF9213}"/>
    <hyperlink ref="A223" r:id="rId220" display="https://www.nrg-farms.com/FarMS/harvest/reference?harvest_id=72855" xr:uid="{901D527D-A9EA-4D43-8A5C-4B1072092A8F}"/>
    <hyperlink ref="A224" r:id="rId221" display="https://www.nrg-farms.com/FarMS/harvest/reference?harvest_id=72854" xr:uid="{29F3DCA0-2D66-4891-8298-7AD0B42BF6EA}"/>
    <hyperlink ref="A225" r:id="rId222" display="https://www.nrg-farms.com/FarMS/harvest/reference?harvest_id=72853" xr:uid="{7D41AD6D-3E07-4081-A065-26CF23B00B0E}"/>
    <hyperlink ref="A226" r:id="rId223" display="https://www.nrg-farms.com/FarMS/harvest/reference?harvest_id=72852" xr:uid="{E8123277-7B8C-46F5-8C9F-A0DBA44206F0}"/>
    <hyperlink ref="A227" r:id="rId224" display="https://www.nrg-farms.com/FarMS/harvest/reference?harvest_id=72851" xr:uid="{0789EB45-FCEC-4F7F-A115-7C6499D9927E}"/>
    <hyperlink ref="A228" r:id="rId225" display="https://www.nrg-farms.com/FarMS/harvest/reference?harvest_id=72850" xr:uid="{7A363CCB-423D-4F7B-B100-F52DEE07042B}"/>
    <hyperlink ref="A229" r:id="rId226" display="https://www.nrg-farms.com/FarMS/harvest/reference?harvest_id=72849" xr:uid="{4FCEEF30-6550-4638-99D1-23BE0CA54A40}"/>
    <hyperlink ref="A230" r:id="rId227" display="https://www.nrg-farms.com/FarMS/harvest/reference?harvest_id=72848" xr:uid="{927E8287-FD9A-45F0-9B85-EA8BF88D93BF}"/>
    <hyperlink ref="A231" r:id="rId228" display="https://www.nrg-farms.com/FarMS/harvest/reference?harvest_id=72847" xr:uid="{2567159A-C73D-4648-BF69-C598EA987AE4}"/>
    <hyperlink ref="A232" r:id="rId229" display="https://www.nrg-farms.com/FarMS/harvest/reference?harvest_id=72846" xr:uid="{63DECD24-DAC2-46CD-8B2F-3C1C4D0768F0}"/>
    <hyperlink ref="A233" r:id="rId230" display="https://www.nrg-farms.com/FarMS/harvest/reference?harvest_id=72845" xr:uid="{193DE717-297C-435C-BC9B-54F3B24D5926}"/>
    <hyperlink ref="A234" r:id="rId231" display="https://www.nrg-farms.com/FarMS/harvest/reference?harvest_id=72844" xr:uid="{6065BDD1-0EF2-45AD-BEE3-A054E7C371AB}"/>
    <hyperlink ref="A235" r:id="rId232" display="https://www.nrg-farms.com/FarMS/harvest/reference?harvest_id=72843" xr:uid="{EA014D46-B345-4E86-9986-FDF3DEDEDEFB}"/>
    <hyperlink ref="A236" r:id="rId233" display="https://www.nrg-farms.com/FarMS/harvest/reference?harvest_id=72842" xr:uid="{44D71833-251F-4B0D-A673-4F220E2E6ACE}"/>
    <hyperlink ref="A237" r:id="rId234" display="https://www.nrg-farms.com/FarMS/harvest/reference?harvest_id=72841" xr:uid="{BADF5CA0-FC05-4865-9EB6-13450333856A}"/>
    <hyperlink ref="A238" r:id="rId235" display="https://www.nrg-farms.com/FarMS/harvest/reference?harvest_id=72840" xr:uid="{EE78A5E1-7444-442D-928C-BE7F713F26D6}"/>
    <hyperlink ref="A239" r:id="rId236" display="https://www.nrg-farms.com/FarMS/harvest/reference?harvest_id=72839" xr:uid="{E295C1D3-95C1-44F3-8316-736B777ACB57}"/>
    <hyperlink ref="A240" r:id="rId237" display="https://www.nrg-farms.com/FarMS/harvest/reference?harvest_id=72838" xr:uid="{055B664B-404B-4FFE-A741-26E58718394A}"/>
    <hyperlink ref="A241" r:id="rId238" display="https://www.nrg-farms.com/FarMS/harvest/reference?harvest_id=72837" xr:uid="{71370507-EDB5-4E97-A749-8BAF1A6A5120}"/>
    <hyperlink ref="A242" r:id="rId239" display="https://www.nrg-farms.com/FarMS/harvest/reference?harvest_id=72836" xr:uid="{0489FEFC-D225-48F9-9585-57EF7AE685E0}"/>
    <hyperlink ref="A243" r:id="rId240" display="https://www.nrg-farms.com/FarMS/harvest/reference?harvest_id=72835" xr:uid="{9BA298EC-617B-4936-8ECF-FC8676F420C1}"/>
    <hyperlink ref="A244" r:id="rId241" display="https://www.nrg-farms.com/FarMS/harvest/reference?harvest_id=72834" xr:uid="{2710F59C-1126-4136-834E-0ABB48175D55}"/>
    <hyperlink ref="A245" r:id="rId242" display="https://www.nrg-farms.com/FarMS/harvest/reference?harvest_id=72833" xr:uid="{3B0A9E15-90FA-46B0-B6DB-1194589EA492}"/>
    <hyperlink ref="A246" r:id="rId243" display="https://www.nrg-farms.com/FarMS/harvest/reference?harvest_id=72832" xr:uid="{E847669D-78CB-4C3C-85B6-480ADA333F4F}"/>
    <hyperlink ref="A247" r:id="rId244" display="https://www.nrg-farms.com/FarMS/harvest/reference?harvest_id=72831" xr:uid="{18451CB1-DD08-4F69-85E3-03CDC8AF09DB}"/>
    <hyperlink ref="A248" r:id="rId245" display="https://www.nrg-farms.com/FarMS/harvest/reference?harvest_id=72830" xr:uid="{5C11485D-558B-46E8-9B70-6700DA9D702A}"/>
    <hyperlink ref="A249" r:id="rId246" display="https://www.nrg-farms.com/FarMS/harvest/reference?harvest_id=72829" xr:uid="{EBBF9E8B-B107-4EA1-A1E6-D2D5722289A2}"/>
    <hyperlink ref="A250" r:id="rId247" display="https://www.nrg-farms.com/FarMS/harvest/reference?harvest_id=72828" xr:uid="{C2D327ED-C11E-4B5E-9F3B-275EBE49EB35}"/>
    <hyperlink ref="A251" r:id="rId248" display="https://www.nrg-farms.com/FarMS/harvest/reference?harvest_id=72827" xr:uid="{B746F759-6C29-44BE-974F-19B0F92627AC}"/>
    <hyperlink ref="A252" r:id="rId249" display="https://www.nrg-farms.com/FarMS/harvest/reference?harvest_id=72826" xr:uid="{F054BB76-80B7-4DFB-B223-55F61B59D14E}"/>
    <hyperlink ref="A253" r:id="rId250" display="https://www.nrg-farms.com/FarMS/harvest/reference?harvest_id=72825" xr:uid="{CA208AC8-5A6A-48B6-9D16-BE0B9BAA49B4}"/>
    <hyperlink ref="A254" r:id="rId251" display="https://www.nrg-farms.com/FarMS/harvest/reference?harvest_id=72824" xr:uid="{EF80FB5F-02B4-42D8-82B7-EF7F9E003752}"/>
    <hyperlink ref="A255" r:id="rId252" display="https://www.nrg-farms.com/FarMS/harvest/reference?harvest_id=72823" xr:uid="{10B28E45-D63C-4A22-A009-B4F2EF733BF9}"/>
    <hyperlink ref="A256" r:id="rId253" display="https://www.nrg-farms.com/FarMS/harvest/reference?harvest_id=72822" xr:uid="{BA2894CB-BC0C-43B3-8FBA-CB68A982CA07}"/>
    <hyperlink ref="A257" r:id="rId254" display="https://www.nrg-farms.com/FarMS/harvest/reference?harvest_id=72821" xr:uid="{B826068C-CEFA-4DAB-9E10-8B60C6C148C9}"/>
    <hyperlink ref="A258" r:id="rId255" display="https://www.nrg-farms.com/FarMS/harvest/reference?harvest_id=72820" xr:uid="{29D8C2AF-3CCE-4FD0-96E5-917652B7A293}"/>
    <hyperlink ref="A259" r:id="rId256" display="https://www.nrg-farms.com/FarMS/harvest/reference?harvest_id=72819" xr:uid="{FF149D2C-A785-4B5A-AC4C-F9DE5011CFA9}"/>
    <hyperlink ref="A260" r:id="rId257" display="https://www.nrg-farms.com/FarMS/harvest/reference?harvest_id=72818" xr:uid="{B8B50CAD-C9E3-474D-B6C0-B52FAA9DBEDB}"/>
    <hyperlink ref="A261" r:id="rId258" display="https://www.nrg-farms.com/FarMS/harvest/reference?harvest_id=72817" xr:uid="{7D01DE33-FE25-428E-8C98-2A7B6B76CF39}"/>
    <hyperlink ref="A262" r:id="rId259" display="https://www.nrg-farms.com/FarMS/harvest/reference?harvest_id=72816" xr:uid="{A36D42C7-1ACF-4BBB-B4F5-8BD6944B01FA}"/>
    <hyperlink ref="A263" r:id="rId260" display="https://www.nrg-farms.com/FarMS/harvest/reference?harvest_id=72815" xr:uid="{D242C676-DBD3-430E-A02D-5FA822A0A918}"/>
    <hyperlink ref="A264" r:id="rId261" display="https://www.nrg-farms.com/FarMS/harvest/reference?harvest_id=73449" xr:uid="{BDE0F28E-CEF0-49D6-B927-E1702A42FCAD}"/>
    <hyperlink ref="A265" r:id="rId262" display="https://www.nrg-farms.com/FarMS/harvest/reference?harvest_id=73448" xr:uid="{285E4CD6-6E1F-4295-936D-E9BC7C27C136}"/>
    <hyperlink ref="A266" r:id="rId263" display="https://www.nrg-farms.com/FarMS/harvest/reference?harvest_id=73447" xr:uid="{665B276A-1008-46F9-9735-5943F3670BBE}"/>
    <hyperlink ref="A267" r:id="rId264" display="https://www.nrg-farms.com/FarMS/harvest/reference?harvest_id=72120" xr:uid="{190F6F82-A738-4E46-A0F8-58EC82CD6AE6}"/>
    <hyperlink ref="A268" r:id="rId265" display="https://www.nrg-farms.com/FarMS/harvest/reference?harvest_id=72119" xr:uid="{6CADB8CE-B458-4F69-8A93-BEAA7C287907}"/>
    <hyperlink ref="A269" r:id="rId266" display="https://www.nrg-farms.com/FarMS/harvest/reference?harvest_id=72118" xr:uid="{43BF4695-1A55-42B6-B86D-1F0CA91AA986}"/>
    <hyperlink ref="A270" r:id="rId267" display="https://www.nrg-farms.com/FarMS/harvest/reference?harvest_id=72117" xr:uid="{2C30B066-BD1E-4D94-9E6B-3F7461B4542C}"/>
    <hyperlink ref="A271" r:id="rId268" display="https://www.nrg-farms.com/FarMS/harvest/reference?harvest_id=72116" xr:uid="{998D384C-9576-4ACE-8CD9-9F23F495915D}"/>
    <hyperlink ref="A272" r:id="rId269" display="https://www.nrg-farms.com/FarMS/harvest/reference?harvest_id=72115" xr:uid="{518A9FB5-5D60-475B-9F2E-EEB119011867}"/>
    <hyperlink ref="A273" r:id="rId270" display="https://www.nrg-farms.com/FarMS/harvest/reference?harvest_id=72114" xr:uid="{322647B5-DE5F-4814-B42D-988F34841C84}"/>
    <hyperlink ref="A274" r:id="rId271" display="https://www.nrg-farms.com/FarMS/harvest/reference?harvest_id=72113" xr:uid="{960311AE-2C2A-486D-AAAD-056AD587E080}"/>
    <hyperlink ref="A275" r:id="rId272" display="https://www.nrg-farms.com/FarMS/harvest/reference?harvest_id=72112" xr:uid="{F83C7BF1-E301-491A-8FBC-7371CC1A02E2}"/>
    <hyperlink ref="A276" r:id="rId273" display="https://www.nrg-farms.com/FarMS/harvest/reference?harvest_id=72111" xr:uid="{5A0F504C-52F8-4A85-B72F-D17BBF8AE081}"/>
    <hyperlink ref="A277" r:id="rId274" display="https://www.nrg-farms.com/FarMS/harvest/reference?harvest_id=72110" xr:uid="{2CC8530F-571C-4F33-BF3C-7B78C7AE4B4D}"/>
    <hyperlink ref="A278" r:id="rId275" display="https://www.nrg-farms.com/FarMS/harvest/reference?harvest_id=72109" xr:uid="{E0D826E5-C215-4195-89CE-9B3C4977F8EF}"/>
    <hyperlink ref="A279" r:id="rId276" display="https://www.nrg-farms.com/FarMS/harvest/reference?harvest_id=72108" xr:uid="{CC32C116-7C00-4240-BA3E-EFD8C1887C49}"/>
    <hyperlink ref="A280" r:id="rId277" display="https://www.nrg-farms.com/FarMS/harvest/reference?harvest_id=72107" xr:uid="{A4C7CB6D-F4C9-42E2-A437-28C82DC66CF8}"/>
    <hyperlink ref="A281" r:id="rId278" display="https://www.nrg-farms.com/FarMS/harvest/reference?harvest_id=72106" xr:uid="{794C8C26-A190-4352-8DE4-AD55F79CADA8}"/>
    <hyperlink ref="A282" r:id="rId279" display="https://www.nrg-farms.com/FarMS/harvest/reference?harvest_id=72105" xr:uid="{56D43A6A-EF63-4A45-8ED2-283E9A2D4D6C}"/>
    <hyperlink ref="A283" r:id="rId280" display="https://www.nrg-farms.com/FarMS/harvest/reference?harvest_id=72104" xr:uid="{5689A927-F57D-4808-B6ED-ED708308A547}"/>
    <hyperlink ref="A284" r:id="rId281" display="https://www.nrg-farms.com/FarMS/harvest/reference?harvest_id=72103" xr:uid="{CD11D2A2-3ED5-430F-B040-2D607AB8DC01}"/>
    <hyperlink ref="A285" r:id="rId282" display="https://www.nrg-farms.com/FarMS/harvest/reference?harvest_id=72102" xr:uid="{A0F36978-EC7D-42FA-B117-C5948DA9B9FC}"/>
    <hyperlink ref="A286" r:id="rId283" display="https://www.nrg-farms.com/FarMS/harvest/reference?harvest_id=72101" xr:uid="{3D78DB2B-4B41-42D4-89AE-96278EF60A02}"/>
    <hyperlink ref="A287" r:id="rId284" display="https://www.nrg-farms.com/FarMS/harvest/reference?harvest_id=72100" xr:uid="{AB080C20-4781-4CB2-9D31-7803EC2B8621}"/>
    <hyperlink ref="A288" r:id="rId285" display="https://www.nrg-farms.com/FarMS/harvest/reference?harvest_id=72099" xr:uid="{5CDE0B1E-806A-4EF0-9A36-0137477BEF49}"/>
    <hyperlink ref="A289" r:id="rId286" display="https://www.nrg-farms.com/FarMS/harvest/reference?harvest_id=72098" xr:uid="{19585A0C-3D35-42B9-A2B7-01C3E657B9B5}"/>
    <hyperlink ref="A290" r:id="rId287" display="https://www.nrg-farms.com/FarMS/harvest/reference?harvest_id=72097" xr:uid="{A62CFA59-CAA6-4B90-85B4-85DF498AB303}"/>
    <hyperlink ref="A291" r:id="rId288" display="https://www.nrg-farms.com/FarMS/harvest/reference?harvest_id=72096" xr:uid="{F8EF0B77-AAEF-4725-B462-442F970B40C3}"/>
    <hyperlink ref="A292" r:id="rId289" display="https://www.nrg-farms.com/FarMS/harvest/reference?harvest_id=72095" xr:uid="{71ED20DB-EBAC-46EB-84FB-45B1C6CF11A6}"/>
    <hyperlink ref="A293" r:id="rId290" display="https://www.nrg-farms.com/FarMS/harvest/reference?harvest_id=72094" xr:uid="{0C8B38A8-2FF5-4AAF-9417-2CEF57C53A72}"/>
    <hyperlink ref="A294" r:id="rId291" display="https://www.nrg-farms.com/FarMS/harvest/reference?harvest_id=72093" xr:uid="{69859978-7416-4807-85B0-1F8133A18FD8}"/>
    <hyperlink ref="A295" r:id="rId292" display="https://www.nrg-farms.com/FarMS/harvest/reference?harvest_id=72092" xr:uid="{B74D063D-7A27-4A81-89CC-A53C75E96296}"/>
    <hyperlink ref="A296" r:id="rId293" display="https://www.nrg-farms.com/FarMS/harvest/reference?harvest_id=72091" xr:uid="{6BADE854-6BF3-44C7-B7CE-E729CF6DEF5F}"/>
    <hyperlink ref="A297" r:id="rId294" display="https://www.nrg-farms.com/FarMS/harvest/reference?harvest_id=72090" xr:uid="{05A2C676-B17F-4420-8ADE-7590509436B1}"/>
    <hyperlink ref="A298" r:id="rId295" display="https://www.nrg-farms.com/FarMS/harvest/reference?harvest_id=72089" xr:uid="{AF92941C-B429-4DC8-9230-27E312F3A53B}"/>
    <hyperlink ref="A299" r:id="rId296" display="https://www.nrg-farms.com/FarMS/harvest/reference?harvest_id=72088" xr:uid="{9D75AE74-5F65-4982-90F7-9FD32A0E9D1F}"/>
    <hyperlink ref="A300" r:id="rId297" display="https://www.nrg-farms.com/FarMS/harvest/reference?harvest_id=72087" xr:uid="{F50D6395-86C7-4755-8782-46AE9D87F514}"/>
    <hyperlink ref="A301" r:id="rId298" display="https://www.nrg-farms.com/FarMS/harvest/reference?harvest_id=72086" xr:uid="{F7D9C0C3-5D73-439E-8E73-D9EBAE2E7697}"/>
    <hyperlink ref="A302" r:id="rId299" display="https://www.nrg-farms.com/FarMS/harvest/reference?harvest_id=72085" xr:uid="{12277880-FDE9-4B11-9D4A-DC259899B95A}"/>
    <hyperlink ref="A303" r:id="rId300" display="https://www.nrg-farms.com/FarMS/harvest/reference?harvest_id=72084" xr:uid="{49561770-DF6A-4E47-896C-87EB04C2C58A}"/>
    <hyperlink ref="A304" r:id="rId301" display="https://www.nrg-farms.com/FarMS/harvest/reference?harvest_id=72083" xr:uid="{B98D60A8-6C29-4CD0-AA8C-04F818066837}"/>
    <hyperlink ref="A305" r:id="rId302" display="https://www.nrg-farms.com/FarMS/harvest/reference?harvest_id=72082" xr:uid="{947A8702-4C0B-41C4-B307-556CB3B3C5F2}"/>
    <hyperlink ref="A306" r:id="rId303" display="https://www.nrg-farms.com/FarMS/harvest/reference?harvest_id=72081" xr:uid="{326867C4-6FB5-4C41-9D9C-88564C8963AE}"/>
    <hyperlink ref="A307" r:id="rId304" display="https://www.nrg-farms.com/FarMS/harvest/reference?harvest_id=72080" xr:uid="{8A4E118D-3DFB-436B-8ECE-C9C7548C369E}"/>
    <hyperlink ref="A308" r:id="rId305" display="https://www.nrg-farms.com/FarMS/harvest/reference?harvest_id=72079" xr:uid="{B8AE8A7E-C138-4F00-9F99-16E8856CE239}"/>
    <hyperlink ref="A309" r:id="rId306" display="https://www.nrg-farms.com/FarMS/harvest/reference?harvest_id=72078" xr:uid="{99A98EB4-2F76-42C7-8BFC-F4B5B49EF8AE}"/>
    <hyperlink ref="A310" r:id="rId307" display="https://www.nrg-farms.com/FarMS/harvest/reference?harvest_id=72077" xr:uid="{5DB1417C-8D6A-4F25-89AA-E31DA43244F0}"/>
    <hyperlink ref="A311" r:id="rId308" display="https://www.nrg-farms.com/FarMS/harvest/reference?harvest_id=72076" xr:uid="{99FC9D62-14DB-421F-8D10-189CE5961517}"/>
    <hyperlink ref="A312" r:id="rId309" display="https://www.nrg-farms.com/FarMS/harvest/reference?harvest_id=72075" xr:uid="{5F13A29A-98AF-408C-AA16-E51E4EE27AA1}"/>
    <hyperlink ref="A313" r:id="rId310" display="https://www.nrg-farms.com/FarMS/harvest/reference?harvest_id=72074" xr:uid="{44682D14-88E2-4529-AAF1-40B8BE07BFB3}"/>
    <hyperlink ref="A314" r:id="rId311" display="https://www.nrg-farms.com/FarMS/harvest/reference?harvest_id=72073" xr:uid="{6724DE50-1EE3-42A9-A846-7CCB957ECCD6}"/>
    <hyperlink ref="A315" r:id="rId312" display="https://www.nrg-farms.com/FarMS/harvest/reference?harvest_id=72072" xr:uid="{0959699A-E54E-4396-9E83-CBD709DB4F5F}"/>
    <hyperlink ref="A316" r:id="rId313" display="https://www.nrg-farms.com/FarMS/harvest/reference?harvest_id=73383" xr:uid="{2D62AC58-06EC-4939-93E2-D76B9FC0D235}"/>
    <hyperlink ref="A317" r:id="rId314" display="https://www.nrg-farms.com/FarMS/harvest/reference?harvest_id=73382" xr:uid="{988461D5-28FD-4271-9991-44534C4BDAA9}"/>
    <hyperlink ref="A318" r:id="rId315" display="https://www.nrg-farms.com/FarMS/harvest/reference?harvest_id=73381" xr:uid="{8C51DCDB-A5FE-4C73-8491-527D3C9F8DE3}"/>
    <hyperlink ref="A319" r:id="rId316" display="https://www.nrg-farms.com/FarMS/harvest/reference?harvest_id=73380" xr:uid="{75B4EAB3-0E0A-4EA6-B42A-62682D9A803D}"/>
    <hyperlink ref="A320" r:id="rId317" display="https://www.nrg-farms.com/FarMS/harvest/reference?harvest_id=73379" xr:uid="{D7D1015C-8823-4706-8D37-873ED3D1E1E3}"/>
    <hyperlink ref="A321" r:id="rId318" display="https://www.nrg-farms.com/FarMS/harvest/reference?harvest_id=73378" xr:uid="{01FF1701-5AD8-4703-8AC8-0F78E3FDC98D}"/>
    <hyperlink ref="A322" r:id="rId319" display="https://www.nrg-farms.com/FarMS/harvest/reference?harvest_id=73377" xr:uid="{81CA01FA-0B16-4FE2-9A6B-B4B76365FDA9}"/>
    <hyperlink ref="A323" r:id="rId320" display="https://www.nrg-farms.com/FarMS/harvest/reference?harvest_id=73376" xr:uid="{0B57814C-138A-4CF6-B94B-2EB5CC789E6E}"/>
    <hyperlink ref="A324" r:id="rId321" display="https://www.nrg-farms.com/FarMS/harvest/reference?harvest_id=72071" xr:uid="{50947A7F-52DE-4F65-92CE-C884F904FDAD}"/>
    <hyperlink ref="A325" r:id="rId322" display="https://www.nrg-farms.com/FarMS/harvest/reference?harvest_id=72070" xr:uid="{24DBCCC0-0D0F-4F2D-9646-D37B6C0E0F6C}"/>
    <hyperlink ref="A326" r:id="rId323" display="https://www.nrg-farms.com/FarMS/harvest/reference?harvest_id=72069" xr:uid="{CF477BEE-994A-4826-8348-1F821DC9F705}"/>
    <hyperlink ref="A327" r:id="rId324" display="https://www.nrg-farms.com/FarMS/harvest/reference?harvest_id=72068" xr:uid="{03ACABA4-2C7A-4FDC-AB52-EEB00465EC99}"/>
    <hyperlink ref="A328" r:id="rId325" display="https://www.nrg-farms.com/FarMS/harvest/reference?harvest_id=72067" xr:uid="{5BC753A9-93DC-449F-8B5E-13BDADC67D75}"/>
    <hyperlink ref="A329" r:id="rId326" display="https://www.nrg-farms.com/FarMS/harvest/reference?harvest_id=72066" xr:uid="{98987BD9-160F-4E45-A022-F63F2B3CBA69}"/>
    <hyperlink ref="A330" r:id="rId327" display="https://www.nrg-farms.com/FarMS/harvest/reference?harvest_id=72065" xr:uid="{D7AF5586-5584-4C7F-BEE7-461B964BC7FA}"/>
    <hyperlink ref="A331" r:id="rId328" display="https://www.nrg-farms.com/FarMS/harvest/reference?harvest_id=72064" xr:uid="{F6B375FC-6EAC-4C1F-85F5-1F5FCA456CE1}"/>
    <hyperlink ref="A332" r:id="rId329" display="https://www.nrg-farms.com/FarMS/harvest/reference?harvest_id=72063" xr:uid="{BB79B332-6DB7-4B10-AC5B-2E75E0A1243F}"/>
    <hyperlink ref="A333" r:id="rId330" display="https://www.nrg-farms.com/FarMS/harvest/reference?harvest_id=72062" xr:uid="{4A04D3E2-0CDD-473F-A5E7-7AB6BFD5E6D6}"/>
    <hyperlink ref="A334" r:id="rId331" display="https://www.nrg-farms.com/FarMS/harvest/reference?harvest_id=72061" xr:uid="{5C5A9B5E-A4DB-4BF8-A908-51E9E573833B}"/>
    <hyperlink ref="A335" r:id="rId332" display="https://www.nrg-farms.com/FarMS/harvest/reference?harvest_id=72060" xr:uid="{B56762F3-AC2E-480A-A86B-240149664499}"/>
    <hyperlink ref="A336" r:id="rId333" display="https://www.nrg-farms.com/FarMS/harvest/reference?harvest_id=72059" xr:uid="{2A6901E1-C069-48CA-96FD-0EB0A1959D40}"/>
    <hyperlink ref="A337" r:id="rId334" display="https://www.nrg-farms.com/FarMS/harvest/reference?harvest_id=72058" xr:uid="{9D5750B0-E59D-494C-8451-F966523DDE11}"/>
    <hyperlink ref="A338" r:id="rId335" display="https://www.nrg-farms.com/FarMS/harvest/reference?harvest_id=72057" xr:uid="{D7B736C9-EBD3-43C1-B69D-518C7F334E6D}"/>
    <hyperlink ref="A339" r:id="rId336" display="https://www.nrg-farms.com/FarMS/harvest/reference?harvest_id=72056" xr:uid="{154FD57A-3EE1-4C4B-9A96-EBE16F5322A0}"/>
    <hyperlink ref="A340" r:id="rId337" display="https://www.nrg-farms.com/FarMS/harvest/reference?harvest_id=72055" xr:uid="{4036C5A3-306D-48A2-91B0-595A23C49C57}"/>
    <hyperlink ref="A341" r:id="rId338" display="https://www.nrg-farms.com/FarMS/harvest/reference?harvest_id=72054" xr:uid="{92E5EA3B-263A-40B5-9872-57F7767D1E08}"/>
    <hyperlink ref="A342" r:id="rId339" display="https://www.nrg-farms.com/FarMS/harvest/reference?harvest_id=72053" xr:uid="{AE549380-5867-4B0A-9849-939EBF65C810}"/>
    <hyperlink ref="A343" r:id="rId340" display="https://www.nrg-farms.com/FarMS/harvest/reference?harvest_id=72052" xr:uid="{ED3E14A9-DDDC-43CD-8A58-E267F201340C}"/>
    <hyperlink ref="A344" r:id="rId341" display="https://www.nrg-farms.com/FarMS/harvest/reference?harvest_id=72051" xr:uid="{E71C6259-90AD-4F35-A261-DDF7BADCD618}"/>
    <hyperlink ref="A345" r:id="rId342" display="https://www.nrg-farms.com/FarMS/harvest/reference?harvest_id=72050" xr:uid="{84FD38C9-8F43-4896-9626-31BC75023733}"/>
    <hyperlink ref="A346" r:id="rId343" display="https://www.nrg-farms.com/FarMS/harvest/reference?harvest_id=72049" xr:uid="{EB02C362-099D-42F1-ACA8-18F980ACA5EF}"/>
    <hyperlink ref="A347" r:id="rId344" display="https://www.nrg-farms.com/FarMS/harvest/reference?harvest_id=72048" xr:uid="{CBA9E57E-500C-4A6A-AA27-678F18B3B786}"/>
    <hyperlink ref="A348" r:id="rId345" display="https://www.nrg-farms.com/FarMS/harvest/reference?harvest_id=72042" xr:uid="{BD56DE01-0687-4803-95B0-BBF91E03D846}"/>
    <hyperlink ref="A349" r:id="rId346" display="https://www.nrg-farms.com/FarMS/harvest/reference?harvest_id=72041" xr:uid="{C7A88E46-CC74-4CFF-A28B-BA6CA842ADBC}"/>
    <hyperlink ref="A350" r:id="rId347" display="https://www.nrg-farms.com/FarMS/harvest/reference?harvest_id=72040" xr:uid="{38C979D1-C270-4FB3-BCC7-E4F0FE16A4A8}"/>
    <hyperlink ref="A351" r:id="rId348" display="https://www.nrg-farms.com/FarMS/harvest/reference?harvest_id=72039" xr:uid="{B6213CC0-17BE-44A0-B8F8-582D7769A823}"/>
    <hyperlink ref="A352" r:id="rId349" display="https://www.nrg-farms.com/FarMS/harvest/reference?harvest_id=72038" xr:uid="{1E3D3DD0-31F5-4AEE-9C39-C2F810B24767}"/>
    <hyperlink ref="A353" r:id="rId350" display="https://www.nrg-farms.com/FarMS/harvest/reference?harvest_id=72037" xr:uid="{F273DAB1-1F0A-4D5A-BF66-755705F0B1D1}"/>
    <hyperlink ref="A354" r:id="rId351" display="https://www.nrg-farms.com/FarMS/harvest/reference?harvest_id=72036" xr:uid="{C566017B-0C8C-475B-9910-0236AC831B42}"/>
    <hyperlink ref="A355" r:id="rId352" display="https://www.nrg-farms.com/FarMS/harvest/reference?harvest_id=72035" xr:uid="{0365AEF0-EBD7-4B3B-9925-45DB9BA3EAC1}"/>
    <hyperlink ref="A356" r:id="rId353" display="https://www.nrg-farms.com/FarMS/harvest/reference?harvest_id=72034" xr:uid="{D2292DAF-8917-40C5-AC28-833E5BC42BB8}"/>
    <hyperlink ref="A357" r:id="rId354" display="https://www.nrg-farms.com/FarMS/harvest/reference?harvest_id=72033" xr:uid="{5BA22E78-733F-407C-BA3C-4A8E6DBF311B}"/>
    <hyperlink ref="A358" r:id="rId355" display="https://www.nrg-farms.com/FarMS/harvest/reference?harvest_id=72032" xr:uid="{56D38D79-7D3D-42BC-970B-43323B172DDC}"/>
    <hyperlink ref="A359" r:id="rId356" display="https://www.nrg-farms.com/FarMS/harvest/reference?harvest_id=72031" xr:uid="{A4B460C7-26BF-4D5C-9CB2-FEF6326BED0B}"/>
    <hyperlink ref="A360" r:id="rId357" display="https://www.nrg-farms.com/FarMS/harvest/reference?harvest_id=72030" xr:uid="{550FF49B-3431-4F38-81C2-A30163A9E860}"/>
    <hyperlink ref="A361" r:id="rId358" display="https://www.nrg-farms.com/FarMS/harvest/reference?harvest_id=72029" xr:uid="{9DD3709D-3A4C-4C02-AC18-2A57F8068503}"/>
    <hyperlink ref="A362" r:id="rId359" display="https://www.nrg-farms.com/FarMS/harvest/reference?harvest_id=72028" xr:uid="{68621BA1-0E84-40BD-9115-93467F8B3BA2}"/>
    <hyperlink ref="A363" r:id="rId360" display="https://www.nrg-farms.com/FarMS/harvest/reference?harvest_id=72027" xr:uid="{6902679A-D941-4E8C-A17C-AF4FE74DF6A6}"/>
    <hyperlink ref="A364" r:id="rId361" display="https://www.nrg-farms.com/FarMS/harvest/reference?harvest_id=72026" xr:uid="{5C65C096-6602-4B44-B165-DA1940573AF8}"/>
    <hyperlink ref="A365" r:id="rId362" display="https://www.nrg-farms.com/FarMS/harvest/reference?harvest_id=72025" xr:uid="{3F202978-2652-4DBF-8293-9CB33701711A}"/>
    <hyperlink ref="A366" r:id="rId363" display="https://www.nrg-farms.com/FarMS/harvest/reference?harvest_id=72024" xr:uid="{095BFEFE-3BFC-42B9-B14C-389D8B5FD3CE}"/>
    <hyperlink ref="A367" r:id="rId364" display="https://www.nrg-farms.com/FarMS/harvest/reference?harvest_id=71932" xr:uid="{FDF9BF4F-BFAA-4539-B8D9-E51AF6E7EE55}"/>
    <hyperlink ref="A368" r:id="rId365" display="https://www.nrg-farms.com/FarMS/harvest/reference?harvest_id=71931" xr:uid="{AF3E6D90-1D55-4E29-B112-2E4292BDF0F8}"/>
    <hyperlink ref="A369" r:id="rId366" display="https://www.nrg-farms.com/FarMS/harvest/reference?harvest_id=71930" xr:uid="{CD93056E-DD96-4647-B37B-274ABD47CCF6}"/>
    <hyperlink ref="A370" r:id="rId367" display="https://www.nrg-farms.com/FarMS/harvest/reference?harvest_id=71929" xr:uid="{73A94CF8-9CE7-4C21-BC6C-DEA1461BF456}"/>
    <hyperlink ref="A371" r:id="rId368" display="https://www.nrg-farms.com/FarMS/harvest/reference?harvest_id=71928" xr:uid="{C6996042-DC6E-4825-933A-6568A5E73C46}"/>
    <hyperlink ref="A372" r:id="rId369" display="https://www.nrg-farms.com/FarMS/harvest/reference?harvest_id=71927" xr:uid="{2D220EB0-65FB-4A5A-B291-DEABDD53C155}"/>
    <hyperlink ref="A373" r:id="rId370" display="https://www.nrg-farms.com/FarMS/harvest/reference?harvest_id=71926" xr:uid="{61EB25B1-A8F3-40CA-B848-751CBA892CAC}"/>
    <hyperlink ref="A374" r:id="rId371" display="https://www.nrg-farms.com/FarMS/harvest/reference?harvest_id=71925" xr:uid="{2EC0E979-8AC9-4889-8D76-020605BE0B25}"/>
    <hyperlink ref="A375" r:id="rId372" display="https://www.nrg-farms.com/FarMS/harvest/reference?harvest_id=71924" xr:uid="{2CAA7106-6441-4F6B-86D7-34B44F87EDB4}"/>
    <hyperlink ref="A376" r:id="rId373" display="https://www.nrg-farms.com/FarMS/harvest/reference?harvest_id=71923" xr:uid="{58BB6EA4-4F1F-4922-AD31-82FAE16A13C5}"/>
    <hyperlink ref="A377" r:id="rId374" display="https://www.nrg-farms.com/FarMS/harvest/reference?harvest_id=71922" xr:uid="{868F010F-DCDA-4735-B039-671C3EC63198}"/>
    <hyperlink ref="A378" r:id="rId375" display="https://www.nrg-farms.com/FarMS/harvest/reference?harvest_id=71921" xr:uid="{081A5493-1FDA-435C-820E-FDC3099EE3E9}"/>
    <hyperlink ref="A379" r:id="rId376" display="https://www.nrg-farms.com/FarMS/harvest/reference?harvest_id=71920" xr:uid="{5703B80B-54F0-42DF-9CFA-6F65856AFC71}"/>
    <hyperlink ref="A380" r:id="rId377" display="https://www.nrg-farms.com/FarMS/harvest/reference?harvest_id=71919" xr:uid="{4129F77D-CD56-4675-88A8-B601A08D05EE}"/>
    <hyperlink ref="A381" r:id="rId378" display="https://www.nrg-farms.com/FarMS/harvest/reference?harvest_id=71918" xr:uid="{F323DC50-C95C-4B3B-94C0-B87FAD4C774A}"/>
    <hyperlink ref="A382" r:id="rId379" display="https://www.nrg-farms.com/FarMS/harvest/reference?harvest_id=71917" xr:uid="{4D0AF54C-8CE6-48D5-A51D-371EE92E06A2}"/>
    <hyperlink ref="A383" r:id="rId380" display="https://www.nrg-farms.com/FarMS/harvest/reference?harvest_id=71916" xr:uid="{E6A403D0-09EF-4CE5-AD63-3C771206B938}"/>
    <hyperlink ref="A384" r:id="rId381" display="https://www.nrg-farms.com/FarMS/harvest/reference?harvest_id=71915" xr:uid="{D16ED0E5-6B01-4F2F-AFAD-78618C0A4E82}"/>
    <hyperlink ref="A385" r:id="rId382" display="https://www.nrg-farms.com/FarMS/harvest/reference?harvest_id=71914" xr:uid="{FABE14D4-7A80-4A75-A3BC-2E174696BBED}"/>
    <hyperlink ref="A386" r:id="rId383" display="https://www.nrg-farms.com/FarMS/harvest/reference?harvest_id=71913" xr:uid="{B767EEAD-AA19-4D2E-BB6D-19F575F01E3A}"/>
    <hyperlink ref="A387" r:id="rId384" display="https://www.nrg-farms.com/FarMS/harvest/reference?harvest_id=71912" xr:uid="{D1538A9F-69AB-4C99-970E-3E8F965A6DA8}"/>
    <hyperlink ref="A388" r:id="rId385" display="https://www.nrg-farms.com/FarMS/harvest/reference?harvest_id=71880" xr:uid="{45E8BEF9-4E8D-48E3-9F1D-9E64B148136A}"/>
    <hyperlink ref="A389" r:id="rId386" display="https://www.nrg-farms.com/FarMS/harvest/reference?harvest_id=71879" xr:uid="{F9AB75AD-16A3-4668-B3F8-3A1B96357C2F}"/>
    <hyperlink ref="A390" r:id="rId387" display="https://www.nrg-farms.com/FarMS/harvest/reference?harvest_id=71878" xr:uid="{7351C90B-9A20-4008-8899-3B9751E4E15B}"/>
    <hyperlink ref="A391" r:id="rId388" display="https://www.nrg-farms.com/FarMS/harvest/reference?harvest_id=71877" xr:uid="{8EF2989B-E4F1-4673-A69F-5B6F611CF715}"/>
    <hyperlink ref="A392" r:id="rId389" display="https://www.nrg-farms.com/FarMS/harvest/reference?harvest_id=71876" xr:uid="{485855D3-139F-4507-A3FB-07B680F6DB49}"/>
    <hyperlink ref="A393" r:id="rId390" display="https://www.nrg-farms.com/FarMS/harvest/reference?harvest_id=71875" xr:uid="{7C108D41-C3CE-4009-BF68-F8AD027AD4A2}"/>
    <hyperlink ref="A394" r:id="rId391" display="https://www.nrg-farms.com/FarMS/harvest/reference?harvest_id=71874" xr:uid="{CC9E42E2-DEA9-426E-8539-3071FC4F7BAF}"/>
    <hyperlink ref="A395" r:id="rId392" display="https://www.nrg-farms.com/FarMS/harvest/reference?harvest_id=71873" xr:uid="{BF03F4B0-826D-4FBE-A3CA-D0D77F93EB5A}"/>
    <hyperlink ref="A396" r:id="rId393" display="https://www.nrg-farms.com/FarMS/harvest/reference?harvest_id=71872" xr:uid="{8EFAAF57-AD60-459C-B0ED-96DD5DFC05FB}"/>
    <hyperlink ref="A397" r:id="rId394" display="https://www.nrg-farms.com/FarMS/harvest/reference?harvest_id=71871" xr:uid="{6913A78D-4911-43FB-BA1C-61CBC7D67818}"/>
    <hyperlink ref="A398" r:id="rId395" display="https://www.nrg-farms.com/FarMS/harvest/reference?harvest_id=71870" xr:uid="{EE5EC5D7-6ED5-421B-8CBA-E85C5B57C2FE}"/>
    <hyperlink ref="A399" r:id="rId396" display="https://www.nrg-farms.com/FarMS/harvest/reference?harvest_id=71869" xr:uid="{0DD6306B-3E98-4D29-A09C-E29B321426CB}"/>
    <hyperlink ref="A400" r:id="rId397" display="https://www.nrg-farms.com/FarMS/harvest/reference?harvest_id=71868" xr:uid="{79476A19-FD99-4CE0-9CDA-BD67FD2FE2B1}"/>
    <hyperlink ref="A401" r:id="rId398" display="https://www.nrg-farms.com/FarMS/harvest/reference?harvest_id=71867" xr:uid="{D7236585-E2F5-4B32-A1BA-D3C591D553D9}"/>
    <hyperlink ref="A402" r:id="rId399" display="https://www.nrg-farms.com/FarMS/harvest/reference?harvest_id=71866" xr:uid="{5FF94178-F74B-450D-9EA3-056C5EE39AC2}"/>
    <hyperlink ref="A403" r:id="rId400" display="https://www.nrg-farms.com/FarMS/harvest/reference?harvest_id=71865" xr:uid="{E6E01716-ED18-4CFC-8561-483B54F21D06}"/>
    <hyperlink ref="A404" r:id="rId401" display="https://www.nrg-farms.com/FarMS/harvest/reference?harvest_id=71864" xr:uid="{031568CA-95BF-4800-9A63-BBDBA7A2DE65}"/>
    <hyperlink ref="A405" r:id="rId402" display="https://www.nrg-farms.com/FarMS/harvest/reference?harvest_id=71863" xr:uid="{159E1E8D-5AC6-46EA-A7AB-0B78FAC3A93B}"/>
    <hyperlink ref="A406" r:id="rId403" display="https://www.nrg-farms.com/FarMS/harvest/reference?harvest_id=71862" xr:uid="{D20F410D-BE0B-4BD1-9B5F-599BDF8991E2}"/>
    <hyperlink ref="A407" r:id="rId404" display="https://www.nrg-farms.com/FarMS/harvest/reference?harvest_id=71861" xr:uid="{6A5D48CE-32E5-42FD-B966-C96D64AF622D}"/>
    <hyperlink ref="A408" r:id="rId405" display="https://www.nrg-farms.com/FarMS/harvest/reference?harvest_id=71699" xr:uid="{CF5E99D0-A083-4878-B639-3C3424A57B05}"/>
    <hyperlink ref="A409" r:id="rId406" display="https://www.nrg-farms.com/FarMS/harvest/reference?harvest_id=71698" xr:uid="{A7BE0482-4B5E-479E-95AB-D636D3603D3C}"/>
    <hyperlink ref="A410" r:id="rId407" display="https://www.nrg-farms.com/FarMS/harvest/reference?harvest_id=71697" xr:uid="{DD973367-6A7C-4CAB-86FA-94541C213A72}"/>
    <hyperlink ref="A411" r:id="rId408" display="https://www.nrg-farms.com/FarMS/harvest/reference?harvest_id=71696" xr:uid="{8A792618-4E67-4DEE-ACB0-6C9F84623D87}"/>
    <hyperlink ref="A412" r:id="rId409" display="https://www.nrg-farms.com/FarMS/harvest/reference?harvest_id=71695" xr:uid="{BF7BA0D0-DB0F-4BE5-B534-6BB328BFF1C8}"/>
    <hyperlink ref="A413" r:id="rId410" display="https://www.nrg-farms.com/FarMS/harvest/reference?harvest_id=71694" xr:uid="{5CB758F9-E1B6-4B43-B46D-A08768E71C41}"/>
    <hyperlink ref="A414" r:id="rId411" display="https://www.nrg-farms.com/FarMS/harvest/reference?harvest_id=71693" xr:uid="{37D862EA-99D5-4E39-9298-3E6077F90BBE}"/>
    <hyperlink ref="A415" r:id="rId412" display="https://www.nrg-farms.com/FarMS/harvest/reference?harvest_id=71692" xr:uid="{C777697B-5800-4AD7-BB0D-9BAEC6CC6B94}"/>
    <hyperlink ref="A416" r:id="rId413" display="https://www.nrg-farms.com/FarMS/harvest/reference?harvest_id=71691" xr:uid="{96C9D8BA-BB5F-477F-B98A-E793A1D810D4}"/>
    <hyperlink ref="A417" r:id="rId414" display="https://www.nrg-farms.com/FarMS/harvest/reference?harvest_id=71690" xr:uid="{513EC355-7E21-4BD5-9539-20CBCD7B1DD2}"/>
    <hyperlink ref="A418" r:id="rId415" display="https://www.nrg-farms.com/FarMS/harvest/reference?harvest_id=71689" xr:uid="{D7BF6E56-421D-41EA-89F1-959B25009CDE}"/>
    <hyperlink ref="A419" r:id="rId416" display="https://www.nrg-farms.com/FarMS/harvest/reference?harvest_id=71688" xr:uid="{03731F21-919E-4498-942E-F9FDF4568BE5}"/>
    <hyperlink ref="A420" r:id="rId417" display="https://www.nrg-farms.com/FarMS/harvest/reference?harvest_id=71687" xr:uid="{D6880253-F3D7-4414-B306-A1CE54B9C518}"/>
    <hyperlink ref="A421" r:id="rId418" display="https://www.nrg-farms.com/FarMS/harvest/reference?harvest_id=71686" xr:uid="{99975FCC-2BB2-4EBC-8338-2B88F22613EF}"/>
    <hyperlink ref="A422" r:id="rId419" display="https://www.nrg-farms.com/FarMS/harvest/reference?harvest_id=71685" xr:uid="{A199FC32-7561-4F29-BE7F-D59D01BE95B9}"/>
    <hyperlink ref="A423" r:id="rId420" display="https://www.nrg-farms.com/FarMS/harvest/reference?harvest_id=71684" xr:uid="{F1D5B287-C868-450F-B90E-5BC9CB6D1996}"/>
    <hyperlink ref="A424" r:id="rId421" display="https://www.nrg-farms.com/FarMS/harvest/reference?harvest_id=71683" xr:uid="{54517BE0-D5F8-4A5E-8A4B-27F25D658FC6}"/>
    <hyperlink ref="A425" r:id="rId422" display="https://www.nrg-farms.com/FarMS/harvest/reference?harvest_id=71682" xr:uid="{4D32F835-398D-40A9-9C46-989E3CB58435}"/>
    <hyperlink ref="A426" r:id="rId423" display="https://www.nrg-farms.com/FarMS/harvest/reference?harvest_id=71681" xr:uid="{D505F82F-B049-4D14-8516-5D7730F18105}"/>
    <hyperlink ref="A427" r:id="rId424" display="https://www.nrg-farms.com/FarMS/harvest/reference?harvest_id=71680" xr:uid="{D5ADC28A-4965-4C3B-9B9D-D78BCDDF7D64}"/>
    <hyperlink ref="A428" r:id="rId425" display="https://www.nrg-farms.com/FarMS/harvest/reference?harvest_id=71679" xr:uid="{E183577B-1DCB-4BE1-BE03-71C7C7166489}"/>
    <hyperlink ref="A429" r:id="rId426" display="https://www.nrg-farms.com/FarMS/harvest/reference?harvest_id=71678" xr:uid="{0007864B-1222-4A52-A615-6EC3198C24F8}"/>
    <hyperlink ref="A430" r:id="rId427" display="https://www.nrg-farms.com/FarMS/harvest/reference?harvest_id=71677" xr:uid="{BA011B02-D1CC-4243-AC80-675BC5D68A39}"/>
    <hyperlink ref="A431" r:id="rId428" display="https://www.nrg-farms.com/FarMS/harvest/reference?harvest_id=71676" xr:uid="{4D5FFBC2-6C5D-4157-A717-C4078CAB7006}"/>
    <hyperlink ref="A432" r:id="rId429" display="https://www.nrg-farms.com/FarMS/harvest/reference?harvest_id=71675" xr:uid="{68748549-2352-4705-BECC-9F444AAE3A0B}"/>
    <hyperlink ref="A433" r:id="rId430" display="https://www.nrg-farms.com/FarMS/harvest/reference?harvest_id=71674" xr:uid="{125A8518-DBF0-4375-BA17-A16A55AF5DE5}"/>
    <hyperlink ref="A434" r:id="rId431" display="https://www.nrg-farms.com/FarMS/harvest/reference?harvest_id=71673" xr:uid="{DDA1162A-BE1F-4CBB-ABC5-8E7E0514B841}"/>
    <hyperlink ref="A435" r:id="rId432" display="https://www.nrg-farms.com/FarMS/harvest/reference?harvest_id=71672" xr:uid="{A04ACB38-05B7-45B1-959D-1378D30EF3F0}"/>
    <hyperlink ref="A436" r:id="rId433" display="https://www.nrg-farms.com/FarMS/harvest/reference?harvest_id=71671" xr:uid="{92B4F71A-2CA1-4C92-A086-C1D62B25EFB7}"/>
    <hyperlink ref="A437" r:id="rId434" display="https://www.nrg-farms.com/FarMS/harvest/reference?harvest_id=71670" xr:uid="{28525552-30E5-4ED8-BFD5-F0B56F538A2D}"/>
    <hyperlink ref="A438" r:id="rId435" display="https://www.nrg-farms.com/FarMS/harvest/reference?harvest_id=71669" xr:uid="{9BA788F4-721B-4264-8704-0718B5FE2DD3}"/>
    <hyperlink ref="A439" r:id="rId436" display="https://www.nrg-farms.com/FarMS/harvest/reference?harvest_id=71668" xr:uid="{690971DB-8000-4456-9F35-077DD55F42C8}"/>
    <hyperlink ref="A440" r:id="rId437" display="https://www.nrg-farms.com/FarMS/harvest/reference?harvest_id=71667" xr:uid="{CF65E168-A9D6-4046-BB56-94410176816B}"/>
    <hyperlink ref="A441" r:id="rId438" display="https://www.nrg-farms.com/FarMS/harvest/reference?harvest_id=71666" xr:uid="{0530C0FC-5718-4C53-8E58-B715A2EA6AAF}"/>
    <hyperlink ref="A442" r:id="rId439" display="https://www.nrg-farms.com/FarMS/harvest/reference?harvest_id=71665" xr:uid="{8EC33D7D-0803-4C8D-B368-6CC24DC9C974}"/>
    <hyperlink ref="A443" r:id="rId440" display="https://www.nrg-farms.com/FarMS/harvest/reference?harvest_id=71502" xr:uid="{79243840-37E6-43E9-ABAF-808260CD9A43}"/>
    <hyperlink ref="A444" r:id="rId441" display="https://www.nrg-farms.com/FarMS/harvest/reference?harvest_id=71501" xr:uid="{0C6302C7-4A9A-4272-94F2-AD6AD793CC24}"/>
    <hyperlink ref="A445" r:id="rId442" display="https://www.nrg-farms.com/FarMS/harvest/reference?harvest_id=71500" xr:uid="{52143F08-263B-4C06-964D-BF9C273BEB3B}"/>
    <hyperlink ref="A446" r:id="rId443" display="https://www.nrg-farms.com/FarMS/harvest/reference?harvest_id=73446" xr:uid="{5F484FFA-6064-47AB-AB1C-A651EF43736E}"/>
    <hyperlink ref="A447" r:id="rId444" display="https://www.nrg-farms.com/FarMS/harvest/reference?harvest_id=73445" xr:uid="{56754876-6D25-417E-BD62-64501AA03EB2}"/>
    <hyperlink ref="A448" r:id="rId445" display="https://www.nrg-farms.com/FarMS/harvest/reference?harvest_id=71664" xr:uid="{3D0AFB3A-F15B-46F1-A535-AF05A2CCE208}"/>
    <hyperlink ref="A449" r:id="rId446" display="https://www.nrg-farms.com/FarMS/harvest/reference?harvest_id=71663" xr:uid="{CFBE3F7E-7994-4145-A7E7-3755B7A5C732}"/>
    <hyperlink ref="A450" r:id="rId447" display="https://www.nrg-farms.com/FarMS/harvest/reference?harvest_id=71662" xr:uid="{D9D53D7F-4FF3-49B0-B6CA-3743B9FE00E4}"/>
    <hyperlink ref="A451" r:id="rId448" display="https://www.nrg-farms.com/FarMS/harvest/reference?harvest_id=71661" xr:uid="{94C27BA8-F6D3-45EE-A578-787DA87B1247}"/>
    <hyperlink ref="A452" r:id="rId449" display="https://www.nrg-farms.com/FarMS/harvest/reference?harvest_id=71660" xr:uid="{95927976-181D-4E4B-ACB7-87C181ED585D}"/>
    <hyperlink ref="A453" r:id="rId450" display="https://www.nrg-farms.com/FarMS/harvest/reference?harvest_id=71659" xr:uid="{53E20B3D-B2EA-43EA-9DF8-803B19A55E26}"/>
    <hyperlink ref="A454" r:id="rId451" display="https://www.nrg-farms.com/FarMS/harvest/reference?harvest_id=71658" xr:uid="{85228FAC-BC8D-4CB8-A775-7345279EFC9D}"/>
    <hyperlink ref="A455" r:id="rId452" display="https://www.nrg-farms.com/FarMS/harvest/reference?harvest_id=71657" xr:uid="{371F4BC3-69AD-4F9C-A52B-EFE0E8E06E05}"/>
    <hyperlink ref="A456" r:id="rId453" display="https://www.nrg-farms.com/FarMS/harvest/reference?harvest_id=71656" xr:uid="{5A2DE40F-9A29-4E86-9EA9-2EB87F0F8A6F}"/>
    <hyperlink ref="A457" r:id="rId454" display="https://www.nrg-farms.com/FarMS/harvest/reference?harvest_id=71655" xr:uid="{4713C730-7D91-47E7-A0CF-952F7084DEAE}"/>
    <hyperlink ref="A458" r:id="rId455" display="https://www.nrg-farms.com/FarMS/harvest/reference?harvest_id=71654" xr:uid="{E74F32CA-E3E9-4FC0-8635-3FA1FD931B81}"/>
    <hyperlink ref="A459" r:id="rId456" display="https://www.nrg-farms.com/FarMS/harvest/reference?harvest_id=71653" xr:uid="{CAFBBC7F-1BF5-4275-A77E-910798B9F7BF}"/>
    <hyperlink ref="A460" r:id="rId457" display="https://www.nrg-farms.com/FarMS/harvest/reference?harvest_id=71652" xr:uid="{27E8DB8A-101B-45C8-B71C-5A88B6D0DDC9}"/>
    <hyperlink ref="A461" r:id="rId458" display="https://www.nrg-farms.com/FarMS/harvest/reference?harvest_id=71651" xr:uid="{8B78AB26-B6B8-4B9E-91B5-1F245C6DB526}"/>
    <hyperlink ref="A462" r:id="rId459" display="https://www.nrg-farms.com/FarMS/harvest/reference?harvest_id=71650" xr:uid="{78AC9042-D340-4900-AF8B-9DA2ED278035}"/>
    <hyperlink ref="A463" r:id="rId460" display="https://www.nrg-farms.com/FarMS/harvest/reference?harvest_id=71649" xr:uid="{EB34FB1D-0DE2-48B3-AC45-5665C27AD731}"/>
    <hyperlink ref="A464" r:id="rId461" display="https://www.nrg-farms.com/FarMS/harvest/reference?harvest_id=71648" xr:uid="{E31B1761-5480-4E68-A6D9-7B0336C3EC20}"/>
    <hyperlink ref="A465" r:id="rId462" display="https://www.nrg-farms.com/FarMS/harvest/reference?harvest_id=71647" xr:uid="{C174D567-7EA6-4B5E-87F9-808DF8583AC9}"/>
    <hyperlink ref="A466" r:id="rId463" display="https://www.nrg-farms.com/FarMS/harvest/reference?harvest_id=71646" xr:uid="{EA21EA50-D3BD-4680-9C28-96A83512434C}"/>
    <hyperlink ref="A467" r:id="rId464" display="https://www.nrg-farms.com/FarMS/harvest/reference?harvest_id=71645" xr:uid="{AA1A8C7C-F950-4D9D-9358-CEE84A372AC0}"/>
    <hyperlink ref="A468" r:id="rId465" display="https://www.nrg-farms.com/FarMS/harvest/reference?harvest_id=71644" xr:uid="{2A034783-7336-43CA-AE1C-353F1BCCAB2C}"/>
    <hyperlink ref="A469" r:id="rId466" display="https://www.nrg-farms.com/FarMS/harvest/reference?harvest_id=71643" xr:uid="{E41F0DC5-51DA-48AE-A910-D09FD410D560}"/>
    <hyperlink ref="A470" r:id="rId467" display="https://www.nrg-farms.com/FarMS/harvest/reference?harvest_id=71642" xr:uid="{983E5DE4-305F-4516-BBC5-F4B24F8E59D9}"/>
    <hyperlink ref="A471" r:id="rId468" display="https://www.nrg-farms.com/FarMS/harvest/reference?harvest_id=71641" xr:uid="{9A0F1574-89B4-4EF8-BAD9-C941D17EC8C4}"/>
    <hyperlink ref="A472" r:id="rId469" display="https://www.nrg-farms.com/FarMS/harvest/reference?harvest_id=71640" xr:uid="{8A0778D5-DA2C-4053-808F-7BA5AD729539}"/>
    <hyperlink ref="A473" r:id="rId470" display="https://www.nrg-farms.com/FarMS/harvest/reference?harvest_id=71639" xr:uid="{6B90AB59-5F12-4486-B572-39F2B18BE8EA}"/>
    <hyperlink ref="A474" r:id="rId471" display="https://www.nrg-farms.com/FarMS/harvest/reference?harvest_id=71638" xr:uid="{C1F1E487-78E2-4C53-AB24-F68C703A6CBE}"/>
    <hyperlink ref="A475" r:id="rId472" display="https://www.nrg-farms.com/FarMS/harvest/reference?harvest_id=71637" xr:uid="{B7D4062A-00BE-4BE6-A435-F8B273ECC10C}"/>
    <hyperlink ref="A476" r:id="rId473" display="https://www.nrg-farms.com/FarMS/harvest/reference?harvest_id=71636" xr:uid="{DC0CB87C-4CB3-414C-B072-4E72AB6CD914}"/>
    <hyperlink ref="A477" r:id="rId474" display="https://www.nrg-farms.com/FarMS/harvest/reference?harvest_id=71635" xr:uid="{76C32517-75CD-47A4-9786-58FDDD299C14}"/>
    <hyperlink ref="A478" r:id="rId475" display="https://www.nrg-farms.com/FarMS/harvest/reference?harvest_id=71634" xr:uid="{B09D93A4-CC21-4BA5-80CB-86ACDF4389CF}"/>
    <hyperlink ref="A479" r:id="rId476" display="https://www.nrg-farms.com/FarMS/harvest/reference?harvest_id=71633" xr:uid="{0864DF89-CFF8-46DF-AA48-B21B725A4993}"/>
    <hyperlink ref="A480" r:id="rId477" display="https://www.nrg-farms.com/FarMS/harvest/reference?harvest_id=71632" xr:uid="{A6ABCAAF-638B-42F1-B2F6-C25DC2B9183C}"/>
    <hyperlink ref="A481" r:id="rId478" display="https://www.nrg-farms.com/FarMS/harvest/reference?harvest_id=71631" xr:uid="{84233BC0-86BA-4F53-997E-8D92A3501054}"/>
    <hyperlink ref="A482" r:id="rId479" display="https://www.nrg-farms.com/FarMS/harvest/reference?harvest_id=71630" xr:uid="{74D081AC-8BE0-4E0D-997B-74CC053A8DB2}"/>
    <hyperlink ref="A483" r:id="rId480" display="https://www.nrg-farms.com/FarMS/harvest/reference?harvest_id=71629" xr:uid="{25C7AD75-6E76-44D8-86A9-FFC35E700189}"/>
    <hyperlink ref="A484" r:id="rId481" display="https://www.nrg-farms.com/FarMS/harvest/reference?harvest_id=71628" xr:uid="{06439DFA-5D46-4ABE-943B-4F557EF6CB6F}"/>
    <hyperlink ref="A485" r:id="rId482" display="https://www.nrg-farms.com/FarMS/harvest/reference?harvest_id=71627" xr:uid="{3CDFDB60-A2B7-4C9C-B895-FE36AABC42A3}"/>
    <hyperlink ref="A486" r:id="rId483" display="https://www.nrg-farms.com/FarMS/harvest/reference?harvest_id=71626" xr:uid="{551CD377-A698-4C6C-96D3-6C15D45E7702}"/>
    <hyperlink ref="A487" r:id="rId484" display="https://www.nrg-farms.com/FarMS/harvest/reference?harvest_id=71625" xr:uid="{F2EE1B6F-BECC-449A-A678-4E74CEC4FDBC}"/>
    <hyperlink ref="A488" r:id="rId485" display="https://www.nrg-farms.com/FarMS/harvest/reference?harvest_id=71624" xr:uid="{B7A0D139-5D2B-40D2-BAF6-0F5F2EE88FFF}"/>
    <hyperlink ref="A489" r:id="rId486" display="https://www.nrg-farms.com/FarMS/harvest/reference?harvest_id=71623" xr:uid="{EBFC4429-F70D-43BE-9082-5D3396E15D24}"/>
    <hyperlink ref="A490" r:id="rId487" display="https://www.nrg-farms.com/FarMS/harvest/reference?harvest_id=71622" xr:uid="{A3D75094-338A-4E5D-B27A-0C3358AF8971}"/>
    <hyperlink ref="A491" r:id="rId488" display="https://www.nrg-farms.com/FarMS/harvest/reference?harvest_id=71621" xr:uid="{3A942A8C-D37B-45EB-B12C-B661056D2180}"/>
    <hyperlink ref="A492" r:id="rId489" display="https://www.nrg-farms.com/FarMS/harvest/reference?harvest_id=71620" xr:uid="{FAE51B92-3B4A-40E6-BC46-2195DD38E9BA}"/>
    <hyperlink ref="A493" r:id="rId490" display="https://www.nrg-farms.com/FarMS/harvest/reference?harvest_id=71619" xr:uid="{C8328C80-4211-4F1F-A8FB-15DCD6966AA7}"/>
    <hyperlink ref="A494" r:id="rId491" display="https://www.nrg-farms.com/FarMS/harvest/reference?harvest_id=71618" xr:uid="{1AD95BC2-F79C-43B2-B791-AB6A7E8B3302}"/>
    <hyperlink ref="A495" r:id="rId492" display="https://www.nrg-farms.com/FarMS/harvest/reference?harvest_id=71617" xr:uid="{1FF669F8-F8DA-4CCB-8446-01C9D34106E3}"/>
    <hyperlink ref="A496" r:id="rId493" display="https://www.nrg-farms.com/FarMS/harvest/reference?harvest_id=71616" xr:uid="{6FAB0222-6EB7-43BB-A081-4CD0B1537A2A}"/>
    <hyperlink ref="A497" r:id="rId494" display="https://www.nrg-farms.com/FarMS/harvest/reference?harvest_id=71615" xr:uid="{98DEA5CD-15EE-4762-B26F-A5C85B8E84C0}"/>
    <hyperlink ref="A498" r:id="rId495" display="https://www.nrg-farms.com/FarMS/harvest/reference?harvest_id=71614" xr:uid="{937986FF-6AE2-427E-BF97-838BFFD5146F}"/>
    <hyperlink ref="A499" r:id="rId496" display="https://www.nrg-farms.com/FarMS/harvest/reference?harvest_id=71613" xr:uid="{ABB47CCD-BD47-46EA-9322-3CBDDA4388CC}"/>
    <hyperlink ref="A500" r:id="rId497" display="https://www.nrg-farms.com/FarMS/harvest/reference?harvest_id=71612" xr:uid="{67E56BEC-CA44-4D63-837D-BA60090F146B}"/>
    <hyperlink ref="A501" r:id="rId498" display="https://www.nrg-farms.com/FarMS/harvest/reference?harvest_id=71611" xr:uid="{93E5CE66-46E2-4F2B-B999-DEFE129D7192}"/>
    <hyperlink ref="A502" r:id="rId499" display="https://www.nrg-farms.com/FarMS/harvest/reference?harvest_id=71610" xr:uid="{B96DB628-79B7-472B-B8A7-F6EBB86DEDDB}"/>
    <hyperlink ref="A503" r:id="rId500" display="https://www.nrg-farms.com/FarMS/harvest/reference?harvest_id=71609" xr:uid="{D2CC0523-0FD0-4993-819A-DD21EFFDF048}"/>
    <hyperlink ref="A504" r:id="rId501" display="https://www.nrg-farms.com/FarMS/harvest/reference?harvest_id=71608" xr:uid="{7F51D7D6-C258-4A3D-A87B-DD80D6762956}"/>
    <hyperlink ref="A505" r:id="rId502" display="https://www.nrg-farms.com/FarMS/harvest/reference?harvest_id=71607" xr:uid="{965EFDCD-8D73-4E57-BBFB-6961BB99BB02}"/>
    <hyperlink ref="A506" r:id="rId503" display="https://www.nrg-farms.com/FarMS/harvest/reference?harvest_id=71606" xr:uid="{417DE08D-6DE3-40D9-BFF5-92F051F70D98}"/>
    <hyperlink ref="A507" r:id="rId504" display="https://www.nrg-farms.com/FarMS/harvest/reference?harvest_id=71605" xr:uid="{0B6072A4-35E6-46A2-8BE8-1D4D0A74DC28}"/>
    <hyperlink ref="A508" r:id="rId505" display="https://www.nrg-farms.com/FarMS/harvest/reference?harvest_id=71604" xr:uid="{A8A2B4B3-7AA3-4452-B485-CC35FB50E658}"/>
    <hyperlink ref="A509" r:id="rId506" display="https://www.nrg-farms.com/FarMS/harvest/reference?harvest_id=71603" xr:uid="{B1DADC1B-D7DD-42B9-944F-E6FD084CC2D1}"/>
    <hyperlink ref="A510" r:id="rId507" display="https://www.nrg-farms.com/FarMS/harvest/reference?harvest_id=71602" xr:uid="{B7E4F4AC-26B0-4E48-BF0D-463AFAA3E8F8}"/>
    <hyperlink ref="A511" r:id="rId508" display="https://www.nrg-farms.com/FarMS/harvest/reference?harvest_id=71601" xr:uid="{8B4896A2-A62C-4AEA-9888-E6AF23166D37}"/>
    <hyperlink ref="A512" r:id="rId509" display="https://www.nrg-farms.com/FarMS/harvest/reference?harvest_id=71600" xr:uid="{FBB8CFC4-9791-4157-82CA-4CF5499E56BE}"/>
    <hyperlink ref="A513" r:id="rId510" display="https://www.nrg-farms.com/FarMS/harvest/reference?harvest_id=71599" xr:uid="{A0C077A4-4E23-43CD-86C2-1D99832A4B20}"/>
    <hyperlink ref="A514" r:id="rId511" display="https://www.nrg-farms.com/FarMS/harvest/reference?harvest_id=71598" xr:uid="{ECEAA1A0-3D03-4626-8BA6-AE3BF31ED7C2}"/>
    <hyperlink ref="A515" r:id="rId512" display="https://www.nrg-farms.com/FarMS/harvest/reference?harvest_id=70987" xr:uid="{909634C6-281A-448E-B58A-43FAE9045825}"/>
    <hyperlink ref="A516" r:id="rId513" display="https://www.nrg-farms.com/FarMS/harvest/reference?harvest_id=70986" xr:uid="{9B7310CB-BDC3-406A-9C56-B401C2AE12B1}"/>
    <hyperlink ref="A517" r:id="rId514" display="https://www.nrg-farms.com/FarMS/harvest/reference?harvest_id=70985" xr:uid="{6CB8AB26-7C6D-4620-8C6C-A3CE8D7D4507}"/>
    <hyperlink ref="A518" r:id="rId515" display="https://www.nrg-farms.com/FarMS/harvest/reference?harvest_id=70984" xr:uid="{6BF56BF6-2FCC-471E-AE4D-1269328ACD05}"/>
    <hyperlink ref="A519" r:id="rId516" display="https://www.nrg-farms.com/FarMS/harvest/reference?harvest_id=70983" xr:uid="{66399771-8EA2-4819-BEBE-954DB702CC6D}"/>
    <hyperlink ref="A520" r:id="rId517" display="https://www.nrg-farms.com/FarMS/harvest/reference?harvest_id=70982" xr:uid="{6CF8AA70-6F43-47B5-A0A5-7998ECC4E030}"/>
    <hyperlink ref="A521" r:id="rId518" display="https://www.nrg-farms.com/FarMS/harvest/reference?harvest_id=70981" xr:uid="{2BA8CC28-7B33-4654-9CA2-0498BF29F4A6}"/>
    <hyperlink ref="A522" r:id="rId519" display="https://www.nrg-farms.com/FarMS/harvest/reference?harvest_id=70980" xr:uid="{00909CEC-A58C-44E4-BE76-C889E5479E62}"/>
    <hyperlink ref="A523" r:id="rId520" display="https://www.nrg-farms.com/FarMS/harvest/reference?harvest_id=70979" xr:uid="{EDC91C99-46D9-4746-8F25-FE027AD0150E}"/>
    <hyperlink ref="A524" r:id="rId521" display="https://www.nrg-farms.com/FarMS/harvest/reference?harvest_id=70978" xr:uid="{2798485A-1CAD-45E4-98F8-3EF1AFB14A96}"/>
    <hyperlink ref="A525" r:id="rId522" display="https://www.nrg-farms.com/FarMS/harvest/reference?harvest_id=70977" xr:uid="{4AD0B842-5968-4354-9CF0-0C514B3C8CF3}"/>
    <hyperlink ref="A526" r:id="rId523" display="https://www.nrg-farms.com/FarMS/harvest/reference?harvest_id=70976" xr:uid="{62892D13-ADDA-4AA2-A638-7C217CFC192A}"/>
    <hyperlink ref="A527" r:id="rId524" display="https://www.nrg-farms.com/FarMS/harvest/reference?harvest_id=70975" xr:uid="{0F76D18F-CEFC-48CB-BFAE-1F7F4C56ADBB}"/>
    <hyperlink ref="A528" r:id="rId525" display="https://www.nrg-farms.com/FarMS/harvest/reference?harvest_id=70974" xr:uid="{86D10A38-FFF0-43B7-BCD1-22487947BE00}"/>
    <hyperlink ref="A529" r:id="rId526" display="https://www.nrg-farms.com/FarMS/harvest/reference?harvest_id=70973" xr:uid="{0A689914-2B57-436B-8F27-96E07EDC1824}"/>
    <hyperlink ref="A530" r:id="rId527" display="https://www.nrg-farms.com/FarMS/harvest/reference?harvest_id=70972" xr:uid="{73AE0DD8-9E71-43B9-821D-C842EE126646}"/>
    <hyperlink ref="A531" r:id="rId528" display="https://www.nrg-farms.com/FarMS/harvest/reference?harvest_id=70971" xr:uid="{0C29BBFB-B1F9-453F-A574-7F0D42B575AB}"/>
    <hyperlink ref="A532" r:id="rId529" display="https://www.nrg-farms.com/FarMS/harvest/reference?harvest_id=70970" xr:uid="{7A2A56BC-33BF-4520-A9C7-9F7FE3A539AB}"/>
    <hyperlink ref="A533" r:id="rId530" display="https://www.nrg-farms.com/FarMS/harvest/reference?harvest_id=70969" xr:uid="{0A8E11D7-95AE-4F41-ABA6-BE9CBF176813}"/>
    <hyperlink ref="A534" r:id="rId531" display="https://www.nrg-farms.com/FarMS/harvest/reference?harvest_id=70968" xr:uid="{DF400C27-0944-478F-8D90-72766D2CFE59}"/>
    <hyperlink ref="A535" r:id="rId532" display="https://www.nrg-farms.com/FarMS/harvest/reference?harvest_id=70967" xr:uid="{5ABAE1F3-423F-4CA7-85CD-04D1F83280AF}"/>
    <hyperlink ref="A536" r:id="rId533" display="https://www.nrg-farms.com/FarMS/harvest/reference?harvest_id=70966" xr:uid="{8C989B6A-38B7-49C5-9BB0-62905F562D4D}"/>
    <hyperlink ref="A537" r:id="rId534" display="https://www.nrg-farms.com/FarMS/harvest/reference?harvest_id=70965" xr:uid="{86B8ED77-3B53-4888-97CF-A4B96F895273}"/>
    <hyperlink ref="A538" r:id="rId535" display="https://www.nrg-farms.com/FarMS/harvest/reference?harvest_id=70964" xr:uid="{958E9951-54E5-424F-9901-A04A3E7EEF5C}"/>
    <hyperlink ref="A539" r:id="rId536" display="https://www.nrg-farms.com/FarMS/harvest/reference?harvest_id=70963" xr:uid="{933CCC89-C3F4-4053-BF45-8A7EAD151CFD}"/>
    <hyperlink ref="A540" r:id="rId537" display="https://www.nrg-farms.com/FarMS/harvest/reference?harvest_id=70962" xr:uid="{0CEFFD6D-6D8A-4D60-85C3-E718C637720D}"/>
    <hyperlink ref="A541" r:id="rId538" display="https://www.nrg-farms.com/FarMS/harvest/reference?harvest_id=70961" xr:uid="{C120065E-6367-40C0-BBA5-3206816FA1CA}"/>
    <hyperlink ref="A542" r:id="rId539" display="https://www.nrg-farms.com/FarMS/harvest/reference?harvest_id=70960" xr:uid="{78E8095B-FD03-4672-B5DB-08DA1B101DF3}"/>
    <hyperlink ref="A543" r:id="rId540" display="https://www.nrg-farms.com/FarMS/harvest/reference?harvest_id=70959" xr:uid="{8EA659FF-41E4-48C1-AAA6-97F0DA4EE4B3}"/>
    <hyperlink ref="A544" r:id="rId541" display="https://www.nrg-farms.com/FarMS/harvest/reference?harvest_id=70958" xr:uid="{54E1B10F-564C-4EA1-A3E0-A820B1CF8E45}"/>
    <hyperlink ref="A545" r:id="rId542" display="https://www.nrg-farms.com/FarMS/harvest/reference?harvest_id=70957" xr:uid="{2E0E9918-9C2C-4A48-859E-5E9E59D94F4E}"/>
    <hyperlink ref="A546" r:id="rId543" display="https://www.nrg-farms.com/FarMS/harvest/reference?harvest_id=70956" xr:uid="{3981B779-AC2B-4F4C-9628-F2D572595DC8}"/>
    <hyperlink ref="A547" r:id="rId544" display="https://www.nrg-farms.com/FarMS/harvest/reference?harvest_id=70955" xr:uid="{4F8D76D8-386E-4168-A665-CBDB20C18110}"/>
    <hyperlink ref="A548" r:id="rId545" display="https://www.nrg-farms.com/FarMS/harvest/reference?harvest_id=70954" xr:uid="{DD7A5D3A-1F41-45FB-B3A5-CCBFB9698BD0}"/>
    <hyperlink ref="A549" r:id="rId546" display="https://www.nrg-farms.com/FarMS/harvest/reference?harvest_id=70953" xr:uid="{FA7C4A58-AFF7-4B12-9DAE-B301F47D8862}"/>
    <hyperlink ref="A550" r:id="rId547" display="https://www.nrg-farms.com/FarMS/harvest/reference?harvest_id=70952" xr:uid="{87EEA75E-98DC-46BD-8A97-8FB83E2B8487}"/>
    <hyperlink ref="A551" r:id="rId548" display="https://www.nrg-farms.com/FarMS/harvest/reference?harvest_id=70951" xr:uid="{09AEBEC2-8D45-4689-8DC5-48A82FF9F4D7}"/>
    <hyperlink ref="A552" r:id="rId549" display="https://www.nrg-farms.com/FarMS/harvest/reference?harvest_id=70950" xr:uid="{4391538D-AEE6-4F24-A985-5A85EA783157}"/>
    <hyperlink ref="A553" r:id="rId550" display="https://www.nrg-farms.com/FarMS/harvest/reference?harvest_id=70949" xr:uid="{D0B0182F-F3F7-46DA-BEDE-12B4E470683C}"/>
    <hyperlink ref="A554" r:id="rId551" display="https://www.nrg-farms.com/FarMS/harvest/reference?harvest_id=70948" xr:uid="{A6522CE7-92D0-4296-B0D9-75E2B3CD0421}"/>
    <hyperlink ref="A555" r:id="rId552" display="https://www.nrg-farms.com/FarMS/harvest/reference?harvest_id=71009" xr:uid="{539AD3B5-BFAE-4A80-9658-B8B9A059F789}"/>
    <hyperlink ref="A556" r:id="rId553" display="https://www.nrg-farms.com/FarMS/harvest/reference?harvest_id=71008" xr:uid="{D6DAA794-F8B1-4759-9246-CF974BBE8631}"/>
    <hyperlink ref="A557" r:id="rId554" display="https://www.nrg-farms.com/FarMS/harvest/reference?harvest_id=71007" xr:uid="{DC4C084B-201D-43F1-B342-2F3A36DE49BD}"/>
    <hyperlink ref="A558" r:id="rId555" display="https://www.nrg-farms.com/FarMS/harvest/reference?harvest_id=71006" xr:uid="{53EF949C-EC1F-49E4-AB36-767AC3D3F820}"/>
    <hyperlink ref="A559" r:id="rId556" display="https://www.nrg-farms.com/FarMS/harvest/reference?harvest_id=71005" xr:uid="{1862026F-6BA3-49F4-A9FA-F8E15D11BBAC}"/>
    <hyperlink ref="A560" r:id="rId557" display="https://www.nrg-farms.com/FarMS/harvest/reference?harvest_id=71004" xr:uid="{F7A468FA-5258-4FDC-804D-19CFEEB881A0}"/>
    <hyperlink ref="A561" r:id="rId558" display="https://www.nrg-farms.com/FarMS/harvest/reference?harvest_id=71003" xr:uid="{53A5040B-39EB-4B3C-9131-CCFBC7684F27}"/>
    <hyperlink ref="A562" r:id="rId559" display="https://www.nrg-farms.com/FarMS/harvest/reference?harvest_id=71002" xr:uid="{281BE0C6-A824-494E-B9F1-FDC1CA39567C}"/>
    <hyperlink ref="A563" r:id="rId560" display="https://www.nrg-farms.com/FarMS/harvest/reference?harvest_id=71001" xr:uid="{41167A17-B508-4BCF-BC53-AFF38E2B55E2}"/>
    <hyperlink ref="A564" r:id="rId561" display="https://www.nrg-farms.com/FarMS/harvest/reference?harvest_id=71000" xr:uid="{0C0FE766-9BC2-4589-8942-8CC2B8236B8C}"/>
    <hyperlink ref="A565" r:id="rId562" display="https://www.nrg-farms.com/FarMS/harvest/reference?harvest_id=70999" xr:uid="{01524DC7-C788-41D1-A54E-57EFBF85DD92}"/>
    <hyperlink ref="A566" r:id="rId563" display="https://www.nrg-farms.com/FarMS/harvest/reference?harvest_id=70998" xr:uid="{1A8C0F15-A267-45D9-9798-E3E6FF613B80}"/>
    <hyperlink ref="A567" r:id="rId564" display="https://www.nrg-farms.com/FarMS/harvest/reference?harvest_id=70997" xr:uid="{28462B2F-0A37-442F-97EF-D1BEC2D45D56}"/>
    <hyperlink ref="A568" r:id="rId565" display="https://www.nrg-farms.com/FarMS/harvest/reference?harvest_id=70996" xr:uid="{00CB0525-70C7-43DC-8841-988B68E5C497}"/>
    <hyperlink ref="A569" r:id="rId566" display="https://www.nrg-farms.com/FarMS/harvest/reference?harvest_id=70995" xr:uid="{B7FB75D4-885E-47AC-A5F2-467DA9B7A4EE}"/>
    <hyperlink ref="A570" r:id="rId567" display="https://www.nrg-farms.com/FarMS/harvest/reference?harvest_id=70994" xr:uid="{55CD5A56-AD73-4763-B627-C600BAD94695}"/>
    <hyperlink ref="A571" r:id="rId568" display="https://www.nrg-farms.com/FarMS/harvest/reference?harvest_id=70993" xr:uid="{843EC025-04E9-40BE-990D-C6115175A1C1}"/>
    <hyperlink ref="A572" r:id="rId569" display="https://www.nrg-farms.com/FarMS/harvest/reference?harvest_id=70992" xr:uid="{6D844D02-4BD2-480F-83CB-5FA89494B173}"/>
    <hyperlink ref="A573" r:id="rId570" display="https://www.nrg-farms.com/FarMS/harvest/reference?harvest_id=70991" xr:uid="{8D9E9BC4-A975-498B-B505-95ACC266EE69}"/>
    <hyperlink ref="A574" r:id="rId571" display="https://www.nrg-farms.com/FarMS/harvest/reference?harvest_id=70990" xr:uid="{06ECC9EE-E069-471E-AA75-2188CF7CAE55}"/>
    <hyperlink ref="A575" r:id="rId572" display="https://www.nrg-farms.com/FarMS/harvest/reference?harvest_id=70989" xr:uid="{FD2DC5C3-31D1-4001-823D-AF6CCE064367}"/>
    <hyperlink ref="A576" r:id="rId573" display="https://www.nrg-farms.com/FarMS/harvest/reference?harvest_id=70988" xr:uid="{41D54B36-3740-4F3E-A08E-5569369113A4}"/>
    <hyperlink ref="A577" r:id="rId574" display="https://www.nrg-farms.com/FarMS/harvest/reference?harvest_id=71597" xr:uid="{CB8EF55E-361B-462D-8ACD-1AF33BB50742}"/>
    <hyperlink ref="A578" r:id="rId575" display="https://www.nrg-farms.com/FarMS/harvest/reference?harvest_id=71596" xr:uid="{1AFD0E94-1BC5-40C7-B4BD-0221D18F1621}"/>
    <hyperlink ref="A579" r:id="rId576" display="https://www.nrg-farms.com/FarMS/harvest/reference?harvest_id=71595" xr:uid="{C4978C3C-7B6C-487F-B61C-3835E96C795B}"/>
    <hyperlink ref="A580" r:id="rId577" display="https://www.nrg-farms.com/FarMS/harvest/reference?harvest_id=71594" xr:uid="{D5FD7E26-D9E6-4AF9-8494-EBCD713F533A}"/>
    <hyperlink ref="A581" r:id="rId578" display="https://www.nrg-farms.com/FarMS/harvest/reference?harvest_id=71593" xr:uid="{E7AF9981-36E6-4F16-A2BD-2FE388C22DC0}"/>
    <hyperlink ref="A582" r:id="rId579" display="https://www.nrg-farms.com/FarMS/harvest/reference?harvest_id=71592" xr:uid="{83894E48-E5DD-43C1-BED6-3AD325141AF5}"/>
    <hyperlink ref="A583" r:id="rId580" display="https://www.nrg-farms.com/FarMS/harvest/reference?harvest_id=71591" xr:uid="{DF93D342-7F9B-4283-B5BD-491A265BF41D}"/>
    <hyperlink ref="A584" r:id="rId581" display="https://www.nrg-farms.com/FarMS/harvest/reference?harvest_id=71590" xr:uid="{FC0892E3-40CD-4C0A-9304-DC9C26A1621D}"/>
    <hyperlink ref="A585" r:id="rId582" display="https://www.nrg-farms.com/FarMS/harvest/reference?harvest_id=71589" xr:uid="{21948F49-DE5D-4375-BE8A-9DC69DF71F6E}"/>
    <hyperlink ref="A586" r:id="rId583" display="https://www.nrg-farms.com/FarMS/harvest/reference?harvest_id=71588" xr:uid="{804CB838-FB47-488A-B32F-BD0ED8E11E02}"/>
    <hyperlink ref="A587" r:id="rId584" display="https://www.nrg-farms.com/FarMS/harvest/reference?harvest_id=71587" xr:uid="{95658BA7-C975-4893-9342-EDC06061022B}"/>
    <hyperlink ref="A588" r:id="rId585" display="https://www.nrg-farms.com/FarMS/harvest/reference?harvest_id=71586" xr:uid="{CADB2A75-45E6-41F2-8D01-5DD1C6C93D61}"/>
    <hyperlink ref="A589" r:id="rId586" display="https://www.nrg-farms.com/FarMS/harvest/reference?harvest_id=71585" xr:uid="{64ADBDD6-5D32-4D1D-A6DB-F1E5E2465CE5}"/>
    <hyperlink ref="A590" r:id="rId587" display="https://www.nrg-farms.com/FarMS/harvest/reference?harvest_id=71584" xr:uid="{938BBEEA-6710-4418-BDB2-EDEB1A3CE071}"/>
    <hyperlink ref="A591" r:id="rId588" display="https://www.nrg-farms.com/FarMS/harvest/reference?harvest_id=71583" xr:uid="{08D3438A-6644-4AA8-9C96-5D7AB6ECA9D8}"/>
    <hyperlink ref="A592" r:id="rId589" display="https://www.nrg-farms.com/FarMS/harvest/reference?harvest_id=71582" xr:uid="{D67D8A7C-727A-4FD4-AD44-0379E0CA8608}"/>
    <hyperlink ref="A593" r:id="rId590" display="https://www.nrg-farms.com/FarMS/harvest/reference?harvest_id=71581" xr:uid="{0DE9B658-A2F9-4B40-9F5C-B1EF753E4B47}"/>
    <hyperlink ref="A594" r:id="rId591" display="https://www.nrg-farms.com/FarMS/harvest/reference?harvest_id=71580" xr:uid="{5D718554-4097-4435-957E-C7D750F64412}"/>
    <hyperlink ref="A595" r:id="rId592" display="https://www.nrg-farms.com/FarMS/harvest/reference?harvest_id=71579" xr:uid="{5B73CA48-5A22-486F-A0C5-215330A7B51C}"/>
    <hyperlink ref="A596" r:id="rId593" display="https://www.nrg-farms.com/FarMS/harvest/reference?harvest_id=71578" xr:uid="{43D41876-9682-4718-8154-973732C4401C}"/>
    <hyperlink ref="A597" r:id="rId594" display="https://www.nrg-farms.com/FarMS/harvest/reference?harvest_id=71577" xr:uid="{6944F235-5583-4A20-BB3E-A6BA61103E17}"/>
    <hyperlink ref="A598" r:id="rId595" display="https://www.nrg-farms.com/FarMS/harvest/reference?harvest_id=71576" xr:uid="{CFFDF713-01FA-439A-88BC-A49CF00D2CFC}"/>
    <hyperlink ref="A599" r:id="rId596" display="https://www.nrg-farms.com/FarMS/harvest/reference?harvest_id=71575" xr:uid="{24D537E9-838A-4996-8762-A4F7372BED61}"/>
    <hyperlink ref="A600" r:id="rId597" display="https://www.nrg-farms.com/FarMS/harvest/reference?harvest_id=71574" xr:uid="{D040BC85-5574-4637-9CDC-930614A75125}"/>
    <hyperlink ref="A601" r:id="rId598" display="https://www.nrg-farms.com/FarMS/harvest/reference?harvest_id=71573" xr:uid="{2E3D7F1D-6018-47DF-9773-6105B16E4714}"/>
    <hyperlink ref="A602" r:id="rId599" display="https://www.nrg-farms.com/FarMS/harvest/reference?harvest_id=71572" xr:uid="{304668D3-B3EF-43A6-AAF4-296D15DA163F}"/>
    <hyperlink ref="A603" r:id="rId600" display="https://www.nrg-farms.com/FarMS/harvest/reference?harvest_id=71571" xr:uid="{EA9E4A63-6C04-4CFC-87F1-770AA23B641B}"/>
    <hyperlink ref="A604" r:id="rId601" display="https://www.nrg-farms.com/FarMS/harvest/reference?harvest_id=71570" xr:uid="{EB94F35C-6845-4753-8EEC-28AF1F096680}"/>
    <hyperlink ref="A605" r:id="rId602" display="https://www.nrg-farms.com/FarMS/harvest/reference?harvest_id=71569" xr:uid="{0A184C14-7631-4581-BD92-BC4EFE3A544E}"/>
    <hyperlink ref="A606" r:id="rId603" display="https://www.nrg-farms.com/FarMS/harvest/reference?harvest_id=71568" xr:uid="{7FFBD845-1239-4FBA-B046-26C1A83546A5}"/>
    <hyperlink ref="A607" r:id="rId604" display="https://www.nrg-farms.com/FarMS/harvest/reference?harvest_id=71567" xr:uid="{EEBFF617-880F-4970-A4F7-E778BE6A5920}"/>
    <hyperlink ref="A608" r:id="rId605" display="https://www.nrg-farms.com/FarMS/harvest/reference?harvest_id=71566" xr:uid="{8A7A035C-5F2D-4C04-950A-91BF85269A94}"/>
    <hyperlink ref="A609" r:id="rId606" display="https://www.nrg-farms.com/FarMS/harvest/reference?harvest_id=71565" xr:uid="{558750B1-9A53-490E-835C-2F1A538E5200}"/>
    <hyperlink ref="A610" r:id="rId607" display="https://www.nrg-farms.com/FarMS/harvest/reference?harvest_id=71564" xr:uid="{066921D1-B666-4BD9-AC75-7CCF83E4ACB1}"/>
    <hyperlink ref="A611" r:id="rId608" display="https://www.nrg-farms.com/FarMS/harvest/reference?harvest_id=71563" xr:uid="{44671439-CFA5-4361-BEDB-AFB04F09F0CB}"/>
    <hyperlink ref="A612" r:id="rId609" display="https://www.nrg-farms.com/FarMS/harvest/reference?harvest_id=71562" xr:uid="{2E284E47-6929-4068-A09E-DB9439661572}"/>
    <hyperlink ref="A613" r:id="rId610" display="https://www.nrg-farms.com/FarMS/harvest/reference?harvest_id=71561" xr:uid="{D8AA2B2B-6786-4DB2-97CF-6F866BDC340D}"/>
    <hyperlink ref="A614" r:id="rId611" display="https://www.nrg-farms.com/FarMS/harvest/reference?harvest_id=73444" xr:uid="{9E3534D6-4133-4361-8549-D36CEE809436}"/>
    <hyperlink ref="A615" r:id="rId612" display="https://www.nrg-farms.com/FarMS/harvest/reference?harvest_id=73443" xr:uid="{D839A50D-1AA3-4856-820D-5571C98896BE}"/>
    <hyperlink ref="A616" r:id="rId613" display="https://www.nrg-farms.com/FarMS/harvest/reference?harvest_id=71560" xr:uid="{E99D41C1-4534-4D86-AEA1-ADC237C4A366}"/>
    <hyperlink ref="A617" r:id="rId614" display="https://www.nrg-farms.com/FarMS/harvest/reference?harvest_id=71559" xr:uid="{5761F2B6-80B9-40CB-81A9-55790CCF5D15}"/>
    <hyperlink ref="A618" r:id="rId615" display="https://www.nrg-farms.com/FarMS/harvest/reference?harvest_id=71558" xr:uid="{614012E8-0BBB-4E9E-B885-59295ADB5AFA}"/>
    <hyperlink ref="A619" r:id="rId616" display="https://www.nrg-farms.com/FarMS/harvest/reference?harvest_id=71557" xr:uid="{3215817D-1AE6-41A9-B087-F49AD1CD69FA}"/>
    <hyperlink ref="A620" r:id="rId617" display="https://www.nrg-farms.com/FarMS/harvest/reference?harvest_id=71556" xr:uid="{A33587B5-4E96-42E3-BC42-2915E5877135}"/>
    <hyperlink ref="A621" r:id="rId618" display="https://www.nrg-farms.com/FarMS/harvest/reference?harvest_id=71555" xr:uid="{A70976BE-A69B-4CF5-8BD0-5CDD15B00730}"/>
    <hyperlink ref="A622" r:id="rId619" display="https://www.nrg-farms.com/FarMS/harvest/reference?harvest_id=71554" xr:uid="{7EC1F5D4-6CB9-4E7A-96FB-95BE7086448D}"/>
    <hyperlink ref="A623" r:id="rId620" display="https://www.nrg-farms.com/FarMS/harvest/reference?harvest_id=71553" xr:uid="{141AA384-ADFD-4412-8545-0A3E3C070EE8}"/>
    <hyperlink ref="A624" r:id="rId621" display="https://www.nrg-farms.com/FarMS/harvest/reference?harvest_id=71552" xr:uid="{8419063F-12DB-4CE4-B197-256FA24ACB9A}"/>
    <hyperlink ref="A625" r:id="rId622" display="https://www.nrg-farms.com/FarMS/harvest/reference?harvest_id=71551" xr:uid="{B0E35DC1-2CCD-4508-9EFE-9EB4238336F6}"/>
    <hyperlink ref="A626" r:id="rId623" display="https://www.nrg-farms.com/FarMS/harvest/reference?harvest_id=71550" xr:uid="{579EAD0E-4C34-4AA2-BA87-85FCFBB0689F}"/>
    <hyperlink ref="A627" r:id="rId624" display="https://www.nrg-farms.com/FarMS/harvest/reference?harvest_id=71549" xr:uid="{B7608F67-5505-419F-BD7F-3E4BBDAE16E9}"/>
    <hyperlink ref="A628" r:id="rId625" display="https://www.nrg-farms.com/FarMS/harvest/reference?harvest_id=71548" xr:uid="{42428537-42E8-460A-8090-4994713BE5CE}"/>
    <hyperlink ref="A629" r:id="rId626" display="https://www.nrg-farms.com/FarMS/harvest/reference?harvest_id=71547" xr:uid="{4A051EBC-F299-412C-836C-768290C69905}"/>
    <hyperlink ref="A630" r:id="rId627" display="https://www.nrg-farms.com/FarMS/harvest/reference?harvest_id=71546" xr:uid="{6440E43E-2465-426B-90A0-A5FBFD8CB0D6}"/>
    <hyperlink ref="A631" r:id="rId628" display="https://www.nrg-farms.com/FarMS/harvest/reference?harvest_id=71545" xr:uid="{007CCA00-BE01-4AC4-B6F6-DA7E088B1D93}"/>
    <hyperlink ref="A632" r:id="rId629" display="https://www.nrg-farms.com/FarMS/harvest/reference?harvest_id=71544" xr:uid="{F45988EB-9F65-4B14-B42E-414CF0D755FC}"/>
    <hyperlink ref="A633" r:id="rId630" display="https://www.nrg-farms.com/FarMS/harvest/reference?harvest_id=71543" xr:uid="{0D79DA84-51AE-404D-8B50-A90E82621071}"/>
    <hyperlink ref="A634" r:id="rId631" display="https://www.nrg-farms.com/FarMS/harvest/reference?harvest_id=71542" xr:uid="{EAEB51AD-ADF4-47EF-980A-72CD2049FA79}"/>
    <hyperlink ref="A635" r:id="rId632" display="https://www.nrg-farms.com/FarMS/harvest/reference?harvest_id=71541" xr:uid="{8651D2C1-3CAB-405E-9D64-57F418CC8505}"/>
    <hyperlink ref="A636" r:id="rId633" display="https://www.nrg-farms.com/FarMS/harvest/reference?harvest_id=71540" xr:uid="{0297108C-A56C-4EB1-8F8E-FA2D6DA170C8}"/>
    <hyperlink ref="A637" r:id="rId634" display="https://www.nrg-farms.com/FarMS/harvest/reference?harvest_id=71539" xr:uid="{6F926381-F75B-4A43-BA5D-C101B74EFFCA}"/>
    <hyperlink ref="A638" r:id="rId635" display="https://www.nrg-farms.com/FarMS/harvest/reference?harvest_id=71538" xr:uid="{0A588188-E13B-4EC0-9A9D-11C5D07F1265}"/>
    <hyperlink ref="A639" r:id="rId636" display="https://www.nrg-farms.com/FarMS/harvest/reference?harvest_id=71537" xr:uid="{5C9E7A20-2562-4838-9645-9CE0081D23ED}"/>
    <hyperlink ref="A640" r:id="rId637" display="https://www.nrg-farms.com/FarMS/harvest/reference?harvest_id=71536" xr:uid="{EA7D69C7-4662-48ED-8CDC-08540020A3D1}"/>
    <hyperlink ref="A641" r:id="rId638" display="https://www.nrg-farms.com/FarMS/harvest/reference?harvest_id=71535" xr:uid="{48635241-3F55-4AD2-8959-D613D8E49E7F}"/>
    <hyperlink ref="A642" r:id="rId639" display="https://www.nrg-farms.com/FarMS/harvest/reference?harvest_id=71534" xr:uid="{F2D6BD30-2B37-4743-8705-7C5CA66773E7}"/>
    <hyperlink ref="A643" r:id="rId640" display="https://www.nrg-farms.com/FarMS/harvest/reference?harvest_id=71533" xr:uid="{E71F860D-28A8-44C0-B39C-A1E6D88B1ACA}"/>
    <hyperlink ref="A644" r:id="rId641" display="https://www.nrg-farms.com/FarMS/harvest/reference?harvest_id=71532" xr:uid="{6A8AF484-4B99-48B9-B18E-8522E80B681A}"/>
    <hyperlink ref="A645" r:id="rId642" display="https://www.nrg-farms.com/FarMS/harvest/reference?harvest_id=71531" xr:uid="{D55AAB92-9E23-408E-930A-5845140939F6}"/>
    <hyperlink ref="A646" r:id="rId643" display="https://www.nrg-farms.com/FarMS/harvest/reference?harvest_id=71530" xr:uid="{8833567E-15C2-42EE-A693-C9E09DFFB211}"/>
    <hyperlink ref="A647" r:id="rId644" display="https://www.nrg-farms.com/FarMS/harvest/reference?harvest_id=71529" xr:uid="{B046A596-824A-4AF0-B5F1-B298F4FC3833}"/>
    <hyperlink ref="A648" r:id="rId645" display="https://www.nrg-farms.com/FarMS/harvest/reference?harvest_id=71528" xr:uid="{57DE8134-DEE2-41EB-B9E5-090DC0DBB0CD}"/>
    <hyperlink ref="A649" r:id="rId646" display="https://www.nrg-farms.com/FarMS/harvest/reference?harvest_id=71527" xr:uid="{0A987A04-C7D4-4BFF-9F2F-D4DAB30B1A3F}"/>
    <hyperlink ref="A650" r:id="rId647" display="https://www.nrg-farms.com/FarMS/harvest/reference?harvest_id=71526" xr:uid="{BA6CA203-3CB1-4D37-9006-B5CEC1331AC5}"/>
    <hyperlink ref="A651" r:id="rId648" display="https://www.nrg-farms.com/FarMS/harvest/reference?harvest_id=71525" xr:uid="{CD8D77CA-F01A-4C6F-BFC0-E2483EF606E9}"/>
    <hyperlink ref="A652" r:id="rId649" display="https://www.nrg-farms.com/FarMS/harvest/reference?harvest_id=71524" xr:uid="{4441C6C4-20DA-48A0-8206-7C13F19DB36A}"/>
    <hyperlink ref="A653" r:id="rId650" display="https://www.nrg-farms.com/FarMS/harvest/reference?harvest_id=71523" xr:uid="{552E5268-79F2-4AFF-9DD7-5F2737B1E2CD}"/>
    <hyperlink ref="A654" r:id="rId651" display="https://www.nrg-farms.com/FarMS/harvest/reference?harvest_id=71522" xr:uid="{F7D95B5E-118B-4712-BB03-BC8289F6C3BF}"/>
    <hyperlink ref="A655" r:id="rId652" display="https://www.nrg-farms.com/FarMS/harvest/reference?harvest_id=71521" xr:uid="{B716E83D-37C7-4EE0-A35E-353CF8326BA1}"/>
    <hyperlink ref="A656" r:id="rId653" display="https://www.nrg-farms.com/FarMS/harvest/reference?harvest_id=71520" xr:uid="{20469500-4B41-4A89-9B21-792CBADEA44B}"/>
    <hyperlink ref="A657" r:id="rId654" display="https://www.nrg-farms.com/FarMS/harvest/reference?harvest_id=71519" xr:uid="{BA32CC9D-2DC5-46B7-9A79-B04E8D5F8B78}"/>
    <hyperlink ref="A658" r:id="rId655" display="https://www.nrg-farms.com/FarMS/harvest/reference?harvest_id=71518" xr:uid="{C0105695-0E9B-4909-A8B8-8F547DD89592}"/>
    <hyperlink ref="A659" r:id="rId656" display="https://www.nrg-farms.com/FarMS/harvest/reference?harvest_id=71517" xr:uid="{5389B2D9-7995-4AF2-92F0-5BAF03DB836F}"/>
    <hyperlink ref="A660" r:id="rId657" display="https://www.nrg-farms.com/FarMS/harvest/reference?harvest_id=71516" xr:uid="{939E6A40-37B7-40AB-A1D1-A870CD546526}"/>
    <hyperlink ref="A661" r:id="rId658" display="https://www.nrg-farms.com/FarMS/harvest/reference?harvest_id=71515" xr:uid="{A228BD03-FA24-4130-8B4F-DBF5BC46D026}"/>
    <hyperlink ref="A662" r:id="rId659" display="https://www.nrg-farms.com/FarMS/harvest/reference?harvest_id=71514" xr:uid="{B403B082-2533-4F8E-B2F1-6758EC414416}"/>
    <hyperlink ref="A663" r:id="rId660" display="https://www.nrg-farms.com/FarMS/harvest/reference?harvest_id=71513" xr:uid="{6F4A0116-6C9A-46B0-BA8A-34D84C455BE5}"/>
    <hyperlink ref="A664" r:id="rId661" display="https://www.nrg-farms.com/FarMS/harvest/reference?harvest_id=71512" xr:uid="{A330DA34-8649-4C08-AD83-DFBCA0E0C4A7}"/>
    <hyperlink ref="A665" r:id="rId662" display="https://www.nrg-farms.com/FarMS/harvest/reference?harvest_id=71511" xr:uid="{83E178F5-D790-4914-8B42-10B76A73DD7C}"/>
    <hyperlink ref="A666" r:id="rId663" display="https://www.nrg-farms.com/FarMS/harvest/reference?harvest_id=71510" xr:uid="{4AF9946F-87F1-46BB-9D6D-BEFE129C6C9A}"/>
    <hyperlink ref="A667" r:id="rId664" display="https://www.nrg-farms.com/FarMS/harvest/reference?harvest_id=71509" xr:uid="{E162C793-CD9C-4FE4-AAEE-2719140F9761}"/>
    <hyperlink ref="A668" r:id="rId665" display="https://www.nrg-farms.com/FarMS/harvest/reference?harvest_id=71508" xr:uid="{B2295BA6-E8BE-4D9C-9CE1-66315F71DEE6}"/>
    <hyperlink ref="A669" r:id="rId666" display="https://www.nrg-farms.com/FarMS/harvest/reference?harvest_id=71507" xr:uid="{C433C5E6-26BA-41FF-B561-B96807921635}"/>
    <hyperlink ref="A670" r:id="rId667" display="https://www.nrg-farms.com/FarMS/harvest/reference?harvest_id=71506" xr:uid="{B117F7B7-89C5-464F-BD4B-92C977F358D8}"/>
    <hyperlink ref="A671" r:id="rId668" display="https://www.nrg-farms.com/FarMS/harvest/reference?harvest_id=71505" xr:uid="{700A9135-FC0E-41A3-B028-69572921A168}"/>
    <hyperlink ref="A672" r:id="rId669" display="https://www.nrg-farms.com/FarMS/harvest/reference?harvest_id=71504" xr:uid="{75E8F759-29D6-48AE-B79A-4C2761C3B62D}"/>
    <hyperlink ref="A673" r:id="rId670" display="https://www.nrg-farms.com/FarMS/harvest/reference?harvest_id=71503" xr:uid="{2D71710E-1597-4F00-8107-D6537CBD75FB}"/>
    <hyperlink ref="A674" r:id="rId671" display="https://www.nrg-farms.com/FarMS/harvest/reference?harvest_id=71499" xr:uid="{102A48B5-06CC-4D0A-8E05-D72E68051D0F}"/>
    <hyperlink ref="A675" r:id="rId672" display="https://www.nrg-farms.com/FarMS/harvest/reference?harvest_id=71498" xr:uid="{F8B32A81-039C-4E4F-BABA-8CE4815EFE3B}"/>
    <hyperlink ref="A676" r:id="rId673" display="https://www.nrg-farms.com/FarMS/harvest/reference?harvest_id=71497" xr:uid="{2B570240-28B4-4825-BCF5-E3FB6757D8DB}"/>
    <hyperlink ref="A677" r:id="rId674" display="https://www.nrg-farms.com/FarMS/harvest/reference?harvest_id=71496" xr:uid="{078DD72D-E7FD-485E-817D-FA4405B31985}"/>
    <hyperlink ref="A678" r:id="rId675" display="https://www.nrg-farms.com/FarMS/harvest/reference?harvest_id=71495" xr:uid="{815D0CF9-699D-4DFE-8089-AFA257D5C2A6}"/>
    <hyperlink ref="A679" r:id="rId676" display="https://www.nrg-farms.com/FarMS/harvest/reference?harvest_id=71241" xr:uid="{E550F310-FF92-4B17-A693-DD5C56D6E8C3}"/>
    <hyperlink ref="A680" r:id="rId677" display="https://www.nrg-farms.com/FarMS/harvest/reference?harvest_id=71240" xr:uid="{E65CD39D-C479-4D27-B53C-2B1B3B5A693E}"/>
    <hyperlink ref="A681" r:id="rId678" display="https://www.nrg-farms.com/FarMS/harvest/reference?harvest_id=71239" xr:uid="{E19C061D-DEA3-45B5-AB34-AC494A4A2944}"/>
    <hyperlink ref="A682" r:id="rId679" display="https://www.nrg-farms.com/FarMS/harvest/reference?harvest_id=71238" xr:uid="{9A5FCD5F-5F65-4524-9ED8-BE9783CFFF50}"/>
    <hyperlink ref="A683" r:id="rId680" display="https://www.nrg-farms.com/FarMS/harvest/reference?harvest_id=71237" xr:uid="{84E0F2D0-7623-4685-98CA-7ED5538E94C2}"/>
    <hyperlink ref="A684" r:id="rId681" display="https://www.nrg-farms.com/FarMS/harvest/reference?harvest_id=71236" xr:uid="{933B6FC4-704E-406D-A592-CBEF3551ED45}"/>
    <hyperlink ref="A685" r:id="rId682" display="https://www.nrg-farms.com/FarMS/harvest/reference?harvest_id=71235" xr:uid="{3DEEAA62-8EBB-4CAB-BDB6-8C1D78F44666}"/>
    <hyperlink ref="A686" r:id="rId683" display="https://www.nrg-farms.com/FarMS/harvest/reference?harvest_id=71234" xr:uid="{BAAE7A07-FCC1-4DEB-84C2-CBA4390B978A}"/>
    <hyperlink ref="A687" r:id="rId684" display="https://www.nrg-farms.com/FarMS/harvest/reference?harvest_id=71233" xr:uid="{674CC4DD-EA4B-4737-BEAC-1A850D898FB5}"/>
    <hyperlink ref="A688" r:id="rId685" display="https://www.nrg-farms.com/FarMS/harvest/reference?harvest_id=71232" xr:uid="{544668CF-DB9F-4B27-B79C-BE64892A04D3}"/>
    <hyperlink ref="A689" r:id="rId686" display="https://www.nrg-farms.com/FarMS/harvest/reference?harvest_id=71231" xr:uid="{4BFE91F0-C8DF-43C6-ABDC-5A5F7DF699FF}"/>
    <hyperlink ref="A690" r:id="rId687" display="https://www.nrg-farms.com/FarMS/harvest/reference?harvest_id=71230" xr:uid="{14AE021D-3EA0-41E9-B9CE-907D4F42B9CE}"/>
    <hyperlink ref="A691" r:id="rId688" display="https://www.nrg-farms.com/FarMS/harvest/reference?harvest_id=71229" xr:uid="{5D4B9FF8-920B-4803-8334-5062DC2208F0}"/>
    <hyperlink ref="A692" r:id="rId689" display="https://www.nrg-farms.com/FarMS/harvest/reference?harvest_id=71228" xr:uid="{B116AF30-2360-4E3B-B79B-F4F63DD721C7}"/>
    <hyperlink ref="A693" r:id="rId690" display="https://www.nrg-farms.com/FarMS/harvest/reference?harvest_id=71227" xr:uid="{FAEEB4AB-6B6C-4316-80E6-EFDBF1C4F2D8}"/>
    <hyperlink ref="A694" r:id="rId691" display="https://www.nrg-farms.com/FarMS/harvest/reference?harvest_id=71226" xr:uid="{5CC8E59E-159D-488C-95F1-6ED3CB646BEF}"/>
    <hyperlink ref="A695" r:id="rId692" display="https://www.nrg-farms.com/FarMS/harvest/reference?harvest_id=71225" xr:uid="{8A6739AE-6B6E-4D5F-86A8-B49B8651F324}"/>
    <hyperlink ref="A696" r:id="rId693" display="https://www.nrg-farms.com/FarMS/harvest/reference?harvest_id=71224" xr:uid="{ACA16A02-A43F-4B24-9AE1-9A030BC07502}"/>
    <hyperlink ref="A697" r:id="rId694" display="https://www.nrg-farms.com/FarMS/harvest/reference?harvest_id=71223" xr:uid="{2FC5D31B-C305-4B05-8F46-98890DBFDB86}"/>
    <hyperlink ref="A698" r:id="rId695" display="https://www.nrg-farms.com/FarMS/harvest/reference?harvest_id=71222" xr:uid="{557C3BDB-8421-4AB9-9D54-BAC6B151CDDB}"/>
    <hyperlink ref="A699" r:id="rId696" display="https://www.nrg-farms.com/FarMS/harvest/reference?harvest_id=71221" xr:uid="{6B54C809-FFFF-4DEC-9A5D-D743EF624F8B}"/>
    <hyperlink ref="A700" r:id="rId697" display="https://www.nrg-farms.com/FarMS/harvest/reference?harvest_id=71220" xr:uid="{43C92883-8F12-46A6-A965-710BB5714348}"/>
    <hyperlink ref="A701" r:id="rId698" display="https://www.nrg-farms.com/FarMS/harvest/reference?harvest_id=71045" xr:uid="{4F4CAAF6-ABC7-43C9-AFD7-381A057004EF}"/>
    <hyperlink ref="A702" r:id="rId699" display="https://www.nrg-farms.com/FarMS/harvest/reference?harvest_id=71044" xr:uid="{3722F8A3-A73F-40B0-9731-86A7013DD88E}"/>
    <hyperlink ref="A703" r:id="rId700" display="https://www.nrg-farms.com/FarMS/harvest/reference?harvest_id=71043" xr:uid="{CB5A24D7-C58F-4734-BA69-C4B2B8574CFD}"/>
    <hyperlink ref="A704" r:id="rId701" display="https://www.nrg-farms.com/FarMS/harvest/reference?harvest_id=71042" xr:uid="{64B0502E-9D1A-4B5F-9AA8-131A6488F5EF}"/>
    <hyperlink ref="A705" r:id="rId702" display="https://www.nrg-farms.com/FarMS/harvest/reference?harvest_id=71041" xr:uid="{6D9B8657-24B2-4B8C-BF9C-E67436CCC6D9}"/>
    <hyperlink ref="A706" r:id="rId703" display="https://www.nrg-farms.com/FarMS/harvest/reference?harvest_id=71040" xr:uid="{4EB6F5EB-8F4B-40B7-912F-56EBB12D7A9B}"/>
    <hyperlink ref="A707" r:id="rId704" display="https://www.nrg-farms.com/FarMS/harvest/reference?harvest_id=71039" xr:uid="{74D2F174-EE65-4121-8310-A0593477E442}"/>
    <hyperlink ref="A708" r:id="rId705" display="https://www.nrg-farms.com/FarMS/harvest/reference?harvest_id=71038" xr:uid="{1EBCBEB8-DA1B-4DE2-9675-FE6FB45D97DF}"/>
    <hyperlink ref="A709" r:id="rId706" display="https://www.nrg-farms.com/FarMS/harvest/reference?harvest_id=71037" xr:uid="{E69DC5E6-6F75-40D2-A013-9F19880903A8}"/>
    <hyperlink ref="A710" r:id="rId707" display="https://www.nrg-farms.com/FarMS/harvest/reference?harvest_id=71036" xr:uid="{24ACF64B-8450-48F4-AD14-3C7893FF15E2}"/>
    <hyperlink ref="A711" r:id="rId708" display="https://www.nrg-farms.com/FarMS/harvest/reference?harvest_id=71035" xr:uid="{56B8012D-9623-4F0E-BF23-D96DACE978C0}"/>
    <hyperlink ref="A712" r:id="rId709" display="https://www.nrg-farms.com/FarMS/harvest/reference?harvest_id=71034" xr:uid="{EE507ED1-1B98-4043-8DEA-B94301F6B030}"/>
    <hyperlink ref="A713" r:id="rId710" display="https://www.nrg-farms.com/FarMS/harvest/reference?harvest_id=71033" xr:uid="{9826F1E8-40A2-47DF-85F7-EEEF8FB9B882}"/>
    <hyperlink ref="A714" r:id="rId711" display="https://www.nrg-farms.com/FarMS/harvest/reference?harvest_id=71032" xr:uid="{ED8D83DD-EB13-4E5B-A3E0-C15D63331223}"/>
    <hyperlink ref="A715" r:id="rId712" display="https://www.nrg-farms.com/FarMS/harvest/reference?harvest_id=71031" xr:uid="{1E7A2B68-D9CE-4128-9782-CCEB557D9525}"/>
    <hyperlink ref="A716" r:id="rId713" display="https://www.nrg-farms.com/FarMS/harvest/reference?harvest_id=71030" xr:uid="{FEE68B57-377C-4A07-AF63-D4F4CF6837B4}"/>
    <hyperlink ref="A717" r:id="rId714" display="https://www.nrg-farms.com/FarMS/harvest/reference?harvest_id=71029" xr:uid="{0BB79EAD-CD87-4D3B-BFFE-4196F75559FC}"/>
    <hyperlink ref="A718" r:id="rId715" display="https://www.nrg-farms.com/FarMS/harvest/reference?harvest_id=71028" xr:uid="{61C1D956-D5C2-4C75-B751-116577A4EFE0}"/>
    <hyperlink ref="A719" r:id="rId716" display="https://www.nrg-farms.com/FarMS/harvest/reference?harvest_id=71027" xr:uid="{CE8EBEF2-9C85-4591-9FB7-AA1B75C4E599}"/>
    <hyperlink ref="A720" r:id="rId717" display="https://www.nrg-farms.com/FarMS/harvest/reference?harvest_id=71026" xr:uid="{8F36A3FF-C0CA-43BC-8385-E3375D585BF4}"/>
    <hyperlink ref="A721" r:id="rId718" display="https://www.nrg-farms.com/FarMS/harvest/reference?harvest_id=71025" xr:uid="{A4B67922-75D9-4B7F-A8A2-159209D5B33F}"/>
    <hyperlink ref="A722" r:id="rId719" display="https://www.nrg-farms.com/FarMS/harvest/reference?harvest_id=71024" xr:uid="{07A32D6D-A6AB-4B56-8ACF-3DEFFC8899E7}"/>
    <hyperlink ref="A723" r:id="rId720" display="https://www.nrg-farms.com/FarMS/harvest/reference?harvest_id=71023" xr:uid="{747C3A9B-9EEE-4A11-9A8F-714A0FA7BD37}"/>
    <hyperlink ref="A724" r:id="rId721" display="https://www.nrg-farms.com/FarMS/harvest/reference?harvest_id=71022" xr:uid="{E1F0CF85-7D57-412C-905C-00FC32B3F3D3}"/>
    <hyperlink ref="A725" r:id="rId722" display="https://www.nrg-farms.com/FarMS/harvest/reference?harvest_id=71021" xr:uid="{7F490E7E-42BE-4B74-A670-75C9AA900AEB}"/>
    <hyperlink ref="A726" r:id="rId723" display="https://www.nrg-farms.com/FarMS/harvest/reference?harvest_id=71020" xr:uid="{6AB81805-0930-4E61-8BA5-F2D787D06E60}"/>
    <hyperlink ref="A727" r:id="rId724" display="https://www.nrg-farms.com/FarMS/harvest/reference?harvest_id=71019" xr:uid="{678B0801-BFA4-4519-8DE9-6D2C920C5234}"/>
    <hyperlink ref="A728" r:id="rId725" display="https://www.nrg-farms.com/FarMS/harvest/reference?harvest_id=71018" xr:uid="{C01DEF20-AC50-4961-B4F6-0AECF255C509}"/>
    <hyperlink ref="A729" r:id="rId726" display="https://www.nrg-farms.com/FarMS/harvest/reference?harvest_id=71017" xr:uid="{0A0C0F03-3BA0-4C4A-A4BE-6F8F958FADAC}"/>
    <hyperlink ref="A730" r:id="rId727" display="https://www.nrg-farms.com/FarMS/harvest/reference?harvest_id=71016" xr:uid="{5F468001-EB6F-476C-8321-4E4E0739EB79}"/>
    <hyperlink ref="A731" r:id="rId728" display="https://www.nrg-farms.com/FarMS/harvest/reference?harvest_id=71015" xr:uid="{AB916D31-6ECB-4259-80AB-981C1E189016}"/>
    <hyperlink ref="A732" r:id="rId729" display="https://www.nrg-farms.com/FarMS/harvest/reference?harvest_id=71014" xr:uid="{2F15F232-56CF-4F3E-91C1-BDD0A909A27A}"/>
    <hyperlink ref="A733" r:id="rId730" display="https://www.nrg-farms.com/FarMS/harvest/reference?harvest_id=71013" xr:uid="{F6DC56B2-EEBB-4D4C-BDC6-8BFF4FD234F7}"/>
    <hyperlink ref="A734" r:id="rId731" display="https://www.nrg-farms.com/FarMS/harvest/reference?harvest_id=71012" xr:uid="{3818F142-8AF5-4652-8AC2-DAD2F722DF5E}"/>
    <hyperlink ref="A735" r:id="rId732" display="https://www.nrg-farms.com/FarMS/harvest/reference?harvest_id=71011" xr:uid="{EEAB9494-0ECF-49C0-AD8C-3C1C134017D2}"/>
    <hyperlink ref="A736" r:id="rId733" display="https://www.nrg-farms.com/FarMS/harvest/reference?harvest_id=71010" xr:uid="{100709C1-4CA9-4EAC-BEE6-C6DF83B9D50A}"/>
    <hyperlink ref="A737" r:id="rId734" display="https://www.nrg-farms.com/FarMS/harvest/reference?harvest_id=70858" xr:uid="{D63389CB-A317-4B5B-AE83-910EB9C2DAA3}"/>
    <hyperlink ref="A738" r:id="rId735" display="https://www.nrg-farms.com/FarMS/harvest/reference?harvest_id=70857" xr:uid="{A2991A9F-847F-4571-9F4A-42737C932676}"/>
    <hyperlink ref="A739" r:id="rId736" display="https://www.nrg-farms.com/FarMS/harvest/reference?harvest_id=70856" xr:uid="{C1A7D499-411E-4550-9F7D-1425B3905C1B}"/>
    <hyperlink ref="A740" r:id="rId737" display="https://www.nrg-farms.com/FarMS/harvest/reference?harvest_id=70855" xr:uid="{DA35A6A1-B402-499F-B123-D5F000394B7A}"/>
    <hyperlink ref="A741" r:id="rId738" display="https://www.nrg-farms.com/FarMS/harvest/reference?harvest_id=70854" xr:uid="{A54A7079-4A3C-4B80-A0FC-10716BEBC1E7}"/>
    <hyperlink ref="A742" r:id="rId739" display="https://www.nrg-farms.com/FarMS/harvest/reference?harvest_id=70853" xr:uid="{7FCCF006-227F-4C67-9A8B-C96EB473F155}"/>
    <hyperlink ref="A743" r:id="rId740" display="https://www.nrg-farms.com/FarMS/harvest/reference?harvest_id=70852" xr:uid="{400B670B-9E15-4C0C-B2EB-C71C5BEE768C}"/>
    <hyperlink ref="A744" r:id="rId741" display="https://www.nrg-farms.com/FarMS/harvest/reference?harvest_id=70851" xr:uid="{6239AB99-C991-437A-975C-24B2F6CACD9A}"/>
    <hyperlink ref="A745" r:id="rId742" display="https://www.nrg-farms.com/FarMS/harvest/reference?harvest_id=70850" xr:uid="{2286FFC3-5B76-4076-AC5A-35D16834F00A}"/>
    <hyperlink ref="A746" r:id="rId743" display="https://www.nrg-farms.com/FarMS/harvest/reference?harvest_id=70849" xr:uid="{EA6A80B4-9CE4-4BF1-929A-11B2224F9DC6}"/>
    <hyperlink ref="A747" r:id="rId744" display="https://www.nrg-farms.com/FarMS/harvest/reference?harvest_id=70848" xr:uid="{FDB1BA5A-C325-48A7-B2C5-A5248B664E88}"/>
    <hyperlink ref="A748" r:id="rId745" display="https://www.nrg-farms.com/FarMS/harvest/reference?harvest_id=70847" xr:uid="{B01793CA-446F-4D52-88A0-E75F7012AE66}"/>
    <hyperlink ref="A749" r:id="rId746" display="https://www.nrg-farms.com/FarMS/harvest/reference?harvest_id=70846" xr:uid="{2A267C89-9056-4597-8C15-FFAC9DC41A39}"/>
    <hyperlink ref="A750" r:id="rId747" display="https://www.nrg-farms.com/FarMS/harvest/reference?harvest_id=70845" xr:uid="{5BBAD2C6-9AED-4B12-8284-B1D2BC4DC33E}"/>
    <hyperlink ref="A751" r:id="rId748" display="https://www.nrg-farms.com/FarMS/harvest/reference?harvest_id=70844" xr:uid="{5F69764B-E34A-4232-9677-CD96B094F267}"/>
    <hyperlink ref="A752" r:id="rId749" display="https://www.nrg-farms.com/FarMS/harvest/reference?harvest_id=70843" xr:uid="{9FFF01D2-F72A-4472-B75D-D10C03E6F362}"/>
    <hyperlink ref="A753" r:id="rId750" display="https://www.nrg-farms.com/FarMS/harvest/reference?harvest_id=70842" xr:uid="{2E8E6A9E-53F6-4901-AA28-885DDFE7819F}"/>
    <hyperlink ref="A754" r:id="rId751" display="https://www.nrg-farms.com/FarMS/harvest/reference?harvest_id=70841" xr:uid="{806DEA18-34A3-427A-8BDC-8BC883484168}"/>
    <hyperlink ref="A755" r:id="rId752" display="https://www.nrg-farms.com/FarMS/harvest/reference?harvest_id=70840" xr:uid="{24765D2E-2CD1-4CA1-9439-B058E7227F4A}"/>
    <hyperlink ref="A756" r:id="rId753" display="https://www.nrg-farms.com/FarMS/harvest/reference?harvest_id=70839" xr:uid="{627672EC-1EDF-4CEC-949B-568812827454}"/>
    <hyperlink ref="A757" r:id="rId754" display="https://www.nrg-farms.com/FarMS/harvest/reference?harvest_id=70838" xr:uid="{7AABB029-6B5E-4186-B972-91CB33B343AD}"/>
    <hyperlink ref="A758" r:id="rId755" display="https://www.nrg-farms.com/FarMS/harvest/reference?harvest_id=70837" xr:uid="{95EA2376-4B88-40C2-A500-3D8D53869D9F}"/>
    <hyperlink ref="A759" r:id="rId756" display="https://www.nrg-farms.com/FarMS/harvest/reference?harvest_id=70836" xr:uid="{F1683F0A-CDB8-4308-98E3-6D33BE7174FA}"/>
    <hyperlink ref="A760" r:id="rId757" display="https://www.nrg-farms.com/FarMS/harvest/reference?harvest_id=70835" xr:uid="{11A2D98C-184A-48CD-AD79-D1095579D1D0}"/>
    <hyperlink ref="A761" r:id="rId758" display="https://www.nrg-farms.com/FarMS/harvest/reference?harvest_id=70834" xr:uid="{09CC26C5-CEB8-4431-B0C1-1F8E405C03D6}"/>
    <hyperlink ref="A762" r:id="rId759" display="https://www.nrg-farms.com/FarMS/harvest/reference?harvest_id=70833" xr:uid="{034FD275-05A8-4254-8F10-F28828153D9E}"/>
    <hyperlink ref="A763" r:id="rId760" display="https://www.nrg-farms.com/FarMS/harvest/reference?harvest_id=70832" xr:uid="{EC640864-DB29-4DC5-BCC9-CEDB24213EC4}"/>
    <hyperlink ref="A764" r:id="rId761" display="https://www.nrg-farms.com/FarMS/harvest/reference?harvest_id=70831" xr:uid="{E0CEF062-7C99-4A7C-93F4-E78610E3A9F8}"/>
    <hyperlink ref="A765" r:id="rId762" display="https://www.nrg-farms.com/FarMS/harvest/reference?harvest_id=70830" xr:uid="{45B5CEC9-4562-4D3A-A8AC-7784ABD3A381}"/>
    <hyperlink ref="A766" r:id="rId763" display="https://www.nrg-farms.com/FarMS/harvest/reference?harvest_id=70829" xr:uid="{DFC1C9F1-415C-4B61-89E3-A69331970BDD}"/>
    <hyperlink ref="A767" r:id="rId764" display="https://www.nrg-farms.com/FarMS/harvest/reference?harvest_id=70828" xr:uid="{443EF912-68CF-4CDE-B0FD-F5CF7D8F39D9}"/>
    <hyperlink ref="A768" r:id="rId765" display="https://www.nrg-farms.com/FarMS/harvest/reference?harvest_id=70827" xr:uid="{11D4231C-31AF-4FB1-A3F1-7407E7C455C2}"/>
    <hyperlink ref="A769" r:id="rId766" display="https://www.nrg-farms.com/FarMS/harvest/reference?harvest_id=70826" xr:uid="{93BE832E-AC28-46AB-A95C-51E5D0768E66}"/>
    <hyperlink ref="A770" r:id="rId767" display="https://www.nrg-farms.com/FarMS/harvest/reference?harvest_id=70825" xr:uid="{DC67189C-45D2-4F64-9505-F08F3D70582D}"/>
    <hyperlink ref="A771" r:id="rId768" display="https://www.nrg-farms.com/FarMS/harvest/reference?harvest_id=70824" xr:uid="{2A374CEF-4C42-4D13-BC9B-97B8D6AB309E}"/>
    <hyperlink ref="A772" r:id="rId769" display="https://www.nrg-farms.com/FarMS/harvest/reference?harvest_id=70823" xr:uid="{DD75FFCC-DCA8-4841-95FC-39EFAD307B8F}"/>
    <hyperlink ref="A773" r:id="rId770" display="https://www.nrg-farms.com/FarMS/harvest/reference?harvest_id=70822" xr:uid="{5C8C85CC-B988-414A-8971-5E4919671DFB}"/>
    <hyperlink ref="A774" r:id="rId771" display="https://www.nrg-farms.com/FarMS/harvest/reference?harvest_id=70821" xr:uid="{0FAAF2EF-ABC5-4264-B7C5-51754D80E08F}"/>
    <hyperlink ref="A775" r:id="rId772" display="https://www.nrg-farms.com/FarMS/harvest/reference?harvest_id=70820" xr:uid="{C99F136E-F359-4987-9712-0DDF456C6F66}"/>
    <hyperlink ref="A776" r:id="rId773" display="https://www.nrg-farms.com/FarMS/harvest/reference?harvest_id=70819" xr:uid="{54E095A3-58BD-405C-8B10-9AD5092A6D36}"/>
    <hyperlink ref="A777" r:id="rId774" display="https://www.nrg-farms.com/FarMS/harvest/reference?harvest_id=70818" xr:uid="{E07EAF38-6F74-4785-92EA-C9F1FBBD1FD2}"/>
    <hyperlink ref="A778" r:id="rId775" display="https://www.nrg-farms.com/FarMS/harvest/reference?harvest_id=70817" xr:uid="{BE897E7E-55BA-470A-911A-45AC400CA8FA}"/>
    <hyperlink ref="A779" r:id="rId776" display="https://www.nrg-farms.com/FarMS/harvest/reference?harvest_id=70816" xr:uid="{24DEE97A-0828-4BAA-9646-A14445345B7D}"/>
    <hyperlink ref="A780" r:id="rId777" display="https://www.nrg-farms.com/FarMS/harvest/reference?harvest_id=70815" xr:uid="{E6212459-02A5-4501-AF21-2AEA5EC68F2B}"/>
    <hyperlink ref="A781" r:id="rId778" display="https://www.nrg-farms.com/FarMS/harvest/reference?harvest_id=70814" xr:uid="{1AAC9964-FCBF-4578-A9DF-604BAA78CF06}"/>
    <hyperlink ref="A782" r:id="rId779" display="https://www.nrg-farms.com/FarMS/harvest/reference?harvest_id=70813" xr:uid="{008D3A0D-18AE-4D8C-A071-67790B107599}"/>
    <hyperlink ref="A783" r:id="rId780" display="https://www.nrg-farms.com/FarMS/harvest/reference?harvest_id=70812" xr:uid="{D4E353D6-00C1-4AC7-9DEC-7A30EE98B567}"/>
    <hyperlink ref="A784" r:id="rId781" display="https://www.nrg-farms.com/FarMS/harvest/reference?harvest_id=70811" xr:uid="{85552607-559C-4260-86AC-69D3B6FFD9E2}"/>
    <hyperlink ref="A785" r:id="rId782" display="https://www.nrg-farms.com/FarMS/harvest/reference?harvest_id=70810" xr:uid="{D449FDDD-3957-4A04-B1AF-7ADB0BD02600}"/>
    <hyperlink ref="A786" r:id="rId783" display="https://www.nrg-farms.com/FarMS/harvest/reference?harvest_id=70809" xr:uid="{2CAD8E1D-431A-4D1D-825D-00596285FE5E}"/>
    <hyperlink ref="A787" r:id="rId784" display="https://www.nrg-farms.com/FarMS/harvest/reference?harvest_id=70808" xr:uid="{4D472B8B-013D-4781-B184-395D53D5CD02}"/>
    <hyperlink ref="A788" r:id="rId785" display="https://www.nrg-farms.com/FarMS/harvest/reference?harvest_id=70807" xr:uid="{617E306C-2E8D-4842-83EF-971047388D44}"/>
    <hyperlink ref="A789" r:id="rId786" display="https://www.nrg-farms.com/FarMS/harvest/reference?harvest_id=70806" xr:uid="{A8D8C90A-6D52-4B7B-9D83-E1D0D06FD86E}"/>
    <hyperlink ref="A790" r:id="rId787" display="https://www.nrg-farms.com/FarMS/harvest/reference?harvest_id=70805" xr:uid="{D986C9EB-55BF-47AA-A9A4-BF3EC34D7B68}"/>
    <hyperlink ref="A791" r:id="rId788" display="https://www.nrg-farms.com/FarMS/harvest/reference?harvest_id=70804" xr:uid="{DF852F72-20DE-4D3E-8756-0835D3B9516D}"/>
    <hyperlink ref="A792" r:id="rId789" display="https://www.nrg-farms.com/FarMS/harvest/reference?harvest_id=70803" xr:uid="{73C62FA1-E11B-4BA7-ABF4-30EF3C7843C2}"/>
    <hyperlink ref="A793" r:id="rId790" display="https://www.nrg-farms.com/FarMS/harvest/reference?harvest_id=70802" xr:uid="{01576C9C-3DD6-4058-A58B-0A3BE5E44C36}"/>
    <hyperlink ref="A794" r:id="rId791" display="https://www.nrg-farms.com/FarMS/harvest/reference?harvest_id=70801" xr:uid="{7D8FBA9A-085F-4457-9668-47DA2C77B7DE}"/>
    <hyperlink ref="A795" r:id="rId792" display="https://www.nrg-farms.com/FarMS/harvest/reference?harvest_id=70800" xr:uid="{9C5082F2-E3D4-4D0F-8F8B-26FF28E42C8E}"/>
    <hyperlink ref="A796" r:id="rId793" display="https://www.nrg-farms.com/FarMS/harvest/reference?harvest_id=70799" xr:uid="{3BAC5D73-C4F2-4B12-84FB-664BBC29E8FA}"/>
    <hyperlink ref="A797" r:id="rId794" display="https://www.nrg-farms.com/FarMS/harvest/reference?harvest_id=70798" xr:uid="{1862F81B-B3EB-44B1-BD9F-A1978CF166EA}"/>
    <hyperlink ref="A798" r:id="rId795" display="https://www.nrg-farms.com/FarMS/harvest/reference?harvest_id=70797" xr:uid="{50186292-BD3C-47A7-87D6-540E6C2B74D9}"/>
    <hyperlink ref="A799" r:id="rId796" display="https://www.nrg-farms.com/FarMS/harvest/reference?harvest_id=70796" xr:uid="{A56671C5-9636-4CDA-8DF0-2B8C48E963B6}"/>
    <hyperlink ref="A800" r:id="rId797" display="https://www.nrg-farms.com/FarMS/harvest/reference?harvest_id=70795" xr:uid="{DA7F4511-884F-44FF-963D-3F1166CA339E}"/>
    <hyperlink ref="A801" r:id="rId798" display="https://www.nrg-farms.com/FarMS/harvest/reference?harvest_id=70794" xr:uid="{DC70891F-9D88-455E-B963-2C8C45598873}"/>
    <hyperlink ref="A802" r:id="rId799" display="https://www.nrg-farms.com/FarMS/harvest/reference?harvest_id=70793" xr:uid="{FCD025FA-6045-4E10-AAC7-02FB555880A9}"/>
    <hyperlink ref="A803" r:id="rId800" display="https://www.nrg-farms.com/FarMS/harvest/reference?harvest_id=70792" xr:uid="{74FD85EE-D8E1-4876-AE70-02EE54E6BAD5}"/>
    <hyperlink ref="A804" r:id="rId801" display="https://www.nrg-farms.com/FarMS/harvest/reference?harvest_id=70791" xr:uid="{F2F4A8E1-2060-4C80-919A-D37EB3E170FB}"/>
    <hyperlink ref="A805" r:id="rId802" display="https://www.nrg-farms.com/FarMS/harvest/reference?harvest_id=70790" xr:uid="{B84456D4-7A61-46B7-A5B5-7C176E3555BC}"/>
    <hyperlink ref="A806" r:id="rId803" display="https://www.nrg-farms.com/FarMS/harvest/reference?harvest_id=70789" xr:uid="{8A701374-1885-4654-AA52-5C739DE756A1}"/>
  </hyperlinks>
  <pageMargins left="0.7" right="0.7" top="0.75" bottom="0.75" header="0.3" footer="0.3"/>
  <pageSetup paperSize="9" orientation="portrait" r:id="rId80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D082A-3B58-45B6-B7F7-841501E5F405}">
  <dimension ref="A1:S23"/>
  <sheetViews>
    <sheetView topLeftCell="E1" zoomScale="61" zoomScaleNormal="61" workbookViewId="0">
      <selection activeCell="O6" sqref="O6"/>
    </sheetView>
  </sheetViews>
  <sheetFormatPr defaultRowHeight="18"/>
  <cols>
    <col min="1" max="1" width="12.25" bestFit="1" customWidth="1"/>
    <col min="2" max="2" width="4.83203125" bestFit="1" customWidth="1"/>
    <col min="3" max="3" width="8.5" bestFit="1" customWidth="1"/>
    <col min="4" max="4" width="26.33203125" bestFit="1" customWidth="1"/>
    <col min="5" max="5" width="20.4140625" bestFit="1" customWidth="1"/>
    <col min="6" max="6" width="10.4140625" bestFit="1" customWidth="1"/>
    <col min="7" max="7" width="4.83203125" bestFit="1" customWidth="1"/>
    <col min="8" max="8" width="20.9140625" bestFit="1" customWidth="1"/>
    <col min="9" max="9" width="26.33203125" bestFit="1" customWidth="1"/>
    <col min="10" max="10" width="20.4140625" bestFit="1" customWidth="1"/>
    <col min="11" max="11" width="10.4140625" bestFit="1" customWidth="1"/>
    <col min="13" max="13" width="23.58203125" bestFit="1" customWidth="1"/>
    <col min="14" max="14" width="24.83203125" bestFit="1" customWidth="1"/>
    <col min="15" max="15" width="5.1640625" bestFit="1" customWidth="1"/>
    <col min="16" max="16" width="22.25" bestFit="1" customWidth="1"/>
    <col min="17" max="17" width="12.5" bestFit="1" customWidth="1"/>
    <col min="18" max="18" width="26.83203125" bestFit="1" customWidth="1"/>
    <col min="19" max="19" width="4.4140625" bestFit="1" customWidth="1"/>
  </cols>
  <sheetData>
    <row r="1" spans="1:19" ht="26.5">
      <c r="A1" s="4" t="s">
        <v>53</v>
      </c>
      <c r="B1" s="5"/>
      <c r="C1" s="5"/>
      <c r="D1" s="5"/>
      <c r="E1" s="5"/>
      <c r="F1" s="5"/>
      <c r="G1" s="6"/>
      <c r="H1" s="5" t="s">
        <v>54</v>
      </c>
      <c r="I1" s="5"/>
      <c r="J1" s="5"/>
      <c r="K1" s="5"/>
      <c r="L1" s="5"/>
      <c r="M1" s="5" t="s">
        <v>30</v>
      </c>
      <c r="N1" s="5" t="s">
        <v>31</v>
      </c>
      <c r="O1" s="5"/>
      <c r="P1" s="5" t="s">
        <v>55</v>
      </c>
      <c r="Q1" s="5"/>
      <c r="R1" s="5"/>
      <c r="S1" s="5"/>
    </row>
    <row r="2" spans="1:19">
      <c r="A2" t="s">
        <v>94</v>
      </c>
      <c r="B2" t="s">
        <v>95</v>
      </c>
      <c r="C2" t="s">
        <v>96</v>
      </c>
      <c r="D2" t="s">
        <v>97</v>
      </c>
      <c r="E2" t="s">
        <v>98</v>
      </c>
      <c r="F2" t="s">
        <v>99</v>
      </c>
      <c r="G2" t="s">
        <v>100</v>
      </c>
      <c r="H2" t="s">
        <v>96</v>
      </c>
      <c r="I2" t="s">
        <v>97</v>
      </c>
      <c r="J2" t="s">
        <v>98</v>
      </c>
      <c r="K2" t="s">
        <v>99</v>
      </c>
    </row>
    <row r="3" spans="1:19">
      <c r="A3" s="7">
        <v>70284</v>
      </c>
      <c r="B3" s="8" t="s">
        <v>23</v>
      </c>
      <c r="C3" s="9">
        <v>46017</v>
      </c>
      <c r="D3" s="10" t="s">
        <v>26</v>
      </c>
      <c r="E3" s="10" t="s">
        <v>29</v>
      </c>
      <c r="F3" s="11">
        <v>800</v>
      </c>
      <c r="G3" s="12" t="s">
        <v>24</v>
      </c>
      <c r="H3" s="9">
        <v>46017</v>
      </c>
      <c r="I3" s="10" t="s">
        <v>26</v>
      </c>
      <c r="J3" s="10" t="s">
        <v>29</v>
      </c>
      <c r="K3" s="11">
        <v>800</v>
      </c>
      <c r="M3" t="s">
        <v>32</v>
      </c>
      <c r="N3" t="s">
        <v>74</v>
      </c>
      <c r="O3" cm="1">
        <f t="array" ref="O3">_xlfn.LET(
_xlpm.corp,$I2,_xlpm.key,$M$3:$M$200,_xlpm.name,$N$3:$N$200,_xlpm.hits,_xlfn._xlws.FILTER(_xlpm.name,ISNUMBER(SEARCH(_xlpm.key,_xlpm.corp))),
IFERROR(INDEX(_xlpm.hits,1),_xlpm.corp))</f>
        <v>0</v>
      </c>
      <c r="P3" t="str">
        <f>IFERROR(TEXT(DATEVALUE(SUBSTITUTE(SUBSTITUTE(H3,".","/"),"-","/")),"yyyy-mm-dd"),
TEXT(H3,"yyyy-mm-dd"))</f>
        <v>2025-12-26</v>
      </c>
      <c r="Q3" t="str">
        <f>_xlfn.LET(
  _xlpm.corp, $I4,
  _xlpm.crop, $J4,
  _xlpm.suffix,
    IF(ISNUMBER(SEARCH("加工", _xlpm.crop)),      "/加工BL",
    IF(ISNUMBER(SEARCH("ミニトマト", _xlpm.crop)),"/ミニトマト",
    IF(ISNUMBER(SEARCH("イチゴ", _xlpm.crop)),    "/イチゴ",
    IF(ISNUMBER(SEARCH("ベビーリーフ",_xlpm.crop)),"",
       "/葉物野菜"
    )))),
  _xlpm.corp &amp; _xlpm.suffix
)</f>
        <v>岡部株式会社</v>
      </c>
      <c r="R3" t="str">
        <f>IF(
  AND(ISNUMBER(SEARCH("加工品",SUBSTITUTE(J3,"　"," "))),ISNUMBER(SEARCH("ベビーリーフ",SUBSTITUTE(J3,"　"," ")))),
  "加工BL",
  IF(LEFT(TRIM(SUBSTITUTE(J3,"　"," ")),5)="ベビーリーフ",
     "BL"&amp;TRIM(MID(TRIM(SUBSTITUTE(J3,"　"," ")),FIND(" ",TRIM(SUBSTITUTE(J3,"　"," "))&amp;" ")+1,255)),
     TRIM(SUBSTITUTE(J3,"　"," "))
  )
)</f>
        <v>ミニトマト</v>
      </c>
      <c r="S3">
        <f>IF(K3="", "", --SUBSTITUTE(K3, ",", ""))</f>
        <v>800</v>
      </c>
    </row>
    <row r="4" spans="1:19">
      <c r="A4" s="13">
        <v>70283</v>
      </c>
      <c r="B4" s="14" t="s">
        <v>23</v>
      </c>
      <c r="C4" s="15">
        <v>46017</v>
      </c>
      <c r="D4" s="16" t="s">
        <v>72</v>
      </c>
      <c r="E4" s="16" t="s">
        <v>2</v>
      </c>
      <c r="F4" s="17">
        <v>500</v>
      </c>
      <c r="G4" s="18" t="s">
        <v>24</v>
      </c>
      <c r="H4" s="15">
        <v>46017</v>
      </c>
      <c r="I4" s="16" t="s">
        <v>72</v>
      </c>
      <c r="J4" s="16" t="s">
        <v>2</v>
      </c>
      <c r="K4" s="17">
        <v>500</v>
      </c>
      <c r="M4" t="s">
        <v>33</v>
      </c>
      <c r="N4" t="s">
        <v>75</v>
      </c>
      <c r="O4" t="str" cm="1">
        <f t="array" ref="O4">_xlfn.LET(
_xlpm.corp,$I3,_xlpm.key,$M$3:$M$200,_xlpm.name,$N$3:$N$200,_xlpm.hits,_xlfn._xlws.FILTER(_xlpm.name,ISNUMBER(SEARCH(_xlpm.key,_xlpm.corp))),
IFERROR(INDEX(_xlpm.hits,1),_xlpm.corp))</f>
        <v>日建</v>
      </c>
      <c r="P4" t="str">
        <f t="shared" ref="P4:P5" si="0">IFERROR(TEXT(DATEVALUE(SUBSTITUTE(SUBSTITUTE(H4,".","/"),"-","/")),"yyyy-mm-dd"),
TEXT(H4,"yyyy-mm-dd"))</f>
        <v>2025-12-26</v>
      </c>
      <c r="Q4" t="str">
        <f t="shared" ref="Q4:Q5" si="1">_xlfn.LET(
  _xlpm.corp, $I5,
  _xlpm.crop, $J5,
  _xlpm.suffix,
    IF(ISNUMBER(SEARCH("加工", _xlpm.crop)),      "/加工BL",
    IF(ISNUMBER(SEARCH("ミニトマト", _xlpm.crop)),"/ミニトマト",
    IF(ISNUMBER(SEARCH("イチゴ", _xlpm.crop)),    "/イチゴ",
    IF(ISNUMBER(SEARCH("ベビーリーフ",_xlpm.crop)),"",
       "/葉物野菜"
    )))),
  _xlpm.corp &amp; _xlpm.suffix
)</f>
        <v>/葉物野菜</v>
      </c>
      <c r="R4" t="str">
        <f t="shared" ref="R4:R5" si="2">IF(
  AND(ISNUMBER(SEARCH("加工品",SUBSTITUTE(J4,"　"," "))),ISNUMBER(SEARCH("ベビーリーフ",SUBSTITUTE(J4,"　"," ")))),
  "加工BL",
  IF(LEFT(TRIM(SUBSTITUTE(J4,"　"," ")),5)="ベビーリーフ",
     "BL"&amp;TRIM(MID(TRIM(SUBSTITUTE(J4,"　"," ")),FIND(" ",TRIM(SUBSTITUTE(J4,"　"," "))&amp;" ")+1,255)),
     TRIM(SUBSTITUTE(J4,"　"," "))
  )
)</f>
        <v>ベビーリーフ グリーンオーク</v>
      </c>
      <c r="S4">
        <f t="shared" ref="S4:S5" si="3">IF(K4="", "", --SUBSTITUTE(K4, ",", ""))</f>
        <v>500</v>
      </c>
    </row>
    <row r="5" spans="1:19">
      <c r="M5" t="s">
        <v>34</v>
      </c>
      <c r="N5" t="s">
        <v>76</v>
      </c>
      <c r="O5" t="str" cm="1">
        <f t="array" ref="O5">_xlfn.LET(
_xlpm.corp,$I4,_xlpm.key,$M$3:$M$200,_xlpm.name,$N$3:$N$200,_xlpm.hits,_xlfn._xlws.FILTER(_xlpm.name,ISNUMBER(SEARCH(_xlpm.key,_xlpm.corp))),
IFERROR(INDEX(_xlpm.hits,1),_xlpm.corp))</f>
        <v>岡部</v>
      </c>
      <c r="P5" t="str">
        <f t="shared" si="0"/>
        <v>1900-01-00</v>
      </c>
      <c r="Q5" t="str">
        <f t="shared" si="1"/>
        <v>/葉物野菜</v>
      </c>
      <c r="R5" t="str">
        <f t="shared" si="2"/>
        <v/>
      </c>
      <c r="S5" t="str">
        <f t="shared" si="3"/>
        <v/>
      </c>
    </row>
    <row r="6" spans="1:19">
      <c r="M6" t="s">
        <v>35</v>
      </c>
      <c r="N6" t="s">
        <v>77</v>
      </c>
    </row>
    <row r="7" spans="1:19">
      <c r="M7" t="s">
        <v>36</v>
      </c>
      <c r="N7" t="s">
        <v>78</v>
      </c>
    </row>
    <row r="8" spans="1:19">
      <c r="M8" t="s">
        <v>37</v>
      </c>
      <c r="N8" t="s">
        <v>79</v>
      </c>
    </row>
    <row r="9" spans="1:19">
      <c r="M9" t="s">
        <v>50</v>
      </c>
      <c r="N9" t="s">
        <v>80</v>
      </c>
    </row>
    <row r="10" spans="1:19">
      <c r="M10" t="s">
        <v>38</v>
      </c>
      <c r="N10" t="s">
        <v>82</v>
      </c>
    </row>
    <row r="11" spans="1:19">
      <c r="M11" t="s">
        <v>49</v>
      </c>
      <c r="N11" t="s">
        <v>83</v>
      </c>
    </row>
    <row r="12" spans="1:19">
      <c r="M12" t="s">
        <v>52</v>
      </c>
      <c r="N12" t="s">
        <v>84</v>
      </c>
    </row>
    <row r="13" spans="1:19">
      <c r="M13" t="s">
        <v>39</v>
      </c>
      <c r="N13" t="s">
        <v>85</v>
      </c>
    </row>
    <row r="14" spans="1:19">
      <c r="M14" t="s">
        <v>40</v>
      </c>
      <c r="N14" t="s">
        <v>86</v>
      </c>
    </row>
    <row r="15" spans="1:19">
      <c r="M15" t="s">
        <v>41</v>
      </c>
      <c r="N15" t="s">
        <v>87</v>
      </c>
    </row>
    <row r="16" spans="1:19">
      <c r="M16" t="s">
        <v>42</v>
      </c>
      <c r="N16" t="s">
        <v>88</v>
      </c>
    </row>
    <row r="17" spans="13:14">
      <c r="M17" t="s">
        <v>43</v>
      </c>
      <c r="N17" t="s">
        <v>89</v>
      </c>
    </row>
    <row r="18" spans="13:14">
      <c r="M18" t="s">
        <v>44</v>
      </c>
      <c r="N18" t="s">
        <v>90</v>
      </c>
    </row>
    <row r="19" spans="13:14">
      <c r="M19" t="s">
        <v>45</v>
      </c>
      <c r="N19" t="s">
        <v>91</v>
      </c>
    </row>
    <row r="20" spans="13:14">
      <c r="M20" t="s">
        <v>46</v>
      </c>
      <c r="N20" t="s">
        <v>92</v>
      </c>
    </row>
    <row r="21" spans="13:14">
      <c r="M21" t="s">
        <v>51</v>
      </c>
      <c r="N21" t="s">
        <v>81</v>
      </c>
    </row>
    <row r="22" spans="13:14">
      <c r="M22" t="s">
        <v>47</v>
      </c>
      <c r="N22" t="s">
        <v>81</v>
      </c>
    </row>
    <row r="23" spans="13:14">
      <c r="M23" t="s">
        <v>48</v>
      </c>
      <c r="N23" t="s">
        <v>93</v>
      </c>
    </row>
  </sheetData>
  <phoneticPr fontId="1"/>
  <hyperlinks>
    <hyperlink ref="A3" r:id="rId1" display="https://www.nrg-farms.com/FarMS/harvest/reference?harvest_id=70284" xr:uid="{657EF58F-0221-4CC7-8E73-6F05671587C3}"/>
    <hyperlink ref="A4" r:id="rId2" display="https://www.nrg-farms.com/FarMS/harvest/reference?harvest_id=70283" xr:uid="{62561390-7A4A-4012-B3DD-BE3622A9F8E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2E59B-8281-4DAB-9FF8-0B196349DEFE}">
  <dimension ref="A1:B38"/>
  <sheetViews>
    <sheetView workbookViewId="0"/>
  </sheetViews>
  <sheetFormatPr defaultRowHeight="18"/>
  <cols>
    <col min="1" max="1" width="29.1640625" bestFit="1" customWidth="1"/>
    <col min="2" max="2" width="12.25" bestFit="1" customWidth="1"/>
  </cols>
  <sheetData>
    <row r="1" spans="1:2">
      <c r="A1" t="s">
        <v>119</v>
      </c>
      <c r="B1" t="s">
        <v>120</v>
      </c>
    </row>
    <row r="2" spans="1:2">
      <c r="A2" s="21" t="s">
        <v>101</v>
      </c>
      <c r="B2" t="s">
        <v>118</v>
      </c>
    </row>
    <row r="3" spans="1:2">
      <c r="A3" s="22" t="s">
        <v>102</v>
      </c>
      <c r="B3" t="s">
        <v>118</v>
      </c>
    </row>
    <row r="4" spans="1:2">
      <c r="A4" s="21" t="s">
        <v>103</v>
      </c>
      <c r="B4" t="s">
        <v>118</v>
      </c>
    </row>
    <row r="5" spans="1:2">
      <c r="A5" s="22" t="s">
        <v>61</v>
      </c>
      <c r="B5" t="s">
        <v>83</v>
      </c>
    </row>
    <row r="6" spans="1:2">
      <c r="A6" s="21" t="s">
        <v>104</v>
      </c>
      <c r="B6" t="s">
        <v>118</v>
      </c>
    </row>
    <row r="7" spans="1:2">
      <c r="A7" s="22" t="s">
        <v>105</v>
      </c>
      <c r="B7" t="s">
        <v>118</v>
      </c>
    </row>
    <row r="8" spans="1:2">
      <c r="A8" s="21" t="s">
        <v>72</v>
      </c>
      <c r="B8" t="s">
        <v>88</v>
      </c>
    </row>
    <row r="9" spans="1:2">
      <c r="A9" s="22" t="s">
        <v>106</v>
      </c>
      <c r="B9" t="s">
        <v>118</v>
      </c>
    </row>
    <row r="10" spans="1:2">
      <c r="A10" s="21" t="s">
        <v>57</v>
      </c>
      <c r="B10" t="s">
        <v>80</v>
      </c>
    </row>
    <row r="11" spans="1:2">
      <c r="A11" s="22" t="s">
        <v>66</v>
      </c>
      <c r="B11" t="s">
        <v>87</v>
      </c>
    </row>
    <row r="12" spans="1:2">
      <c r="A12" s="21" t="s">
        <v>56</v>
      </c>
      <c r="B12" t="s">
        <v>121</v>
      </c>
    </row>
    <row r="13" spans="1:2">
      <c r="A13" s="22" t="s">
        <v>60</v>
      </c>
      <c r="B13" t="s">
        <v>122</v>
      </c>
    </row>
    <row r="14" spans="1:2">
      <c r="A14" s="21" t="s">
        <v>59</v>
      </c>
      <c r="B14" t="s">
        <v>89</v>
      </c>
    </row>
    <row r="15" spans="1:2">
      <c r="A15" s="22" t="s">
        <v>58</v>
      </c>
      <c r="B15" t="s">
        <v>90</v>
      </c>
    </row>
    <row r="16" spans="1:2">
      <c r="A16" s="21" t="s">
        <v>107</v>
      </c>
      <c r="B16" t="s">
        <v>118</v>
      </c>
    </row>
    <row r="17" spans="1:2">
      <c r="A17" s="22" t="s">
        <v>68</v>
      </c>
      <c r="B17" t="s">
        <v>123</v>
      </c>
    </row>
    <row r="18" spans="1:2">
      <c r="A18" s="21" t="s">
        <v>71</v>
      </c>
      <c r="B18" t="s">
        <v>86</v>
      </c>
    </row>
    <row r="19" spans="1:2">
      <c r="A19" s="22" t="s">
        <v>108</v>
      </c>
      <c r="B19" t="s">
        <v>118</v>
      </c>
    </row>
    <row r="20" spans="1:2">
      <c r="A20" s="21" t="s">
        <v>27</v>
      </c>
      <c r="B20" t="s">
        <v>76</v>
      </c>
    </row>
    <row r="21" spans="1:2">
      <c r="A21" s="22" t="s">
        <v>109</v>
      </c>
      <c r="B21" t="s">
        <v>118</v>
      </c>
    </row>
    <row r="22" spans="1:2">
      <c r="A22" s="21" t="s">
        <v>110</v>
      </c>
      <c r="B22" t="s">
        <v>118</v>
      </c>
    </row>
    <row r="23" spans="1:2">
      <c r="A23" s="22" t="s">
        <v>64</v>
      </c>
      <c r="B23" t="s">
        <v>81</v>
      </c>
    </row>
    <row r="24" spans="1:2">
      <c r="A24" s="21" t="s">
        <v>26</v>
      </c>
      <c r="B24" t="s">
        <v>93</v>
      </c>
    </row>
    <row r="25" spans="1:2">
      <c r="A25" s="22" t="s">
        <v>25</v>
      </c>
      <c r="B25" t="s">
        <v>124</v>
      </c>
    </row>
    <row r="26" spans="1:2">
      <c r="A26" s="21" t="s">
        <v>67</v>
      </c>
      <c r="B26" t="s">
        <v>77</v>
      </c>
    </row>
    <row r="27" spans="1:2">
      <c r="A27" s="22" t="s">
        <v>111</v>
      </c>
      <c r="B27" t="s">
        <v>118</v>
      </c>
    </row>
    <row r="28" spans="1:2">
      <c r="A28" s="21" t="s">
        <v>112</v>
      </c>
      <c r="B28" t="s">
        <v>118</v>
      </c>
    </row>
    <row r="29" spans="1:2">
      <c r="A29" s="22" t="s">
        <v>69</v>
      </c>
      <c r="B29" t="s">
        <v>125</v>
      </c>
    </row>
    <row r="30" spans="1:2">
      <c r="A30" s="21" t="s">
        <v>113</v>
      </c>
      <c r="B30" t="s">
        <v>118</v>
      </c>
    </row>
    <row r="31" spans="1:2">
      <c r="A31" s="22" t="s">
        <v>70</v>
      </c>
      <c r="B31" t="s">
        <v>91</v>
      </c>
    </row>
    <row r="32" spans="1:2">
      <c r="A32" s="21" t="s">
        <v>63</v>
      </c>
      <c r="B32" t="s">
        <v>84</v>
      </c>
    </row>
    <row r="33" spans="1:2">
      <c r="A33" s="22" t="s">
        <v>114</v>
      </c>
      <c r="B33" t="s">
        <v>118</v>
      </c>
    </row>
    <row r="34" spans="1:2">
      <c r="A34" s="21" t="s">
        <v>28</v>
      </c>
      <c r="B34" t="s">
        <v>126</v>
      </c>
    </row>
    <row r="35" spans="1:2">
      <c r="A35" s="22" t="s">
        <v>65</v>
      </c>
      <c r="B35" t="s">
        <v>85</v>
      </c>
    </row>
    <row r="36" spans="1:2">
      <c r="A36" s="21" t="s">
        <v>115</v>
      </c>
      <c r="B36" t="s">
        <v>118</v>
      </c>
    </row>
    <row r="37" spans="1:2">
      <c r="A37" s="22" t="s">
        <v>116</v>
      </c>
      <c r="B37" t="s">
        <v>118</v>
      </c>
    </row>
    <row r="38" spans="1:2">
      <c r="A38" s="21" t="s">
        <v>117</v>
      </c>
      <c r="B38" t="s">
        <v>118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98960-7167-4DD1-A94D-DAE744F9966E}">
  <dimension ref="A1:C112"/>
  <sheetViews>
    <sheetView topLeftCell="A96" workbookViewId="0">
      <selection activeCell="C108" sqref="C108:C112"/>
    </sheetView>
  </sheetViews>
  <sheetFormatPr defaultRowHeight="18"/>
  <cols>
    <col min="1" max="1" width="32" bestFit="1" customWidth="1"/>
    <col min="2" max="2" width="31.9140625" bestFit="1" customWidth="1"/>
  </cols>
  <sheetData>
    <row r="1" spans="1:3">
      <c r="A1" t="s">
        <v>119</v>
      </c>
      <c r="B1" t="s">
        <v>242</v>
      </c>
      <c r="C1" t="s">
        <v>258</v>
      </c>
    </row>
    <row r="2" spans="1:3">
      <c r="A2" t="s">
        <v>127</v>
      </c>
      <c r="B2" t="s">
        <v>243</v>
      </c>
      <c r="C2" t="s">
        <v>259</v>
      </c>
    </row>
    <row r="3" spans="1:3">
      <c r="A3" t="s">
        <v>128</v>
      </c>
      <c r="B3" t="s">
        <v>243</v>
      </c>
      <c r="C3" t="s">
        <v>259</v>
      </c>
    </row>
    <row r="4" spans="1:3">
      <c r="A4" t="s">
        <v>129</v>
      </c>
      <c r="B4" t="s">
        <v>247</v>
      </c>
      <c r="C4" t="s">
        <v>259</v>
      </c>
    </row>
    <row r="5" spans="1:3">
      <c r="A5" t="s">
        <v>130</v>
      </c>
      <c r="B5" t="s">
        <v>243</v>
      </c>
      <c r="C5" t="s">
        <v>259</v>
      </c>
    </row>
    <row r="6" spans="1:3">
      <c r="A6" t="s">
        <v>131</v>
      </c>
      <c r="B6" t="s">
        <v>244</v>
      </c>
      <c r="C6" t="s">
        <v>259</v>
      </c>
    </row>
    <row r="7" spans="1:3">
      <c r="A7" t="s">
        <v>132</v>
      </c>
      <c r="B7" t="s">
        <v>244</v>
      </c>
      <c r="C7" t="s">
        <v>259</v>
      </c>
    </row>
    <row r="8" spans="1:3">
      <c r="A8" t="s">
        <v>133</v>
      </c>
      <c r="B8" t="s">
        <v>244</v>
      </c>
      <c r="C8" t="s">
        <v>259</v>
      </c>
    </row>
    <row r="9" spans="1:3">
      <c r="A9" t="s">
        <v>134</v>
      </c>
      <c r="B9" t="s">
        <v>241</v>
      </c>
      <c r="C9" t="s">
        <v>259</v>
      </c>
    </row>
    <row r="10" spans="1:3">
      <c r="A10" t="s">
        <v>135</v>
      </c>
      <c r="B10" t="s">
        <v>241</v>
      </c>
      <c r="C10" t="s">
        <v>259</v>
      </c>
    </row>
    <row r="11" spans="1:3">
      <c r="A11" t="s">
        <v>136</v>
      </c>
      <c r="B11" t="s">
        <v>241</v>
      </c>
      <c r="C11" t="s">
        <v>259</v>
      </c>
    </row>
    <row r="12" spans="1:3">
      <c r="A12" t="s">
        <v>137</v>
      </c>
      <c r="B12" t="s">
        <v>241</v>
      </c>
      <c r="C12" t="s">
        <v>259</v>
      </c>
    </row>
    <row r="13" spans="1:3">
      <c r="A13" t="s">
        <v>138</v>
      </c>
      <c r="B13" t="s">
        <v>247</v>
      </c>
      <c r="C13" t="s">
        <v>259</v>
      </c>
    </row>
    <row r="14" spans="1:3">
      <c r="A14" t="s">
        <v>139</v>
      </c>
      <c r="B14" t="s">
        <v>241</v>
      </c>
      <c r="C14" t="s">
        <v>259</v>
      </c>
    </row>
    <row r="15" spans="1:3">
      <c r="A15" t="s">
        <v>140</v>
      </c>
      <c r="B15" t="s">
        <v>247</v>
      </c>
      <c r="C15" t="s">
        <v>259</v>
      </c>
    </row>
    <row r="16" spans="1:3">
      <c r="A16" t="s">
        <v>141</v>
      </c>
      <c r="B16" t="s">
        <v>248</v>
      </c>
      <c r="C16" t="s">
        <v>259</v>
      </c>
    </row>
    <row r="17" spans="1:3">
      <c r="A17" t="s">
        <v>142</v>
      </c>
      <c r="B17" t="s">
        <v>241</v>
      </c>
      <c r="C17" t="s">
        <v>259</v>
      </c>
    </row>
    <row r="18" spans="1:3">
      <c r="A18" t="s">
        <v>143</v>
      </c>
      <c r="B18" t="s">
        <v>241</v>
      </c>
      <c r="C18" t="s">
        <v>259</v>
      </c>
    </row>
    <row r="19" spans="1:3">
      <c r="A19" t="s">
        <v>144</v>
      </c>
      <c r="B19" t="s">
        <v>241</v>
      </c>
      <c r="C19" t="s">
        <v>259</v>
      </c>
    </row>
    <row r="20" spans="1:3">
      <c r="A20" t="s">
        <v>145</v>
      </c>
      <c r="B20" t="s">
        <v>241</v>
      </c>
      <c r="C20" t="s">
        <v>259</v>
      </c>
    </row>
    <row r="21" spans="1:3">
      <c r="A21" t="s">
        <v>146</v>
      </c>
      <c r="B21" t="s">
        <v>241</v>
      </c>
      <c r="C21" t="s">
        <v>259</v>
      </c>
    </row>
    <row r="22" spans="1:3">
      <c r="A22" t="s">
        <v>147</v>
      </c>
      <c r="B22" t="s">
        <v>241</v>
      </c>
      <c r="C22" t="s">
        <v>259</v>
      </c>
    </row>
    <row r="23" spans="1:3">
      <c r="A23" t="s">
        <v>148</v>
      </c>
      <c r="B23" t="s">
        <v>241</v>
      </c>
      <c r="C23" t="s">
        <v>259</v>
      </c>
    </row>
    <row r="24" spans="1:3">
      <c r="A24" t="s">
        <v>149</v>
      </c>
      <c r="B24" t="s">
        <v>241</v>
      </c>
      <c r="C24" t="s">
        <v>259</v>
      </c>
    </row>
    <row r="25" spans="1:3">
      <c r="A25" t="s">
        <v>150</v>
      </c>
      <c r="B25" t="s">
        <v>247</v>
      </c>
      <c r="C25" t="s">
        <v>259</v>
      </c>
    </row>
    <row r="26" spans="1:3">
      <c r="A26" t="s">
        <v>151</v>
      </c>
      <c r="B26" t="s">
        <v>241</v>
      </c>
      <c r="C26" t="s">
        <v>259</v>
      </c>
    </row>
    <row r="27" spans="1:3">
      <c r="A27" t="s">
        <v>152</v>
      </c>
      <c r="B27" t="s">
        <v>241</v>
      </c>
      <c r="C27" t="s">
        <v>259</v>
      </c>
    </row>
    <row r="28" spans="1:3">
      <c r="A28" t="s">
        <v>153</v>
      </c>
      <c r="B28" t="s">
        <v>241</v>
      </c>
      <c r="C28" t="s">
        <v>259</v>
      </c>
    </row>
    <row r="29" spans="1:3">
      <c r="A29" t="s">
        <v>154</v>
      </c>
      <c r="B29" t="s">
        <v>247</v>
      </c>
      <c r="C29" t="s">
        <v>259</v>
      </c>
    </row>
    <row r="30" spans="1:3">
      <c r="A30" t="s">
        <v>155</v>
      </c>
      <c r="B30" t="s">
        <v>247</v>
      </c>
      <c r="C30" t="s">
        <v>259</v>
      </c>
    </row>
    <row r="31" spans="1:3">
      <c r="A31" t="s">
        <v>156</v>
      </c>
      <c r="B31" t="s">
        <v>241</v>
      </c>
      <c r="C31" t="s">
        <v>259</v>
      </c>
    </row>
    <row r="32" spans="1:3">
      <c r="A32" t="s">
        <v>157</v>
      </c>
      <c r="B32" t="s">
        <v>241</v>
      </c>
      <c r="C32" t="s">
        <v>259</v>
      </c>
    </row>
    <row r="33" spans="1:3">
      <c r="A33" t="s">
        <v>158</v>
      </c>
      <c r="B33" t="s">
        <v>247</v>
      </c>
      <c r="C33" t="s">
        <v>259</v>
      </c>
    </row>
    <row r="34" spans="1:3">
      <c r="A34" t="s">
        <v>159</v>
      </c>
      <c r="B34" t="s">
        <v>247</v>
      </c>
      <c r="C34" t="s">
        <v>259</v>
      </c>
    </row>
    <row r="35" spans="1:3">
      <c r="A35" t="s">
        <v>160</v>
      </c>
      <c r="B35" t="s">
        <v>241</v>
      </c>
      <c r="C35" t="s">
        <v>259</v>
      </c>
    </row>
    <row r="36" spans="1:3">
      <c r="A36" t="s">
        <v>161</v>
      </c>
      <c r="B36" t="s">
        <v>247</v>
      </c>
      <c r="C36" t="s">
        <v>259</v>
      </c>
    </row>
    <row r="37" spans="1:3">
      <c r="A37" t="s">
        <v>162</v>
      </c>
      <c r="B37" t="s">
        <v>247</v>
      </c>
      <c r="C37" t="s">
        <v>259</v>
      </c>
    </row>
    <row r="38" spans="1:3">
      <c r="A38" t="s">
        <v>163</v>
      </c>
      <c r="B38" t="s">
        <v>247</v>
      </c>
      <c r="C38" t="s">
        <v>259</v>
      </c>
    </row>
    <row r="39" spans="1:3">
      <c r="A39" t="s">
        <v>164</v>
      </c>
      <c r="B39" t="s">
        <v>245</v>
      </c>
      <c r="C39" t="s">
        <v>259</v>
      </c>
    </row>
    <row r="40" spans="1:3">
      <c r="A40" t="s">
        <v>165</v>
      </c>
      <c r="B40" t="s">
        <v>246</v>
      </c>
      <c r="C40" t="s">
        <v>259</v>
      </c>
    </row>
    <row r="41" spans="1:3">
      <c r="A41" t="s">
        <v>166</v>
      </c>
      <c r="B41" t="s">
        <v>241</v>
      </c>
      <c r="C41" t="s">
        <v>259</v>
      </c>
    </row>
    <row r="42" spans="1:3">
      <c r="A42" t="s">
        <v>167</v>
      </c>
      <c r="B42" t="s">
        <v>241</v>
      </c>
      <c r="C42" t="s">
        <v>259</v>
      </c>
    </row>
    <row r="43" spans="1:3">
      <c r="A43" t="s">
        <v>168</v>
      </c>
      <c r="B43" t="s">
        <v>241</v>
      </c>
      <c r="C43" t="s">
        <v>259</v>
      </c>
    </row>
    <row r="44" spans="1:3">
      <c r="A44" t="s">
        <v>169</v>
      </c>
      <c r="B44" t="s">
        <v>241</v>
      </c>
      <c r="C44" t="s">
        <v>259</v>
      </c>
    </row>
    <row r="45" spans="1:3">
      <c r="A45" t="s">
        <v>170</v>
      </c>
      <c r="B45" t="s">
        <v>241</v>
      </c>
      <c r="C45" t="s">
        <v>259</v>
      </c>
    </row>
    <row r="46" spans="1:3">
      <c r="A46" t="s">
        <v>171</v>
      </c>
      <c r="B46" t="s">
        <v>241</v>
      </c>
      <c r="C46" t="s">
        <v>259</v>
      </c>
    </row>
    <row r="47" spans="1:3">
      <c r="A47" t="s">
        <v>172</v>
      </c>
      <c r="B47" t="s">
        <v>249</v>
      </c>
      <c r="C47" t="s">
        <v>259</v>
      </c>
    </row>
    <row r="48" spans="1:3">
      <c r="A48" t="s">
        <v>173</v>
      </c>
      <c r="B48" t="s">
        <v>256</v>
      </c>
      <c r="C48" t="s">
        <v>259</v>
      </c>
    </row>
    <row r="49" spans="1:3">
      <c r="A49" t="s">
        <v>174</v>
      </c>
      <c r="B49" t="s">
        <v>251</v>
      </c>
      <c r="C49" t="s">
        <v>259</v>
      </c>
    </row>
    <row r="50" spans="1:3">
      <c r="A50" t="s">
        <v>175</v>
      </c>
      <c r="B50" t="s">
        <v>252</v>
      </c>
      <c r="C50" t="s">
        <v>259</v>
      </c>
    </row>
    <row r="51" spans="1:3">
      <c r="A51" t="s">
        <v>176</v>
      </c>
      <c r="B51" t="s">
        <v>241</v>
      </c>
      <c r="C51" t="s">
        <v>259</v>
      </c>
    </row>
    <row r="52" spans="1:3">
      <c r="A52" t="s">
        <v>177</v>
      </c>
      <c r="B52" t="s">
        <v>241</v>
      </c>
      <c r="C52" t="s">
        <v>259</v>
      </c>
    </row>
    <row r="53" spans="1:3">
      <c r="A53" t="s">
        <v>178</v>
      </c>
      <c r="B53" t="s">
        <v>247</v>
      </c>
      <c r="C53" t="s">
        <v>259</v>
      </c>
    </row>
    <row r="54" spans="1:3">
      <c r="A54" t="s">
        <v>179</v>
      </c>
      <c r="B54" t="s">
        <v>253</v>
      </c>
      <c r="C54" t="s">
        <v>193</v>
      </c>
    </row>
    <row r="55" spans="1:3">
      <c r="A55" t="s">
        <v>180</v>
      </c>
      <c r="B55" t="s">
        <v>253</v>
      </c>
      <c r="C55" t="s">
        <v>193</v>
      </c>
    </row>
    <row r="56" spans="1:3">
      <c r="A56" t="s">
        <v>181</v>
      </c>
      <c r="B56" t="s">
        <v>253</v>
      </c>
      <c r="C56" t="s">
        <v>193</v>
      </c>
    </row>
    <row r="57" spans="1:3">
      <c r="A57" t="s">
        <v>182</v>
      </c>
      <c r="B57" t="s">
        <v>253</v>
      </c>
      <c r="C57" t="s">
        <v>193</v>
      </c>
    </row>
    <row r="58" spans="1:3">
      <c r="A58" t="s">
        <v>183</v>
      </c>
      <c r="B58" t="s">
        <v>253</v>
      </c>
      <c r="C58" t="s">
        <v>193</v>
      </c>
    </row>
    <row r="59" spans="1:3">
      <c r="A59" t="s">
        <v>184</v>
      </c>
      <c r="B59" t="s">
        <v>253</v>
      </c>
      <c r="C59" t="s">
        <v>193</v>
      </c>
    </row>
    <row r="60" spans="1:3">
      <c r="A60" t="s">
        <v>185</v>
      </c>
      <c r="B60" t="s">
        <v>253</v>
      </c>
      <c r="C60" t="s">
        <v>193</v>
      </c>
    </row>
    <row r="61" spans="1:3">
      <c r="A61" t="s">
        <v>186</v>
      </c>
      <c r="B61" t="s">
        <v>253</v>
      </c>
      <c r="C61" t="s">
        <v>193</v>
      </c>
    </row>
    <row r="62" spans="1:3">
      <c r="A62" t="s">
        <v>187</v>
      </c>
      <c r="B62" t="s">
        <v>253</v>
      </c>
      <c r="C62" t="s">
        <v>193</v>
      </c>
    </row>
    <row r="63" spans="1:3">
      <c r="A63" t="s">
        <v>188</v>
      </c>
      <c r="B63" t="s">
        <v>253</v>
      </c>
      <c r="C63" t="s">
        <v>193</v>
      </c>
    </row>
    <row r="64" spans="1:3">
      <c r="A64" t="s">
        <v>189</v>
      </c>
      <c r="B64" t="s">
        <v>253</v>
      </c>
      <c r="C64" t="s">
        <v>193</v>
      </c>
    </row>
    <row r="65" spans="1:3">
      <c r="A65" t="s">
        <v>190</v>
      </c>
      <c r="B65" t="s">
        <v>253</v>
      </c>
      <c r="C65" t="s">
        <v>193</v>
      </c>
    </row>
    <row r="66" spans="1:3">
      <c r="A66" t="s">
        <v>191</v>
      </c>
      <c r="B66" t="s">
        <v>253</v>
      </c>
      <c r="C66" t="s">
        <v>193</v>
      </c>
    </row>
    <row r="67" spans="1:3">
      <c r="A67" t="s">
        <v>192</v>
      </c>
      <c r="B67" t="s">
        <v>253</v>
      </c>
      <c r="C67" t="s">
        <v>193</v>
      </c>
    </row>
    <row r="68" spans="1:3">
      <c r="A68" t="s">
        <v>194</v>
      </c>
      <c r="B68" t="s">
        <v>253</v>
      </c>
      <c r="C68" t="s">
        <v>193</v>
      </c>
    </row>
    <row r="69" spans="1:3">
      <c r="A69" t="s">
        <v>195</v>
      </c>
      <c r="B69" t="s">
        <v>253</v>
      </c>
      <c r="C69" t="s">
        <v>193</v>
      </c>
    </row>
    <row r="70" spans="1:3">
      <c r="A70" t="s">
        <v>196</v>
      </c>
      <c r="B70" t="s">
        <v>253</v>
      </c>
      <c r="C70" t="s">
        <v>193</v>
      </c>
    </row>
    <row r="71" spans="1:3">
      <c r="A71" t="s">
        <v>197</v>
      </c>
      <c r="B71" t="s">
        <v>253</v>
      </c>
      <c r="C71" t="s">
        <v>193</v>
      </c>
    </row>
    <row r="72" spans="1:3">
      <c r="A72" t="s">
        <v>198</v>
      </c>
      <c r="B72" t="s">
        <v>253</v>
      </c>
      <c r="C72" t="s">
        <v>193</v>
      </c>
    </row>
    <row r="73" spans="1:3">
      <c r="A73" t="s">
        <v>199</v>
      </c>
      <c r="B73" t="s">
        <v>253</v>
      </c>
      <c r="C73" t="s">
        <v>193</v>
      </c>
    </row>
    <row r="74" spans="1:3">
      <c r="A74" t="s">
        <v>200</v>
      </c>
      <c r="B74" t="s">
        <v>253</v>
      </c>
      <c r="C74" t="s">
        <v>193</v>
      </c>
    </row>
    <row r="75" spans="1:3">
      <c r="A75" t="s">
        <v>201</v>
      </c>
      <c r="B75" t="s">
        <v>253</v>
      </c>
      <c r="C75" t="s">
        <v>193</v>
      </c>
    </row>
    <row r="76" spans="1:3">
      <c r="A76" t="s">
        <v>202</v>
      </c>
      <c r="B76" t="s">
        <v>241</v>
      </c>
      <c r="C76" t="s">
        <v>259</v>
      </c>
    </row>
    <row r="77" spans="1:3">
      <c r="A77" t="s">
        <v>203</v>
      </c>
      <c r="B77" t="s">
        <v>254</v>
      </c>
      <c r="C77" t="s">
        <v>259</v>
      </c>
    </row>
    <row r="78" spans="1:3">
      <c r="A78" t="s">
        <v>204</v>
      </c>
      <c r="B78" t="s">
        <v>254</v>
      </c>
      <c r="C78" t="s">
        <v>259</v>
      </c>
    </row>
    <row r="79" spans="1:3">
      <c r="A79" t="s">
        <v>205</v>
      </c>
      <c r="B79" t="s">
        <v>254</v>
      </c>
      <c r="C79" t="s">
        <v>259</v>
      </c>
    </row>
    <row r="80" spans="1:3">
      <c r="A80" t="s">
        <v>206</v>
      </c>
      <c r="B80" t="s">
        <v>254</v>
      </c>
      <c r="C80" t="s">
        <v>259</v>
      </c>
    </row>
    <row r="81" spans="1:3">
      <c r="A81" t="s">
        <v>207</v>
      </c>
      <c r="B81" t="s">
        <v>254</v>
      </c>
      <c r="C81" t="s">
        <v>259</v>
      </c>
    </row>
    <row r="82" spans="1:3">
      <c r="A82" t="s">
        <v>208</v>
      </c>
      <c r="B82" t="s">
        <v>254</v>
      </c>
      <c r="C82" t="s">
        <v>259</v>
      </c>
    </row>
    <row r="83" spans="1:3">
      <c r="A83" t="s">
        <v>209</v>
      </c>
      <c r="B83" t="s">
        <v>247</v>
      </c>
      <c r="C83" t="s">
        <v>259</v>
      </c>
    </row>
    <row r="84" spans="1:3">
      <c r="A84" t="s">
        <v>210</v>
      </c>
      <c r="B84" t="s">
        <v>256</v>
      </c>
      <c r="C84" t="s">
        <v>259</v>
      </c>
    </row>
    <row r="85" spans="1:3">
      <c r="A85" t="s">
        <v>211</v>
      </c>
      <c r="B85" t="s">
        <v>255</v>
      </c>
      <c r="C85" t="s">
        <v>259</v>
      </c>
    </row>
    <row r="86" spans="1:3">
      <c r="A86" t="s">
        <v>212</v>
      </c>
      <c r="B86" t="s">
        <v>256</v>
      </c>
      <c r="C86" t="s">
        <v>259</v>
      </c>
    </row>
    <row r="87" spans="1:3">
      <c r="A87" t="s">
        <v>213</v>
      </c>
      <c r="B87" t="s">
        <v>241</v>
      </c>
      <c r="C87" t="s">
        <v>259</v>
      </c>
    </row>
    <row r="88" spans="1:3">
      <c r="A88" t="s">
        <v>214</v>
      </c>
      <c r="B88" t="s">
        <v>250</v>
      </c>
      <c r="C88" t="s">
        <v>259</v>
      </c>
    </row>
    <row r="89" spans="1:3">
      <c r="A89" t="s">
        <v>215</v>
      </c>
      <c r="B89" t="s">
        <v>257</v>
      </c>
      <c r="C89" t="s">
        <v>259</v>
      </c>
    </row>
    <row r="90" spans="1:3">
      <c r="A90" t="s">
        <v>216</v>
      </c>
      <c r="B90" t="s">
        <v>257</v>
      </c>
      <c r="C90" t="s">
        <v>259</v>
      </c>
    </row>
    <row r="91" spans="1:3">
      <c r="A91" t="s">
        <v>217</v>
      </c>
      <c r="B91" t="s">
        <v>257</v>
      </c>
      <c r="C91" t="s">
        <v>259</v>
      </c>
    </row>
    <row r="92" spans="1:3">
      <c r="A92" t="s">
        <v>218</v>
      </c>
      <c r="B92" t="s">
        <v>257</v>
      </c>
      <c r="C92" t="s">
        <v>259</v>
      </c>
    </row>
    <row r="93" spans="1:3">
      <c r="A93" t="s">
        <v>219</v>
      </c>
      <c r="B93" t="s">
        <v>257</v>
      </c>
      <c r="C93" t="s">
        <v>259</v>
      </c>
    </row>
    <row r="94" spans="1:3">
      <c r="A94" t="s">
        <v>220</v>
      </c>
      <c r="B94" t="s">
        <v>257</v>
      </c>
      <c r="C94" t="s">
        <v>259</v>
      </c>
    </row>
    <row r="95" spans="1:3">
      <c r="A95" t="s">
        <v>221</v>
      </c>
      <c r="B95" t="s">
        <v>257</v>
      </c>
      <c r="C95" t="s">
        <v>259</v>
      </c>
    </row>
    <row r="96" spans="1:3">
      <c r="A96" t="s">
        <v>222</v>
      </c>
      <c r="B96" t="s">
        <v>257</v>
      </c>
      <c r="C96" t="s">
        <v>259</v>
      </c>
    </row>
    <row r="97" spans="1:3">
      <c r="A97" t="s">
        <v>223</v>
      </c>
      <c r="B97" t="s">
        <v>247</v>
      </c>
      <c r="C97" t="s">
        <v>259</v>
      </c>
    </row>
    <row r="98" spans="1:3">
      <c r="A98" t="s">
        <v>224</v>
      </c>
      <c r="B98" t="s">
        <v>247</v>
      </c>
      <c r="C98" t="s">
        <v>259</v>
      </c>
    </row>
    <row r="99" spans="1:3">
      <c r="A99" t="s">
        <v>225</v>
      </c>
      <c r="B99" t="s">
        <v>241</v>
      </c>
      <c r="C99" t="s">
        <v>259</v>
      </c>
    </row>
    <row r="100" spans="1:3">
      <c r="A100" t="s">
        <v>18</v>
      </c>
      <c r="B100" t="s">
        <v>241</v>
      </c>
      <c r="C100" t="s">
        <v>259</v>
      </c>
    </row>
    <row r="101" spans="1:3">
      <c r="A101" t="s">
        <v>226</v>
      </c>
      <c r="B101" t="s">
        <v>241</v>
      </c>
      <c r="C101" t="s">
        <v>259</v>
      </c>
    </row>
    <row r="102" spans="1:3">
      <c r="A102" t="s">
        <v>227</v>
      </c>
      <c r="B102" t="s">
        <v>241</v>
      </c>
      <c r="C102" t="s">
        <v>259</v>
      </c>
    </row>
    <row r="103" spans="1:3">
      <c r="A103" t="s">
        <v>228</v>
      </c>
      <c r="B103" t="s">
        <v>241</v>
      </c>
      <c r="C103" t="s">
        <v>259</v>
      </c>
    </row>
    <row r="104" spans="1:3">
      <c r="A104" t="s">
        <v>229</v>
      </c>
      <c r="B104" t="s">
        <v>238</v>
      </c>
      <c r="C104" t="s">
        <v>260</v>
      </c>
    </row>
    <row r="105" spans="1:3">
      <c r="A105" t="s">
        <v>230</v>
      </c>
      <c r="B105" t="s">
        <v>239</v>
      </c>
      <c r="C105" t="s">
        <v>260</v>
      </c>
    </row>
    <row r="106" spans="1:3">
      <c r="A106" t="s">
        <v>231</v>
      </c>
      <c r="B106" t="s">
        <v>240</v>
      </c>
      <c r="C106" t="s">
        <v>260</v>
      </c>
    </row>
    <row r="107" spans="1:3">
      <c r="A107" t="s">
        <v>232</v>
      </c>
      <c r="B107" t="s">
        <v>241</v>
      </c>
      <c r="C107" t="s">
        <v>259</v>
      </c>
    </row>
    <row r="108" spans="1:3">
      <c r="A108" t="s">
        <v>233</v>
      </c>
      <c r="B108" t="s">
        <v>250</v>
      </c>
      <c r="C108" t="s">
        <v>259</v>
      </c>
    </row>
    <row r="109" spans="1:3">
      <c r="A109" t="s">
        <v>234</v>
      </c>
      <c r="B109" t="s">
        <v>241</v>
      </c>
      <c r="C109" t="s">
        <v>259</v>
      </c>
    </row>
    <row r="110" spans="1:3">
      <c r="A110" t="s">
        <v>235</v>
      </c>
      <c r="B110" t="s">
        <v>241</v>
      </c>
      <c r="C110" t="s">
        <v>259</v>
      </c>
    </row>
    <row r="111" spans="1:3">
      <c r="A111" t="s">
        <v>236</v>
      </c>
      <c r="B111" t="s">
        <v>241</v>
      </c>
      <c r="C111" t="s">
        <v>259</v>
      </c>
    </row>
    <row r="112" spans="1:3">
      <c r="A112" t="s">
        <v>237</v>
      </c>
      <c r="B112" t="s">
        <v>241</v>
      </c>
      <c r="C112" t="s">
        <v>259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803</vt:i4>
      </vt:variant>
    </vt:vector>
  </HeadingPairs>
  <TitlesOfParts>
    <vt:vector size="808" baseType="lpstr">
      <vt:lpstr>Sheet1</vt:lpstr>
      <vt:lpstr>正規化</vt:lpstr>
      <vt:lpstr>Sheet2</vt:lpstr>
      <vt:lpstr>企業名</vt:lpstr>
      <vt:lpstr>収穫野菜名</vt:lpstr>
      <vt:lpstr>正規化!no_link_10</vt:lpstr>
      <vt:lpstr>正規化!no_link_100</vt:lpstr>
      <vt:lpstr>正規化!no_link_101</vt:lpstr>
      <vt:lpstr>正規化!no_link_102</vt:lpstr>
      <vt:lpstr>正規化!no_link_103</vt:lpstr>
      <vt:lpstr>正規化!no_link_104</vt:lpstr>
      <vt:lpstr>正規化!no_link_105</vt:lpstr>
      <vt:lpstr>正規化!no_link_106</vt:lpstr>
      <vt:lpstr>正規化!no_link_107</vt:lpstr>
      <vt:lpstr>正規化!no_link_108</vt:lpstr>
      <vt:lpstr>正規化!no_link_109</vt:lpstr>
      <vt:lpstr>正規化!no_link_11</vt:lpstr>
      <vt:lpstr>正規化!no_link_110</vt:lpstr>
      <vt:lpstr>正規化!no_link_111</vt:lpstr>
      <vt:lpstr>正規化!no_link_112</vt:lpstr>
      <vt:lpstr>正規化!no_link_113</vt:lpstr>
      <vt:lpstr>正規化!no_link_114</vt:lpstr>
      <vt:lpstr>正規化!no_link_115</vt:lpstr>
      <vt:lpstr>正規化!no_link_116</vt:lpstr>
      <vt:lpstr>正規化!no_link_117</vt:lpstr>
      <vt:lpstr>正規化!no_link_118</vt:lpstr>
      <vt:lpstr>正規化!no_link_119</vt:lpstr>
      <vt:lpstr>正規化!no_link_12</vt:lpstr>
      <vt:lpstr>正規化!no_link_120</vt:lpstr>
      <vt:lpstr>正規化!no_link_121</vt:lpstr>
      <vt:lpstr>正規化!no_link_122</vt:lpstr>
      <vt:lpstr>正規化!no_link_123</vt:lpstr>
      <vt:lpstr>正規化!no_link_124</vt:lpstr>
      <vt:lpstr>正規化!no_link_125</vt:lpstr>
      <vt:lpstr>正規化!no_link_126</vt:lpstr>
      <vt:lpstr>正規化!no_link_127</vt:lpstr>
      <vt:lpstr>正規化!no_link_128</vt:lpstr>
      <vt:lpstr>正規化!no_link_129</vt:lpstr>
      <vt:lpstr>正規化!no_link_13</vt:lpstr>
      <vt:lpstr>正規化!no_link_130</vt:lpstr>
      <vt:lpstr>正規化!no_link_131</vt:lpstr>
      <vt:lpstr>正規化!no_link_132</vt:lpstr>
      <vt:lpstr>正規化!no_link_133</vt:lpstr>
      <vt:lpstr>正規化!no_link_134</vt:lpstr>
      <vt:lpstr>正規化!no_link_135</vt:lpstr>
      <vt:lpstr>正規化!no_link_136</vt:lpstr>
      <vt:lpstr>正規化!no_link_137</vt:lpstr>
      <vt:lpstr>正規化!no_link_138</vt:lpstr>
      <vt:lpstr>正規化!no_link_139</vt:lpstr>
      <vt:lpstr>正規化!no_link_14</vt:lpstr>
      <vt:lpstr>正規化!no_link_140</vt:lpstr>
      <vt:lpstr>正規化!no_link_141</vt:lpstr>
      <vt:lpstr>正規化!no_link_142</vt:lpstr>
      <vt:lpstr>正規化!no_link_143</vt:lpstr>
      <vt:lpstr>正規化!no_link_144</vt:lpstr>
      <vt:lpstr>正規化!no_link_145</vt:lpstr>
      <vt:lpstr>正規化!no_link_146</vt:lpstr>
      <vt:lpstr>正規化!no_link_147</vt:lpstr>
      <vt:lpstr>正規化!no_link_148</vt:lpstr>
      <vt:lpstr>正規化!no_link_149</vt:lpstr>
      <vt:lpstr>正規化!no_link_15</vt:lpstr>
      <vt:lpstr>正規化!no_link_150</vt:lpstr>
      <vt:lpstr>正規化!no_link_151</vt:lpstr>
      <vt:lpstr>正規化!no_link_152</vt:lpstr>
      <vt:lpstr>正規化!no_link_153</vt:lpstr>
      <vt:lpstr>正規化!no_link_154</vt:lpstr>
      <vt:lpstr>正規化!no_link_155</vt:lpstr>
      <vt:lpstr>正規化!no_link_156</vt:lpstr>
      <vt:lpstr>正規化!no_link_157</vt:lpstr>
      <vt:lpstr>正規化!no_link_158</vt:lpstr>
      <vt:lpstr>正規化!no_link_159</vt:lpstr>
      <vt:lpstr>正規化!no_link_16</vt:lpstr>
      <vt:lpstr>正規化!no_link_160</vt:lpstr>
      <vt:lpstr>正規化!no_link_161</vt:lpstr>
      <vt:lpstr>正規化!no_link_162</vt:lpstr>
      <vt:lpstr>正規化!no_link_163</vt:lpstr>
      <vt:lpstr>正規化!no_link_164</vt:lpstr>
      <vt:lpstr>正規化!no_link_165</vt:lpstr>
      <vt:lpstr>正規化!no_link_166</vt:lpstr>
      <vt:lpstr>正規化!no_link_167</vt:lpstr>
      <vt:lpstr>正規化!no_link_168</vt:lpstr>
      <vt:lpstr>正規化!no_link_169</vt:lpstr>
      <vt:lpstr>正規化!no_link_17</vt:lpstr>
      <vt:lpstr>正規化!no_link_170</vt:lpstr>
      <vt:lpstr>正規化!no_link_171</vt:lpstr>
      <vt:lpstr>正規化!no_link_172</vt:lpstr>
      <vt:lpstr>正規化!no_link_173</vt:lpstr>
      <vt:lpstr>正規化!no_link_174</vt:lpstr>
      <vt:lpstr>正規化!no_link_175</vt:lpstr>
      <vt:lpstr>正規化!no_link_176</vt:lpstr>
      <vt:lpstr>正規化!no_link_177</vt:lpstr>
      <vt:lpstr>正規化!no_link_178</vt:lpstr>
      <vt:lpstr>正規化!no_link_179</vt:lpstr>
      <vt:lpstr>正規化!no_link_18</vt:lpstr>
      <vt:lpstr>正規化!no_link_180</vt:lpstr>
      <vt:lpstr>正規化!no_link_181</vt:lpstr>
      <vt:lpstr>正規化!no_link_182</vt:lpstr>
      <vt:lpstr>正規化!no_link_183</vt:lpstr>
      <vt:lpstr>正規化!no_link_184</vt:lpstr>
      <vt:lpstr>正規化!no_link_185</vt:lpstr>
      <vt:lpstr>正規化!no_link_186</vt:lpstr>
      <vt:lpstr>正規化!no_link_187</vt:lpstr>
      <vt:lpstr>正規化!no_link_188</vt:lpstr>
      <vt:lpstr>正規化!no_link_189</vt:lpstr>
      <vt:lpstr>正規化!no_link_19</vt:lpstr>
      <vt:lpstr>正規化!no_link_190</vt:lpstr>
      <vt:lpstr>正規化!no_link_191</vt:lpstr>
      <vt:lpstr>正規化!no_link_192</vt:lpstr>
      <vt:lpstr>正規化!no_link_193</vt:lpstr>
      <vt:lpstr>正規化!no_link_194</vt:lpstr>
      <vt:lpstr>正規化!no_link_195</vt:lpstr>
      <vt:lpstr>正規化!no_link_196</vt:lpstr>
      <vt:lpstr>正規化!no_link_197</vt:lpstr>
      <vt:lpstr>正規化!no_link_198</vt:lpstr>
      <vt:lpstr>正規化!no_link_199</vt:lpstr>
      <vt:lpstr>正規化!no_link_2</vt:lpstr>
      <vt:lpstr>正規化!no_link_20</vt:lpstr>
      <vt:lpstr>正規化!no_link_200</vt:lpstr>
      <vt:lpstr>正規化!no_link_201</vt:lpstr>
      <vt:lpstr>正規化!no_link_202</vt:lpstr>
      <vt:lpstr>正規化!no_link_203</vt:lpstr>
      <vt:lpstr>正規化!no_link_204</vt:lpstr>
      <vt:lpstr>正規化!no_link_205</vt:lpstr>
      <vt:lpstr>正規化!no_link_206</vt:lpstr>
      <vt:lpstr>正規化!no_link_207</vt:lpstr>
      <vt:lpstr>正規化!no_link_208</vt:lpstr>
      <vt:lpstr>正規化!no_link_209</vt:lpstr>
      <vt:lpstr>正規化!no_link_21</vt:lpstr>
      <vt:lpstr>正規化!no_link_210</vt:lpstr>
      <vt:lpstr>正規化!no_link_211</vt:lpstr>
      <vt:lpstr>正規化!no_link_212</vt:lpstr>
      <vt:lpstr>正規化!no_link_213</vt:lpstr>
      <vt:lpstr>正規化!no_link_214</vt:lpstr>
      <vt:lpstr>正規化!no_link_215</vt:lpstr>
      <vt:lpstr>正規化!no_link_216</vt:lpstr>
      <vt:lpstr>正規化!no_link_217</vt:lpstr>
      <vt:lpstr>正規化!no_link_218</vt:lpstr>
      <vt:lpstr>正規化!no_link_219</vt:lpstr>
      <vt:lpstr>正規化!no_link_22</vt:lpstr>
      <vt:lpstr>正規化!no_link_220</vt:lpstr>
      <vt:lpstr>正規化!no_link_221</vt:lpstr>
      <vt:lpstr>正規化!no_link_222</vt:lpstr>
      <vt:lpstr>正規化!no_link_223</vt:lpstr>
      <vt:lpstr>正規化!no_link_224</vt:lpstr>
      <vt:lpstr>正規化!no_link_225</vt:lpstr>
      <vt:lpstr>正規化!no_link_226</vt:lpstr>
      <vt:lpstr>正規化!no_link_227</vt:lpstr>
      <vt:lpstr>正規化!no_link_228</vt:lpstr>
      <vt:lpstr>正規化!no_link_229</vt:lpstr>
      <vt:lpstr>正規化!no_link_23</vt:lpstr>
      <vt:lpstr>正規化!no_link_230</vt:lpstr>
      <vt:lpstr>正規化!no_link_231</vt:lpstr>
      <vt:lpstr>正規化!no_link_232</vt:lpstr>
      <vt:lpstr>正規化!no_link_233</vt:lpstr>
      <vt:lpstr>正規化!no_link_234</vt:lpstr>
      <vt:lpstr>正規化!no_link_235</vt:lpstr>
      <vt:lpstr>正規化!no_link_236</vt:lpstr>
      <vt:lpstr>正規化!no_link_237</vt:lpstr>
      <vt:lpstr>正規化!no_link_238</vt:lpstr>
      <vt:lpstr>正規化!no_link_239</vt:lpstr>
      <vt:lpstr>正規化!no_link_24</vt:lpstr>
      <vt:lpstr>正規化!no_link_240</vt:lpstr>
      <vt:lpstr>正規化!no_link_241</vt:lpstr>
      <vt:lpstr>正規化!no_link_242</vt:lpstr>
      <vt:lpstr>正規化!no_link_243</vt:lpstr>
      <vt:lpstr>正規化!no_link_244</vt:lpstr>
      <vt:lpstr>正規化!no_link_245</vt:lpstr>
      <vt:lpstr>正規化!no_link_246</vt:lpstr>
      <vt:lpstr>正規化!no_link_247</vt:lpstr>
      <vt:lpstr>正規化!no_link_248</vt:lpstr>
      <vt:lpstr>正規化!no_link_249</vt:lpstr>
      <vt:lpstr>正規化!no_link_25</vt:lpstr>
      <vt:lpstr>正規化!no_link_250</vt:lpstr>
      <vt:lpstr>正規化!no_link_251</vt:lpstr>
      <vt:lpstr>正規化!no_link_252</vt:lpstr>
      <vt:lpstr>正規化!no_link_253</vt:lpstr>
      <vt:lpstr>正規化!no_link_254</vt:lpstr>
      <vt:lpstr>正規化!no_link_255</vt:lpstr>
      <vt:lpstr>正規化!no_link_256</vt:lpstr>
      <vt:lpstr>正規化!no_link_257</vt:lpstr>
      <vt:lpstr>正規化!no_link_258</vt:lpstr>
      <vt:lpstr>正規化!no_link_259</vt:lpstr>
      <vt:lpstr>正規化!no_link_26</vt:lpstr>
      <vt:lpstr>正規化!no_link_260</vt:lpstr>
      <vt:lpstr>正規化!no_link_261</vt:lpstr>
      <vt:lpstr>正規化!no_link_262</vt:lpstr>
      <vt:lpstr>正規化!no_link_263</vt:lpstr>
      <vt:lpstr>正規化!no_link_264</vt:lpstr>
      <vt:lpstr>正規化!no_link_265</vt:lpstr>
      <vt:lpstr>正規化!no_link_266</vt:lpstr>
      <vt:lpstr>正規化!no_link_267</vt:lpstr>
      <vt:lpstr>正規化!no_link_268</vt:lpstr>
      <vt:lpstr>正規化!no_link_269</vt:lpstr>
      <vt:lpstr>正規化!no_link_27</vt:lpstr>
      <vt:lpstr>正規化!no_link_270</vt:lpstr>
      <vt:lpstr>正規化!no_link_271</vt:lpstr>
      <vt:lpstr>正規化!no_link_272</vt:lpstr>
      <vt:lpstr>正規化!no_link_273</vt:lpstr>
      <vt:lpstr>正規化!no_link_274</vt:lpstr>
      <vt:lpstr>正規化!no_link_275</vt:lpstr>
      <vt:lpstr>正規化!no_link_276</vt:lpstr>
      <vt:lpstr>正規化!no_link_277</vt:lpstr>
      <vt:lpstr>正規化!no_link_278</vt:lpstr>
      <vt:lpstr>正規化!no_link_279</vt:lpstr>
      <vt:lpstr>正規化!no_link_28</vt:lpstr>
      <vt:lpstr>正規化!no_link_280</vt:lpstr>
      <vt:lpstr>正規化!no_link_281</vt:lpstr>
      <vt:lpstr>正規化!no_link_282</vt:lpstr>
      <vt:lpstr>正規化!no_link_283</vt:lpstr>
      <vt:lpstr>正規化!no_link_284</vt:lpstr>
      <vt:lpstr>正規化!no_link_285</vt:lpstr>
      <vt:lpstr>正規化!no_link_286</vt:lpstr>
      <vt:lpstr>正規化!no_link_287</vt:lpstr>
      <vt:lpstr>正規化!no_link_288</vt:lpstr>
      <vt:lpstr>正規化!no_link_289</vt:lpstr>
      <vt:lpstr>正規化!no_link_29</vt:lpstr>
      <vt:lpstr>正規化!no_link_290</vt:lpstr>
      <vt:lpstr>正規化!no_link_291</vt:lpstr>
      <vt:lpstr>正規化!no_link_292</vt:lpstr>
      <vt:lpstr>正規化!no_link_293</vt:lpstr>
      <vt:lpstr>正規化!no_link_294</vt:lpstr>
      <vt:lpstr>正規化!no_link_295</vt:lpstr>
      <vt:lpstr>正規化!no_link_296</vt:lpstr>
      <vt:lpstr>正規化!no_link_297</vt:lpstr>
      <vt:lpstr>正規化!no_link_298</vt:lpstr>
      <vt:lpstr>正規化!no_link_299</vt:lpstr>
      <vt:lpstr>正規化!no_link_3</vt:lpstr>
      <vt:lpstr>正規化!no_link_30</vt:lpstr>
      <vt:lpstr>正規化!no_link_300</vt:lpstr>
      <vt:lpstr>正規化!no_link_301</vt:lpstr>
      <vt:lpstr>正規化!no_link_302</vt:lpstr>
      <vt:lpstr>正規化!no_link_303</vt:lpstr>
      <vt:lpstr>正規化!no_link_304</vt:lpstr>
      <vt:lpstr>正規化!no_link_305</vt:lpstr>
      <vt:lpstr>正規化!no_link_306</vt:lpstr>
      <vt:lpstr>正規化!no_link_307</vt:lpstr>
      <vt:lpstr>正規化!no_link_308</vt:lpstr>
      <vt:lpstr>正規化!no_link_309</vt:lpstr>
      <vt:lpstr>正規化!no_link_31</vt:lpstr>
      <vt:lpstr>正規化!no_link_310</vt:lpstr>
      <vt:lpstr>正規化!no_link_311</vt:lpstr>
      <vt:lpstr>正規化!no_link_312</vt:lpstr>
      <vt:lpstr>正規化!no_link_313</vt:lpstr>
      <vt:lpstr>正規化!no_link_314</vt:lpstr>
      <vt:lpstr>正規化!no_link_315</vt:lpstr>
      <vt:lpstr>正規化!no_link_316</vt:lpstr>
      <vt:lpstr>正規化!no_link_317</vt:lpstr>
      <vt:lpstr>正規化!no_link_318</vt:lpstr>
      <vt:lpstr>正規化!no_link_319</vt:lpstr>
      <vt:lpstr>正規化!no_link_32</vt:lpstr>
      <vt:lpstr>正規化!no_link_320</vt:lpstr>
      <vt:lpstr>正規化!no_link_321</vt:lpstr>
      <vt:lpstr>正規化!no_link_322</vt:lpstr>
      <vt:lpstr>正規化!no_link_323</vt:lpstr>
      <vt:lpstr>正規化!no_link_324</vt:lpstr>
      <vt:lpstr>正規化!no_link_325</vt:lpstr>
      <vt:lpstr>正規化!no_link_326</vt:lpstr>
      <vt:lpstr>正規化!no_link_327</vt:lpstr>
      <vt:lpstr>正規化!no_link_328</vt:lpstr>
      <vt:lpstr>正規化!no_link_329</vt:lpstr>
      <vt:lpstr>正規化!no_link_33</vt:lpstr>
      <vt:lpstr>正規化!no_link_330</vt:lpstr>
      <vt:lpstr>正規化!no_link_331</vt:lpstr>
      <vt:lpstr>正規化!no_link_332</vt:lpstr>
      <vt:lpstr>正規化!no_link_333</vt:lpstr>
      <vt:lpstr>正規化!no_link_334</vt:lpstr>
      <vt:lpstr>正規化!no_link_335</vt:lpstr>
      <vt:lpstr>正規化!no_link_336</vt:lpstr>
      <vt:lpstr>正規化!no_link_337</vt:lpstr>
      <vt:lpstr>正規化!no_link_338</vt:lpstr>
      <vt:lpstr>正規化!no_link_339</vt:lpstr>
      <vt:lpstr>正規化!no_link_34</vt:lpstr>
      <vt:lpstr>正規化!no_link_340</vt:lpstr>
      <vt:lpstr>正規化!no_link_341</vt:lpstr>
      <vt:lpstr>正規化!no_link_342</vt:lpstr>
      <vt:lpstr>正規化!no_link_343</vt:lpstr>
      <vt:lpstr>正規化!no_link_344</vt:lpstr>
      <vt:lpstr>正規化!no_link_345</vt:lpstr>
      <vt:lpstr>正規化!no_link_346</vt:lpstr>
      <vt:lpstr>正規化!no_link_347</vt:lpstr>
      <vt:lpstr>正規化!no_link_348</vt:lpstr>
      <vt:lpstr>正規化!no_link_349</vt:lpstr>
      <vt:lpstr>正規化!no_link_35</vt:lpstr>
      <vt:lpstr>正規化!no_link_350</vt:lpstr>
      <vt:lpstr>正規化!no_link_351</vt:lpstr>
      <vt:lpstr>正規化!no_link_352</vt:lpstr>
      <vt:lpstr>正規化!no_link_353</vt:lpstr>
      <vt:lpstr>正規化!no_link_354</vt:lpstr>
      <vt:lpstr>正規化!no_link_355</vt:lpstr>
      <vt:lpstr>正規化!no_link_356</vt:lpstr>
      <vt:lpstr>正規化!no_link_357</vt:lpstr>
      <vt:lpstr>正規化!no_link_358</vt:lpstr>
      <vt:lpstr>正規化!no_link_359</vt:lpstr>
      <vt:lpstr>正規化!no_link_36</vt:lpstr>
      <vt:lpstr>正規化!no_link_360</vt:lpstr>
      <vt:lpstr>正規化!no_link_361</vt:lpstr>
      <vt:lpstr>正規化!no_link_362</vt:lpstr>
      <vt:lpstr>正規化!no_link_363</vt:lpstr>
      <vt:lpstr>正規化!no_link_364</vt:lpstr>
      <vt:lpstr>正規化!no_link_365</vt:lpstr>
      <vt:lpstr>正規化!no_link_366</vt:lpstr>
      <vt:lpstr>正規化!no_link_367</vt:lpstr>
      <vt:lpstr>正規化!no_link_368</vt:lpstr>
      <vt:lpstr>正規化!no_link_369</vt:lpstr>
      <vt:lpstr>正規化!no_link_37</vt:lpstr>
      <vt:lpstr>正規化!no_link_370</vt:lpstr>
      <vt:lpstr>正規化!no_link_371</vt:lpstr>
      <vt:lpstr>正規化!no_link_372</vt:lpstr>
      <vt:lpstr>正規化!no_link_373</vt:lpstr>
      <vt:lpstr>正規化!no_link_374</vt:lpstr>
      <vt:lpstr>正規化!no_link_375</vt:lpstr>
      <vt:lpstr>正規化!no_link_376</vt:lpstr>
      <vt:lpstr>正規化!no_link_377</vt:lpstr>
      <vt:lpstr>正規化!no_link_378</vt:lpstr>
      <vt:lpstr>正規化!no_link_379</vt:lpstr>
      <vt:lpstr>正規化!no_link_38</vt:lpstr>
      <vt:lpstr>正規化!no_link_380</vt:lpstr>
      <vt:lpstr>正規化!no_link_381</vt:lpstr>
      <vt:lpstr>正規化!no_link_382</vt:lpstr>
      <vt:lpstr>正規化!no_link_383</vt:lpstr>
      <vt:lpstr>正規化!no_link_384</vt:lpstr>
      <vt:lpstr>正規化!no_link_385</vt:lpstr>
      <vt:lpstr>正規化!no_link_386</vt:lpstr>
      <vt:lpstr>正規化!no_link_387</vt:lpstr>
      <vt:lpstr>正規化!no_link_388</vt:lpstr>
      <vt:lpstr>正規化!no_link_389</vt:lpstr>
      <vt:lpstr>正規化!no_link_39</vt:lpstr>
      <vt:lpstr>正規化!no_link_390</vt:lpstr>
      <vt:lpstr>正規化!no_link_391</vt:lpstr>
      <vt:lpstr>正規化!no_link_392</vt:lpstr>
      <vt:lpstr>正規化!no_link_393</vt:lpstr>
      <vt:lpstr>正規化!no_link_394</vt:lpstr>
      <vt:lpstr>正規化!no_link_395</vt:lpstr>
      <vt:lpstr>正規化!no_link_396</vt:lpstr>
      <vt:lpstr>正規化!no_link_397</vt:lpstr>
      <vt:lpstr>正規化!no_link_398</vt:lpstr>
      <vt:lpstr>正規化!no_link_399</vt:lpstr>
      <vt:lpstr>正規化!no_link_4</vt:lpstr>
      <vt:lpstr>正規化!no_link_40</vt:lpstr>
      <vt:lpstr>正規化!no_link_400</vt:lpstr>
      <vt:lpstr>正規化!no_link_401</vt:lpstr>
      <vt:lpstr>正規化!no_link_402</vt:lpstr>
      <vt:lpstr>正規化!no_link_403</vt:lpstr>
      <vt:lpstr>正規化!no_link_404</vt:lpstr>
      <vt:lpstr>正規化!no_link_405</vt:lpstr>
      <vt:lpstr>正規化!no_link_406</vt:lpstr>
      <vt:lpstr>正規化!no_link_407</vt:lpstr>
      <vt:lpstr>正規化!no_link_408</vt:lpstr>
      <vt:lpstr>正規化!no_link_409</vt:lpstr>
      <vt:lpstr>正規化!no_link_41</vt:lpstr>
      <vt:lpstr>正規化!no_link_410</vt:lpstr>
      <vt:lpstr>正規化!no_link_411</vt:lpstr>
      <vt:lpstr>正規化!no_link_412</vt:lpstr>
      <vt:lpstr>正規化!no_link_413</vt:lpstr>
      <vt:lpstr>正規化!no_link_414</vt:lpstr>
      <vt:lpstr>正規化!no_link_415</vt:lpstr>
      <vt:lpstr>正規化!no_link_416</vt:lpstr>
      <vt:lpstr>正規化!no_link_417</vt:lpstr>
      <vt:lpstr>正規化!no_link_418</vt:lpstr>
      <vt:lpstr>正規化!no_link_419</vt:lpstr>
      <vt:lpstr>正規化!no_link_42</vt:lpstr>
      <vt:lpstr>正規化!no_link_420</vt:lpstr>
      <vt:lpstr>正規化!no_link_421</vt:lpstr>
      <vt:lpstr>正規化!no_link_422</vt:lpstr>
      <vt:lpstr>正規化!no_link_423</vt:lpstr>
      <vt:lpstr>正規化!no_link_424</vt:lpstr>
      <vt:lpstr>正規化!no_link_425</vt:lpstr>
      <vt:lpstr>正規化!no_link_426</vt:lpstr>
      <vt:lpstr>正規化!no_link_427</vt:lpstr>
      <vt:lpstr>正規化!no_link_428</vt:lpstr>
      <vt:lpstr>正規化!no_link_429</vt:lpstr>
      <vt:lpstr>正規化!no_link_43</vt:lpstr>
      <vt:lpstr>正規化!no_link_430</vt:lpstr>
      <vt:lpstr>正規化!no_link_431</vt:lpstr>
      <vt:lpstr>正規化!no_link_432</vt:lpstr>
      <vt:lpstr>正規化!no_link_433</vt:lpstr>
      <vt:lpstr>正規化!no_link_434</vt:lpstr>
      <vt:lpstr>正規化!no_link_435</vt:lpstr>
      <vt:lpstr>正規化!no_link_436</vt:lpstr>
      <vt:lpstr>正規化!no_link_437</vt:lpstr>
      <vt:lpstr>正規化!no_link_438</vt:lpstr>
      <vt:lpstr>正規化!no_link_439</vt:lpstr>
      <vt:lpstr>正規化!no_link_44</vt:lpstr>
      <vt:lpstr>正規化!no_link_440</vt:lpstr>
      <vt:lpstr>正規化!no_link_441</vt:lpstr>
      <vt:lpstr>正規化!no_link_442</vt:lpstr>
      <vt:lpstr>正規化!no_link_443</vt:lpstr>
      <vt:lpstr>正規化!no_link_444</vt:lpstr>
      <vt:lpstr>正規化!no_link_445</vt:lpstr>
      <vt:lpstr>正規化!no_link_446</vt:lpstr>
      <vt:lpstr>正規化!no_link_447</vt:lpstr>
      <vt:lpstr>正規化!no_link_448</vt:lpstr>
      <vt:lpstr>正規化!no_link_449</vt:lpstr>
      <vt:lpstr>正規化!no_link_45</vt:lpstr>
      <vt:lpstr>正規化!no_link_450</vt:lpstr>
      <vt:lpstr>正規化!no_link_451</vt:lpstr>
      <vt:lpstr>正規化!no_link_452</vt:lpstr>
      <vt:lpstr>正規化!no_link_453</vt:lpstr>
      <vt:lpstr>正規化!no_link_454</vt:lpstr>
      <vt:lpstr>正規化!no_link_455</vt:lpstr>
      <vt:lpstr>正規化!no_link_456</vt:lpstr>
      <vt:lpstr>正規化!no_link_457</vt:lpstr>
      <vt:lpstr>正規化!no_link_458</vt:lpstr>
      <vt:lpstr>正規化!no_link_459</vt:lpstr>
      <vt:lpstr>正規化!no_link_46</vt:lpstr>
      <vt:lpstr>正規化!no_link_460</vt:lpstr>
      <vt:lpstr>正規化!no_link_461</vt:lpstr>
      <vt:lpstr>正規化!no_link_462</vt:lpstr>
      <vt:lpstr>正規化!no_link_463</vt:lpstr>
      <vt:lpstr>正規化!no_link_464</vt:lpstr>
      <vt:lpstr>正規化!no_link_465</vt:lpstr>
      <vt:lpstr>正規化!no_link_466</vt:lpstr>
      <vt:lpstr>正規化!no_link_467</vt:lpstr>
      <vt:lpstr>正規化!no_link_468</vt:lpstr>
      <vt:lpstr>正規化!no_link_469</vt:lpstr>
      <vt:lpstr>正規化!no_link_47</vt:lpstr>
      <vt:lpstr>正規化!no_link_470</vt:lpstr>
      <vt:lpstr>正規化!no_link_471</vt:lpstr>
      <vt:lpstr>正規化!no_link_472</vt:lpstr>
      <vt:lpstr>正規化!no_link_473</vt:lpstr>
      <vt:lpstr>正規化!no_link_474</vt:lpstr>
      <vt:lpstr>正規化!no_link_475</vt:lpstr>
      <vt:lpstr>正規化!no_link_476</vt:lpstr>
      <vt:lpstr>正規化!no_link_477</vt:lpstr>
      <vt:lpstr>正規化!no_link_478</vt:lpstr>
      <vt:lpstr>正規化!no_link_479</vt:lpstr>
      <vt:lpstr>正規化!no_link_48</vt:lpstr>
      <vt:lpstr>正規化!no_link_480</vt:lpstr>
      <vt:lpstr>正規化!no_link_481</vt:lpstr>
      <vt:lpstr>正規化!no_link_482</vt:lpstr>
      <vt:lpstr>正規化!no_link_483</vt:lpstr>
      <vt:lpstr>正規化!no_link_484</vt:lpstr>
      <vt:lpstr>正規化!no_link_485</vt:lpstr>
      <vt:lpstr>正規化!no_link_486</vt:lpstr>
      <vt:lpstr>正規化!no_link_487</vt:lpstr>
      <vt:lpstr>正規化!no_link_488</vt:lpstr>
      <vt:lpstr>正規化!no_link_489</vt:lpstr>
      <vt:lpstr>正規化!no_link_49</vt:lpstr>
      <vt:lpstr>正規化!no_link_490</vt:lpstr>
      <vt:lpstr>正規化!no_link_491</vt:lpstr>
      <vt:lpstr>正規化!no_link_492</vt:lpstr>
      <vt:lpstr>正規化!no_link_493</vt:lpstr>
      <vt:lpstr>正規化!no_link_494</vt:lpstr>
      <vt:lpstr>正規化!no_link_495</vt:lpstr>
      <vt:lpstr>正規化!no_link_496</vt:lpstr>
      <vt:lpstr>正規化!no_link_497</vt:lpstr>
      <vt:lpstr>正規化!no_link_498</vt:lpstr>
      <vt:lpstr>正規化!no_link_499</vt:lpstr>
      <vt:lpstr>正規化!no_link_5</vt:lpstr>
      <vt:lpstr>正規化!no_link_50</vt:lpstr>
      <vt:lpstr>正規化!no_link_500</vt:lpstr>
      <vt:lpstr>正規化!no_link_501</vt:lpstr>
      <vt:lpstr>正規化!no_link_502</vt:lpstr>
      <vt:lpstr>正規化!no_link_503</vt:lpstr>
      <vt:lpstr>正規化!no_link_504</vt:lpstr>
      <vt:lpstr>正規化!no_link_505</vt:lpstr>
      <vt:lpstr>正規化!no_link_506</vt:lpstr>
      <vt:lpstr>正規化!no_link_507</vt:lpstr>
      <vt:lpstr>正規化!no_link_508</vt:lpstr>
      <vt:lpstr>正規化!no_link_509</vt:lpstr>
      <vt:lpstr>正規化!no_link_51</vt:lpstr>
      <vt:lpstr>正規化!no_link_510</vt:lpstr>
      <vt:lpstr>正規化!no_link_511</vt:lpstr>
      <vt:lpstr>正規化!no_link_512</vt:lpstr>
      <vt:lpstr>正規化!no_link_513</vt:lpstr>
      <vt:lpstr>正規化!no_link_514</vt:lpstr>
      <vt:lpstr>正規化!no_link_515</vt:lpstr>
      <vt:lpstr>正規化!no_link_516</vt:lpstr>
      <vt:lpstr>正規化!no_link_517</vt:lpstr>
      <vt:lpstr>正規化!no_link_518</vt:lpstr>
      <vt:lpstr>正規化!no_link_519</vt:lpstr>
      <vt:lpstr>正規化!no_link_52</vt:lpstr>
      <vt:lpstr>正規化!no_link_520</vt:lpstr>
      <vt:lpstr>正規化!no_link_521</vt:lpstr>
      <vt:lpstr>正規化!no_link_522</vt:lpstr>
      <vt:lpstr>正規化!no_link_523</vt:lpstr>
      <vt:lpstr>正規化!no_link_524</vt:lpstr>
      <vt:lpstr>正規化!no_link_525</vt:lpstr>
      <vt:lpstr>正規化!no_link_526</vt:lpstr>
      <vt:lpstr>正規化!no_link_527</vt:lpstr>
      <vt:lpstr>正規化!no_link_528</vt:lpstr>
      <vt:lpstr>正規化!no_link_529</vt:lpstr>
      <vt:lpstr>正規化!no_link_53</vt:lpstr>
      <vt:lpstr>正規化!no_link_530</vt:lpstr>
      <vt:lpstr>正規化!no_link_531</vt:lpstr>
      <vt:lpstr>正規化!no_link_532</vt:lpstr>
      <vt:lpstr>正規化!no_link_533</vt:lpstr>
      <vt:lpstr>正規化!no_link_534</vt:lpstr>
      <vt:lpstr>正規化!no_link_535</vt:lpstr>
      <vt:lpstr>正規化!no_link_536</vt:lpstr>
      <vt:lpstr>正規化!no_link_537</vt:lpstr>
      <vt:lpstr>正規化!no_link_538</vt:lpstr>
      <vt:lpstr>正規化!no_link_539</vt:lpstr>
      <vt:lpstr>正規化!no_link_54</vt:lpstr>
      <vt:lpstr>正規化!no_link_540</vt:lpstr>
      <vt:lpstr>正規化!no_link_541</vt:lpstr>
      <vt:lpstr>正規化!no_link_542</vt:lpstr>
      <vt:lpstr>正規化!no_link_543</vt:lpstr>
      <vt:lpstr>正規化!no_link_544</vt:lpstr>
      <vt:lpstr>正規化!no_link_545</vt:lpstr>
      <vt:lpstr>正規化!no_link_546</vt:lpstr>
      <vt:lpstr>正規化!no_link_547</vt:lpstr>
      <vt:lpstr>正規化!no_link_548</vt:lpstr>
      <vt:lpstr>正規化!no_link_549</vt:lpstr>
      <vt:lpstr>正規化!no_link_55</vt:lpstr>
      <vt:lpstr>正規化!no_link_550</vt:lpstr>
      <vt:lpstr>正規化!no_link_551</vt:lpstr>
      <vt:lpstr>正規化!no_link_552</vt:lpstr>
      <vt:lpstr>正規化!no_link_553</vt:lpstr>
      <vt:lpstr>正規化!no_link_554</vt:lpstr>
      <vt:lpstr>正規化!no_link_555</vt:lpstr>
      <vt:lpstr>正規化!no_link_556</vt:lpstr>
      <vt:lpstr>正規化!no_link_557</vt:lpstr>
      <vt:lpstr>正規化!no_link_558</vt:lpstr>
      <vt:lpstr>正規化!no_link_559</vt:lpstr>
      <vt:lpstr>正規化!no_link_56</vt:lpstr>
      <vt:lpstr>正規化!no_link_560</vt:lpstr>
      <vt:lpstr>正規化!no_link_561</vt:lpstr>
      <vt:lpstr>正規化!no_link_562</vt:lpstr>
      <vt:lpstr>正規化!no_link_563</vt:lpstr>
      <vt:lpstr>正規化!no_link_564</vt:lpstr>
      <vt:lpstr>正規化!no_link_565</vt:lpstr>
      <vt:lpstr>正規化!no_link_566</vt:lpstr>
      <vt:lpstr>正規化!no_link_567</vt:lpstr>
      <vt:lpstr>正規化!no_link_568</vt:lpstr>
      <vt:lpstr>正規化!no_link_569</vt:lpstr>
      <vt:lpstr>正規化!no_link_57</vt:lpstr>
      <vt:lpstr>正規化!no_link_570</vt:lpstr>
      <vt:lpstr>正規化!no_link_571</vt:lpstr>
      <vt:lpstr>正規化!no_link_572</vt:lpstr>
      <vt:lpstr>正規化!no_link_573</vt:lpstr>
      <vt:lpstr>正規化!no_link_574</vt:lpstr>
      <vt:lpstr>正規化!no_link_575</vt:lpstr>
      <vt:lpstr>正規化!no_link_576</vt:lpstr>
      <vt:lpstr>正規化!no_link_577</vt:lpstr>
      <vt:lpstr>正規化!no_link_578</vt:lpstr>
      <vt:lpstr>正規化!no_link_579</vt:lpstr>
      <vt:lpstr>正規化!no_link_58</vt:lpstr>
      <vt:lpstr>正規化!no_link_580</vt:lpstr>
      <vt:lpstr>正規化!no_link_581</vt:lpstr>
      <vt:lpstr>正規化!no_link_582</vt:lpstr>
      <vt:lpstr>正規化!no_link_583</vt:lpstr>
      <vt:lpstr>正規化!no_link_584</vt:lpstr>
      <vt:lpstr>正規化!no_link_585</vt:lpstr>
      <vt:lpstr>正規化!no_link_586</vt:lpstr>
      <vt:lpstr>正規化!no_link_587</vt:lpstr>
      <vt:lpstr>正規化!no_link_588</vt:lpstr>
      <vt:lpstr>正規化!no_link_589</vt:lpstr>
      <vt:lpstr>正規化!no_link_59</vt:lpstr>
      <vt:lpstr>正規化!no_link_590</vt:lpstr>
      <vt:lpstr>正規化!no_link_591</vt:lpstr>
      <vt:lpstr>正規化!no_link_592</vt:lpstr>
      <vt:lpstr>正規化!no_link_593</vt:lpstr>
      <vt:lpstr>正規化!no_link_594</vt:lpstr>
      <vt:lpstr>正規化!no_link_595</vt:lpstr>
      <vt:lpstr>正規化!no_link_596</vt:lpstr>
      <vt:lpstr>正規化!no_link_597</vt:lpstr>
      <vt:lpstr>正規化!no_link_598</vt:lpstr>
      <vt:lpstr>正規化!no_link_599</vt:lpstr>
      <vt:lpstr>正規化!no_link_6</vt:lpstr>
      <vt:lpstr>正規化!no_link_60</vt:lpstr>
      <vt:lpstr>正規化!no_link_600</vt:lpstr>
      <vt:lpstr>正規化!no_link_601</vt:lpstr>
      <vt:lpstr>正規化!no_link_602</vt:lpstr>
      <vt:lpstr>正規化!no_link_603</vt:lpstr>
      <vt:lpstr>正規化!no_link_604</vt:lpstr>
      <vt:lpstr>正規化!no_link_605</vt:lpstr>
      <vt:lpstr>正規化!no_link_606</vt:lpstr>
      <vt:lpstr>正規化!no_link_607</vt:lpstr>
      <vt:lpstr>正規化!no_link_608</vt:lpstr>
      <vt:lpstr>正規化!no_link_609</vt:lpstr>
      <vt:lpstr>正規化!no_link_61</vt:lpstr>
      <vt:lpstr>正規化!no_link_610</vt:lpstr>
      <vt:lpstr>正規化!no_link_611</vt:lpstr>
      <vt:lpstr>正規化!no_link_612</vt:lpstr>
      <vt:lpstr>正規化!no_link_613</vt:lpstr>
      <vt:lpstr>正規化!no_link_614</vt:lpstr>
      <vt:lpstr>正規化!no_link_615</vt:lpstr>
      <vt:lpstr>正規化!no_link_616</vt:lpstr>
      <vt:lpstr>正規化!no_link_617</vt:lpstr>
      <vt:lpstr>正規化!no_link_618</vt:lpstr>
      <vt:lpstr>正規化!no_link_619</vt:lpstr>
      <vt:lpstr>正規化!no_link_62</vt:lpstr>
      <vt:lpstr>正規化!no_link_620</vt:lpstr>
      <vt:lpstr>正規化!no_link_621</vt:lpstr>
      <vt:lpstr>正規化!no_link_622</vt:lpstr>
      <vt:lpstr>正規化!no_link_623</vt:lpstr>
      <vt:lpstr>正規化!no_link_624</vt:lpstr>
      <vt:lpstr>正規化!no_link_625</vt:lpstr>
      <vt:lpstr>正規化!no_link_626</vt:lpstr>
      <vt:lpstr>正規化!no_link_627</vt:lpstr>
      <vt:lpstr>正規化!no_link_628</vt:lpstr>
      <vt:lpstr>正規化!no_link_629</vt:lpstr>
      <vt:lpstr>正規化!no_link_63</vt:lpstr>
      <vt:lpstr>正規化!no_link_630</vt:lpstr>
      <vt:lpstr>正規化!no_link_631</vt:lpstr>
      <vt:lpstr>正規化!no_link_632</vt:lpstr>
      <vt:lpstr>正規化!no_link_633</vt:lpstr>
      <vt:lpstr>正規化!no_link_634</vt:lpstr>
      <vt:lpstr>正規化!no_link_635</vt:lpstr>
      <vt:lpstr>正規化!no_link_636</vt:lpstr>
      <vt:lpstr>正規化!no_link_637</vt:lpstr>
      <vt:lpstr>正規化!no_link_638</vt:lpstr>
      <vt:lpstr>正規化!no_link_639</vt:lpstr>
      <vt:lpstr>正規化!no_link_64</vt:lpstr>
      <vt:lpstr>正規化!no_link_640</vt:lpstr>
      <vt:lpstr>正規化!no_link_641</vt:lpstr>
      <vt:lpstr>正規化!no_link_642</vt:lpstr>
      <vt:lpstr>正規化!no_link_643</vt:lpstr>
      <vt:lpstr>正規化!no_link_644</vt:lpstr>
      <vt:lpstr>正規化!no_link_645</vt:lpstr>
      <vt:lpstr>正規化!no_link_646</vt:lpstr>
      <vt:lpstr>正規化!no_link_647</vt:lpstr>
      <vt:lpstr>正規化!no_link_648</vt:lpstr>
      <vt:lpstr>正規化!no_link_649</vt:lpstr>
      <vt:lpstr>正規化!no_link_65</vt:lpstr>
      <vt:lpstr>正規化!no_link_650</vt:lpstr>
      <vt:lpstr>正規化!no_link_651</vt:lpstr>
      <vt:lpstr>正規化!no_link_652</vt:lpstr>
      <vt:lpstr>正規化!no_link_653</vt:lpstr>
      <vt:lpstr>正規化!no_link_654</vt:lpstr>
      <vt:lpstr>正規化!no_link_655</vt:lpstr>
      <vt:lpstr>正規化!no_link_656</vt:lpstr>
      <vt:lpstr>正規化!no_link_657</vt:lpstr>
      <vt:lpstr>正規化!no_link_658</vt:lpstr>
      <vt:lpstr>正規化!no_link_659</vt:lpstr>
      <vt:lpstr>正規化!no_link_66</vt:lpstr>
      <vt:lpstr>正規化!no_link_660</vt:lpstr>
      <vt:lpstr>正規化!no_link_661</vt:lpstr>
      <vt:lpstr>正規化!no_link_662</vt:lpstr>
      <vt:lpstr>正規化!no_link_663</vt:lpstr>
      <vt:lpstr>正規化!no_link_664</vt:lpstr>
      <vt:lpstr>正規化!no_link_665</vt:lpstr>
      <vt:lpstr>正規化!no_link_666</vt:lpstr>
      <vt:lpstr>正規化!no_link_667</vt:lpstr>
      <vt:lpstr>正規化!no_link_668</vt:lpstr>
      <vt:lpstr>正規化!no_link_669</vt:lpstr>
      <vt:lpstr>正規化!no_link_67</vt:lpstr>
      <vt:lpstr>正規化!no_link_670</vt:lpstr>
      <vt:lpstr>正規化!no_link_671</vt:lpstr>
      <vt:lpstr>正規化!no_link_672</vt:lpstr>
      <vt:lpstr>正規化!no_link_673</vt:lpstr>
      <vt:lpstr>正規化!no_link_674</vt:lpstr>
      <vt:lpstr>正規化!no_link_675</vt:lpstr>
      <vt:lpstr>正規化!no_link_676</vt:lpstr>
      <vt:lpstr>正規化!no_link_677</vt:lpstr>
      <vt:lpstr>正規化!no_link_678</vt:lpstr>
      <vt:lpstr>正規化!no_link_679</vt:lpstr>
      <vt:lpstr>正規化!no_link_68</vt:lpstr>
      <vt:lpstr>正規化!no_link_680</vt:lpstr>
      <vt:lpstr>正規化!no_link_681</vt:lpstr>
      <vt:lpstr>正規化!no_link_682</vt:lpstr>
      <vt:lpstr>正規化!no_link_683</vt:lpstr>
      <vt:lpstr>正規化!no_link_684</vt:lpstr>
      <vt:lpstr>正規化!no_link_685</vt:lpstr>
      <vt:lpstr>正規化!no_link_686</vt:lpstr>
      <vt:lpstr>正規化!no_link_687</vt:lpstr>
      <vt:lpstr>正規化!no_link_688</vt:lpstr>
      <vt:lpstr>正規化!no_link_689</vt:lpstr>
      <vt:lpstr>正規化!no_link_69</vt:lpstr>
      <vt:lpstr>正規化!no_link_690</vt:lpstr>
      <vt:lpstr>正規化!no_link_691</vt:lpstr>
      <vt:lpstr>正規化!no_link_692</vt:lpstr>
      <vt:lpstr>正規化!no_link_693</vt:lpstr>
      <vt:lpstr>正規化!no_link_694</vt:lpstr>
      <vt:lpstr>正規化!no_link_695</vt:lpstr>
      <vt:lpstr>正規化!no_link_696</vt:lpstr>
      <vt:lpstr>正規化!no_link_697</vt:lpstr>
      <vt:lpstr>正規化!no_link_698</vt:lpstr>
      <vt:lpstr>正規化!no_link_699</vt:lpstr>
      <vt:lpstr>正規化!no_link_7</vt:lpstr>
      <vt:lpstr>正規化!no_link_70</vt:lpstr>
      <vt:lpstr>正規化!no_link_700</vt:lpstr>
      <vt:lpstr>正規化!no_link_701</vt:lpstr>
      <vt:lpstr>正規化!no_link_702</vt:lpstr>
      <vt:lpstr>正規化!no_link_703</vt:lpstr>
      <vt:lpstr>正規化!no_link_704</vt:lpstr>
      <vt:lpstr>正規化!no_link_705</vt:lpstr>
      <vt:lpstr>正規化!no_link_706</vt:lpstr>
      <vt:lpstr>正規化!no_link_707</vt:lpstr>
      <vt:lpstr>正規化!no_link_708</vt:lpstr>
      <vt:lpstr>正規化!no_link_709</vt:lpstr>
      <vt:lpstr>正規化!no_link_71</vt:lpstr>
      <vt:lpstr>正規化!no_link_710</vt:lpstr>
      <vt:lpstr>正規化!no_link_711</vt:lpstr>
      <vt:lpstr>正規化!no_link_712</vt:lpstr>
      <vt:lpstr>正規化!no_link_713</vt:lpstr>
      <vt:lpstr>正規化!no_link_714</vt:lpstr>
      <vt:lpstr>正規化!no_link_715</vt:lpstr>
      <vt:lpstr>正規化!no_link_716</vt:lpstr>
      <vt:lpstr>正規化!no_link_717</vt:lpstr>
      <vt:lpstr>正規化!no_link_718</vt:lpstr>
      <vt:lpstr>正規化!no_link_719</vt:lpstr>
      <vt:lpstr>正規化!no_link_72</vt:lpstr>
      <vt:lpstr>正規化!no_link_720</vt:lpstr>
      <vt:lpstr>正規化!no_link_721</vt:lpstr>
      <vt:lpstr>正規化!no_link_722</vt:lpstr>
      <vt:lpstr>正規化!no_link_723</vt:lpstr>
      <vt:lpstr>正規化!no_link_724</vt:lpstr>
      <vt:lpstr>正規化!no_link_725</vt:lpstr>
      <vt:lpstr>正規化!no_link_726</vt:lpstr>
      <vt:lpstr>正規化!no_link_727</vt:lpstr>
      <vt:lpstr>正規化!no_link_728</vt:lpstr>
      <vt:lpstr>正規化!no_link_729</vt:lpstr>
      <vt:lpstr>正規化!no_link_73</vt:lpstr>
      <vt:lpstr>正規化!no_link_730</vt:lpstr>
      <vt:lpstr>正規化!no_link_731</vt:lpstr>
      <vt:lpstr>正規化!no_link_732</vt:lpstr>
      <vt:lpstr>正規化!no_link_733</vt:lpstr>
      <vt:lpstr>正規化!no_link_734</vt:lpstr>
      <vt:lpstr>正規化!no_link_735</vt:lpstr>
      <vt:lpstr>正規化!no_link_736</vt:lpstr>
      <vt:lpstr>正規化!no_link_737</vt:lpstr>
      <vt:lpstr>正規化!no_link_738</vt:lpstr>
      <vt:lpstr>正規化!no_link_739</vt:lpstr>
      <vt:lpstr>正規化!no_link_74</vt:lpstr>
      <vt:lpstr>正規化!no_link_740</vt:lpstr>
      <vt:lpstr>正規化!no_link_741</vt:lpstr>
      <vt:lpstr>正規化!no_link_742</vt:lpstr>
      <vt:lpstr>正規化!no_link_743</vt:lpstr>
      <vt:lpstr>正規化!no_link_744</vt:lpstr>
      <vt:lpstr>正規化!no_link_745</vt:lpstr>
      <vt:lpstr>正規化!no_link_746</vt:lpstr>
      <vt:lpstr>正規化!no_link_747</vt:lpstr>
      <vt:lpstr>正規化!no_link_748</vt:lpstr>
      <vt:lpstr>正規化!no_link_749</vt:lpstr>
      <vt:lpstr>正規化!no_link_75</vt:lpstr>
      <vt:lpstr>正規化!no_link_750</vt:lpstr>
      <vt:lpstr>正規化!no_link_751</vt:lpstr>
      <vt:lpstr>正規化!no_link_752</vt:lpstr>
      <vt:lpstr>正規化!no_link_753</vt:lpstr>
      <vt:lpstr>正規化!no_link_754</vt:lpstr>
      <vt:lpstr>正規化!no_link_755</vt:lpstr>
      <vt:lpstr>正規化!no_link_756</vt:lpstr>
      <vt:lpstr>正規化!no_link_757</vt:lpstr>
      <vt:lpstr>正規化!no_link_758</vt:lpstr>
      <vt:lpstr>正規化!no_link_759</vt:lpstr>
      <vt:lpstr>正規化!no_link_76</vt:lpstr>
      <vt:lpstr>正規化!no_link_760</vt:lpstr>
      <vt:lpstr>正規化!no_link_761</vt:lpstr>
      <vt:lpstr>正規化!no_link_762</vt:lpstr>
      <vt:lpstr>正規化!no_link_763</vt:lpstr>
      <vt:lpstr>正規化!no_link_764</vt:lpstr>
      <vt:lpstr>正規化!no_link_765</vt:lpstr>
      <vt:lpstr>正規化!no_link_766</vt:lpstr>
      <vt:lpstr>正規化!no_link_767</vt:lpstr>
      <vt:lpstr>正規化!no_link_768</vt:lpstr>
      <vt:lpstr>正規化!no_link_769</vt:lpstr>
      <vt:lpstr>正規化!no_link_77</vt:lpstr>
      <vt:lpstr>正規化!no_link_770</vt:lpstr>
      <vt:lpstr>正規化!no_link_771</vt:lpstr>
      <vt:lpstr>正規化!no_link_772</vt:lpstr>
      <vt:lpstr>正規化!no_link_773</vt:lpstr>
      <vt:lpstr>正規化!no_link_774</vt:lpstr>
      <vt:lpstr>正規化!no_link_775</vt:lpstr>
      <vt:lpstr>正規化!no_link_776</vt:lpstr>
      <vt:lpstr>正規化!no_link_777</vt:lpstr>
      <vt:lpstr>正規化!no_link_778</vt:lpstr>
      <vt:lpstr>正規化!no_link_779</vt:lpstr>
      <vt:lpstr>正規化!no_link_78</vt:lpstr>
      <vt:lpstr>正規化!no_link_780</vt:lpstr>
      <vt:lpstr>正規化!no_link_781</vt:lpstr>
      <vt:lpstr>正規化!no_link_782</vt:lpstr>
      <vt:lpstr>正規化!no_link_783</vt:lpstr>
      <vt:lpstr>正規化!no_link_784</vt:lpstr>
      <vt:lpstr>正規化!no_link_785</vt:lpstr>
      <vt:lpstr>正規化!no_link_786</vt:lpstr>
      <vt:lpstr>正規化!no_link_787</vt:lpstr>
      <vt:lpstr>正規化!no_link_788</vt:lpstr>
      <vt:lpstr>正規化!no_link_789</vt:lpstr>
      <vt:lpstr>正規化!no_link_79</vt:lpstr>
      <vt:lpstr>正規化!no_link_790</vt:lpstr>
      <vt:lpstr>正規化!no_link_791</vt:lpstr>
      <vt:lpstr>正規化!no_link_792</vt:lpstr>
      <vt:lpstr>正規化!no_link_793</vt:lpstr>
      <vt:lpstr>正規化!no_link_794</vt:lpstr>
      <vt:lpstr>正規化!no_link_795</vt:lpstr>
      <vt:lpstr>正規化!no_link_796</vt:lpstr>
      <vt:lpstr>正規化!no_link_797</vt:lpstr>
      <vt:lpstr>正規化!no_link_798</vt:lpstr>
      <vt:lpstr>正規化!no_link_799</vt:lpstr>
      <vt:lpstr>正規化!no_link_8</vt:lpstr>
      <vt:lpstr>正規化!no_link_80</vt:lpstr>
      <vt:lpstr>正規化!no_link_800</vt:lpstr>
      <vt:lpstr>正規化!no_link_801</vt:lpstr>
      <vt:lpstr>正規化!no_link_802</vt:lpstr>
      <vt:lpstr>正規化!no_link_803</vt:lpstr>
      <vt:lpstr>正規化!no_link_81</vt:lpstr>
      <vt:lpstr>正規化!no_link_82</vt:lpstr>
      <vt:lpstr>正規化!no_link_83</vt:lpstr>
      <vt:lpstr>正規化!no_link_84</vt:lpstr>
      <vt:lpstr>正規化!no_link_85</vt:lpstr>
      <vt:lpstr>正規化!no_link_86</vt:lpstr>
      <vt:lpstr>正規化!no_link_87</vt:lpstr>
      <vt:lpstr>正規化!no_link_88</vt:lpstr>
      <vt:lpstr>正規化!no_link_89</vt:lpstr>
      <vt:lpstr>正規化!no_link_9</vt:lpstr>
      <vt:lpstr>正規化!no_link_90</vt:lpstr>
      <vt:lpstr>正規化!no_link_91</vt:lpstr>
      <vt:lpstr>正規化!no_link_92</vt:lpstr>
      <vt:lpstr>正規化!no_link_93</vt:lpstr>
      <vt:lpstr>正規化!no_link_94</vt:lpstr>
      <vt:lpstr>正規化!no_link_95</vt:lpstr>
      <vt:lpstr>正規化!no_link_96</vt:lpstr>
      <vt:lpstr>正規化!no_link_97</vt:lpstr>
      <vt:lpstr>正規化!no_link_98</vt:lpstr>
      <vt:lpstr>正規化!no_link_99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松岡　徹平</dc:creator>
  <cp:lastModifiedBy>松岡　徹平</cp:lastModifiedBy>
  <cp:lastPrinted>2025-10-23T04:03:02Z</cp:lastPrinted>
  <dcterms:created xsi:type="dcterms:W3CDTF">2015-06-05T18:19:34Z</dcterms:created>
  <dcterms:modified xsi:type="dcterms:W3CDTF">2026-02-02T01:11:53Z</dcterms:modified>
</cp:coreProperties>
</file>