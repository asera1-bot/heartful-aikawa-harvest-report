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企業月間生産量（ベビーリーフ）" sheetId="1" state="visible" r:id="rId1"/>
    <sheet name="企業月間生産量（ベビーリーフ以外）" sheetId="2" state="visible" r:id="rId2"/>
    <sheet name="企業別月間生産量 (加工用）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;[Red]\-#,##0.0"/>
  </numFmts>
  <fonts count="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0" fontId="0" fillId="3" borderId="4" applyAlignment="1" pivotButton="0" quotePrefix="0" xfId="0">
      <alignment vertical="center"/>
    </xf>
    <xf numFmtId="40" fontId="0" fillId="3" borderId="7" applyAlignment="1" pivotButton="0" quotePrefix="0" xfId="0">
      <alignment vertical="center"/>
    </xf>
    <xf numFmtId="40" fontId="0" fillId="3" borderId="12" applyAlignment="1" pivotButton="0" quotePrefix="0" xfId="0">
      <alignment vertical="center"/>
    </xf>
    <xf numFmtId="40" fontId="0" fillId="3" borderId="10" applyAlignment="1" pivotButton="0" quotePrefix="0" xfId="0">
      <alignment vertical="center"/>
    </xf>
    <xf numFmtId="40" fontId="0" fillId="0" borderId="1" applyAlignment="1" pivotButton="0" quotePrefix="0" xfId="0">
      <alignment vertical="center"/>
    </xf>
    <xf numFmtId="40" fontId="0" fillId="0" borderId="6" applyAlignment="1" pivotButton="0" quotePrefix="0" xfId="0">
      <alignment vertical="center"/>
    </xf>
    <xf numFmtId="40" fontId="0" fillId="0" borderId="13" applyAlignment="1" pivotButton="0" quotePrefix="0" xfId="0">
      <alignment vertical="center"/>
    </xf>
    <xf numFmtId="40" fontId="0" fillId="0" borderId="9" applyAlignment="1" pivotButton="0" quotePrefix="0" xfId="0">
      <alignment vertical="center"/>
    </xf>
    <xf numFmtId="0" fontId="0" fillId="0" borderId="15" applyAlignment="1" pivotButton="0" quotePrefix="0" xfId="0">
      <alignment vertical="center" shrinkToFit="1"/>
    </xf>
    <xf numFmtId="0" fontId="0" fillId="0" borderId="16" applyAlignment="1" pivotButton="0" quotePrefix="0" xfId="0">
      <alignment vertical="center" shrinkToFit="1"/>
    </xf>
    <xf numFmtId="0" fontId="0" fillId="0" borderId="17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40" fontId="0" fillId="0" borderId="5" applyAlignment="1" pivotButton="0" quotePrefix="0" xfId="0">
      <alignment vertical="center"/>
    </xf>
    <xf numFmtId="40" fontId="0" fillId="0" borderId="14" applyAlignment="1" pivotButton="0" quotePrefix="0" xfId="0">
      <alignment vertical="center"/>
    </xf>
    <xf numFmtId="40" fontId="0" fillId="0" borderId="1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40" fontId="0" fillId="2" borderId="1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vertical="center"/>
    </xf>
    <xf numFmtId="40" fontId="0" fillId="2" borderId="6" applyAlignment="1" pivotButton="0" quotePrefix="0" xfId="0">
      <alignment vertical="center"/>
    </xf>
    <xf numFmtId="40" fontId="0" fillId="0" borderId="8" applyAlignment="1" pivotButton="0" quotePrefix="0" xfId="0">
      <alignment vertical="center"/>
    </xf>
    <xf numFmtId="40" fontId="0" fillId="2" borderId="9" applyAlignment="1" pivotButton="0" quotePrefix="0" xfId="0">
      <alignment vertical="center"/>
    </xf>
    <xf numFmtId="40" fontId="0" fillId="2" borderId="13" applyAlignment="1" pivotButton="0" quotePrefix="0" xfId="0">
      <alignment vertical="center"/>
    </xf>
    <xf numFmtId="0" fontId="0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40" fontId="0" fillId="0" borderId="12" applyAlignment="1" pivotButton="0" quotePrefix="0" xfId="0">
      <alignment vertical="center"/>
    </xf>
    <xf numFmtId="40" fontId="0" fillId="0" borderId="10" applyAlignment="1" pivotButton="0" quotePrefix="0" xfId="0">
      <alignment vertical="center"/>
    </xf>
    <xf numFmtId="40" fontId="0" fillId="0" borderId="4" applyAlignment="1" pivotButton="0" quotePrefix="0" xfId="0">
      <alignment vertical="center"/>
    </xf>
    <xf numFmtId="40" fontId="0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11" applyAlignment="1" pivotButton="0" quotePrefix="0" xfId="0">
      <alignment vertical="center"/>
    </xf>
    <xf numFmtId="40" fontId="0" fillId="3" borderId="1" applyAlignment="1" pivotButton="0" quotePrefix="0" xfId="0">
      <alignment vertical="center"/>
    </xf>
    <xf numFmtId="40" fontId="0" fillId="4" borderId="1" applyAlignment="1" pivotButton="0" quotePrefix="0" xfId="0">
      <alignment vertical="center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6" pivotButton="0" quotePrefix="0" xfId="0"/>
    <xf numFmtId="0" fontId="3" fillId="0" borderId="4" applyAlignment="1" pivotButton="0" quotePrefix="0" xfId="0">
      <alignment horizontal="center" vertical="center" wrapText="1" shrinkToFit="1"/>
    </xf>
    <xf numFmtId="0" fontId="0" fillId="0" borderId="24" pivotButton="0" quotePrefix="0" xfId="0"/>
    <xf numFmtId="0" fontId="0" fillId="0" borderId="27" pivotButton="0" quotePrefix="0" xfId="0"/>
    <xf numFmtId="0" fontId="0" fillId="0" borderId="4" applyAlignment="1" pivotButton="0" quotePrefix="0" xfId="0">
      <alignment horizontal="center" vertical="center" wrapText="1" shrinkToFit="1"/>
    </xf>
    <xf numFmtId="0" fontId="5" fillId="0" borderId="4" applyAlignment="1" pivotButton="0" quotePrefix="0" xfId="0">
      <alignment horizontal="center" vertical="center" wrapText="1" shrinkToFit="1"/>
    </xf>
    <xf numFmtId="0" fontId="0" fillId="0" borderId="2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 shrinkToFit="1"/>
    </xf>
    <xf numFmtId="0" fontId="0" fillId="0" borderId="24" applyAlignment="1" pivotButton="0" quotePrefix="0" xfId="0">
      <alignment horizontal="center" vertical="center" wrapText="1" shrinkToFit="1"/>
    </xf>
    <xf numFmtId="0" fontId="0" fillId="0" borderId="25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horizontal="center" vertical="center" wrapText="1" shrinkToFit="1"/>
    </xf>
    <xf numFmtId="0" fontId="0" fillId="0" borderId="25" pivotButton="0" quotePrefix="0" xfId="0"/>
    <xf numFmtId="164" fontId="0" fillId="0" borderId="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0" fontId="0" fillId="0" borderId="18" applyAlignment="1" pivotButton="0" quotePrefix="0" xfId="0">
      <alignment horizontal="center" vertical="center"/>
    </xf>
    <xf numFmtId="0" fontId="0" fillId="0" borderId="3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4000"/>
  <sheetViews>
    <sheetView tabSelected="1" zoomScale="54" zoomScaleNormal="100" workbookViewId="0">
      <pane xSplit="3" ySplit="8" topLeftCell="D9" activePane="bottomRight" state="frozen"/>
      <selection pane="topRight" activeCell="C1" sqref="C1"/>
      <selection pane="bottomLeft" activeCell="A5" sqref="A5"/>
      <selection pane="bottomRight" activeCell="C10" sqref="C10"/>
    </sheetView>
  </sheetViews>
  <sheetFormatPr baseColWidth="8" defaultRowHeight="13"/>
  <cols>
    <col width="5.26953125" customWidth="1" style="43" min="1" max="1"/>
    <col width="21" customWidth="1" style="43" min="2" max="2"/>
    <col width="9" bestFit="1" customWidth="1" style="43" min="3" max="3"/>
    <col width="10.08984375" bestFit="1" customWidth="1" style="43" min="18" max="18"/>
    <col width="35.7265625" bestFit="1" customWidth="1" style="43" min="19" max="19"/>
  </cols>
  <sheetData>
    <row r="1" ht="16.5" customHeight="1" s="43">
      <c r="A1" s="1" t="inlineStr">
        <is>
          <t>■ベビーリーフ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7" customHeight="1" s="43" thickBot="1">
      <c r="A2" s="1" t="n"/>
      <c r="G2" s="1" t="n"/>
      <c r="S2" s="39" t="n"/>
    </row>
    <row r="3" ht="18" customHeight="1" s="43">
      <c r="A3" s="44" t="n"/>
      <c r="B3" s="55" t="inlineStr">
        <is>
          <t>KPI値</t>
        </is>
      </c>
      <c r="C3" s="32" t="inlineStr">
        <is>
          <t>目標</t>
        </is>
      </c>
      <c r="D3" s="61" t="n"/>
      <c r="E3" s="61" t="n"/>
      <c r="F3" s="61" t="n"/>
      <c r="G3" s="61" t="n"/>
      <c r="H3" s="61" t="n"/>
      <c r="I3" s="62" t="n"/>
      <c r="J3" s="35">
        <f>SUM(D3:I3)</f>
        <v/>
      </c>
      <c r="K3" s="36" t="n"/>
      <c r="L3" s="37" t="n"/>
      <c r="M3" s="37" t="n"/>
      <c r="N3" s="37" t="n"/>
      <c r="O3" s="37" t="n"/>
      <c r="P3" s="38" t="n"/>
      <c r="Q3" s="35">
        <f>SUM(K3:P3)</f>
        <v/>
      </c>
      <c r="R3" s="35">
        <f>J3+Q3</f>
        <v/>
      </c>
      <c r="S3" s="16" t="n"/>
    </row>
    <row r="4" ht="18" customHeight="1" s="43">
      <c r="A4" s="45" t="n"/>
      <c r="B4" s="48" t="n"/>
      <c r="C4" s="7" t="inlineStr">
        <is>
          <t>実績</t>
        </is>
      </c>
      <c r="D4" s="12">
        <f>D106/D108</f>
        <v/>
      </c>
      <c r="E4" s="12">
        <f>E106/E108</f>
        <v/>
      </c>
      <c r="F4" s="12">
        <f>F106/F108</f>
        <v/>
      </c>
      <c r="G4" s="12">
        <f>G106/G108</f>
        <v/>
      </c>
      <c r="H4" s="12">
        <f>H106/H108</f>
        <v/>
      </c>
      <c r="I4" s="13">
        <f>I106/I108</f>
        <v/>
      </c>
      <c r="J4" s="14">
        <f>SUM(D4:I4)</f>
        <v/>
      </c>
      <c r="K4" s="15">
        <f>K106/K108</f>
        <v/>
      </c>
      <c r="L4" s="12">
        <f>L106/L108</f>
        <v/>
      </c>
      <c r="M4" s="12">
        <f>M106/M108</f>
        <v/>
      </c>
      <c r="N4" s="12">
        <f>N106/N108</f>
        <v/>
      </c>
      <c r="O4" s="12">
        <f>O106/O108</f>
        <v/>
      </c>
      <c r="P4" s="13">
        <f>P106/P108</f>
        <v/>
      </c>
      <c r="Q4" s="14">
        <f>SUM(K4:P4)</f>
        <v/>
      </c>
      <c r="R4" s="14">
        <f>J4+Q4</f>
        <v/>
      </c>
      <c r="S4" s="17" t="n"/>
    </row>
    <row r="5" ht="18" customHeight="1" s="43" thickBot="1">
      <c r="A5" s="46" t="n"/>
      <c r="B5" s="49" t="n"/>
      <c r="C5" s="25" t="inlineStr">
        <is>
          <t>差</t>
        </is>
      </c>
      <c r="D5" s="20">
        <f>D4-D3</f>
        <v/>
      </c>
      <c r="E5" s="20">
        <f>E4-E3</f>
        <v/>
      </c>
      <c r="F5" s="20">
        <f>F4-F3</f>
        <v/>
      </c>
      <c r="G5" s="20">
        <f>G4-G3</f>
        <v/>
      </c>
      <c r="H5" s="20">
        <f>H4-H3</f>
        <v/>
      </c>
      <c r="I5" s="28">
        <f>I4-I3</f>
        <v/>
      </c>
      <c r="J5" s="21">
        <f>J4-J3</f>
        <v/>
      </c>
      <c r="K5" s="40">
        <f>K4-K3</f>
        <v/>
      </c>
      <c r="L5" s="20">
        <f>L4-L3</f>
        <v/>
      </c>
      <c r="M5" s="20">
        <f>M4-M3</f>
        <v/>
      </c>
      <c r="N5" s="20">
        <f>N4-N3</f>
        <v/>
      </c>
      <c r="O5" s="20">
        <f>O4-O3</f>
        <v/>
      </c>
      <c r="P5" s="28">
        <f>P4-P3</f>
        <v/>
      </c>
      <c r="Q5" s="21">
        <f>Q4-Q3</f>
        <v/>
      </c>
      <c r="R5" s="21">
        <f>R4-R3</f>
        <v/>
      </c>
      <c r="S5" s="18" t="n"/>
    </row>
    <row r="6" ht="13.5" customHeight="1" s="43">
      <c r="B6" s="1" t="n"/>
      <c r="G6" s="1" t="n"/>
      <c r="S6" s="39" t="n"/>
    </row>
    <row r="7" ht="13.5" customHeight="1" s="43" thickBot="1">
      <c r="K7" s="19" t="n"/>
      <c r="S7" s="39" t="inlineStr">
        <is>
          <t>（単位：㎏）</t>
        </is>
      </c>
    </row>
    <row r="8" ht="27" customHeight="1" s="43" thickBot="1">
      <c r="A8" s="26" t="n"/>
      <c r="B8" s="2" t="inlineStr">
        <is>
          <t>企業名</t>
        </is>
      </c>
      <c r="C8" s="2" t="inlineStr">
        <is>
          <t>期</t>
        </is>
      </c>
      <c r="D8" s="2" t="inlineStr">
        <is>
          <t>10月</t>
        </is>
      </c>
      <c r="E8" s="2" t="inlineStr">
        <is>
          <t>11月</t>
        </is>
      </c>
      <c r="F8" s="2" t="inlineStr">
        <is>
          <t>12月</t>
        </is>
      </c>
      <c r="G8" s="2" t="inlineStr">
        <is>
          <t>1月</t>
        </is>
      </c>
      <c r="H8" s="2" t="inlineStr">
        <is>
          <t>2月</t>
        </is>
      </c>
      <c r="I8" s="3" t="inlineStr">
        <is>
          <t>3月</t>
        </is>
      </c>
      <c r="J8" s="4" t="inlineStr">
        <is>
          <t>上期集計</t>
        </is>
      </c>
      <c r="K8" s="5" t="inlineStr">
        <is>
          <t>4月</t>
        </is>
      </c>
      <c r="L8" s="2" t="inlineStr">
        <is>
          <t>5月</t>
        </is>
      </c>
      <c r="M8" s="2" t="inlineStr">
        <is>
          <t>6月</t>
        </is>
      </c>
      <c r="N8" s="2" t="inlineStr">
        <is>
          <t>7月</t>
        </is>
      </c>
      <c r="O8" s="2" t="inlineStr">
        <is>
          <t>8月</t>
        </is>
      </c>
      <c r="P8" s="3" t="inlineStr">
        <is>
          <t>9月</t>
        </is>
      </c>
      <c r="Q8" s="4" t="inlineStr">
        <is>
          <t>下期集計</t>
        </is>
      </c>
      <c r="R8" s="4" t="inlineStr">
        <is>
          <t>合　計</t>
        </is>
      </c>
      <c r="S8" s="6" t="inlineStr">
        <is>
          <t>備考</t>
        </is>
      </c>
    </row>
    <row r="9" ht="18" customHeight="1" s="43">
      <c r="A9" s="63" t="n">
        <v>1</v>
      </c>
      <c r="B9" s="59" t="inlineStr">
        <is>
          <t>牧野フライス</t>
        </is>
      </c>
      <c r="C9" s="31" t="inlineStr">
        <is>
          <t>58期</t>
        </is>
      </c>
      <c r="D9" s="8" t="n"/>
      <c r="E9" s="8" t="n"/>
      <c r="F9" s="8" t="n"/>
      <c r="G9" s="8" t="n"/>
      <c r="H9" s="8" t="n"/>
      <c r="I9" s="9" t="n"/>
      <c r="J9" s="10">
        <f>SUM(D9:I9)</f>
        <v/>
      </c>
      <c r="K9" s="11" t="n"/>
      <c r="L9" s="8" t="n"/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3">
      <c r="A10" s="45" t="n"/>
      <c r="B10" s="48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3">
      <c r="A11" s="45" t="n"/>
      <c r="B11" s="48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 t="n">
        <v>3.64</v>
      </c>
      <c r="H11" s="24">
        <f>H10-H9</f>
        <v/>
      </c>
      <c r="I11" s="27">
        <f>I10-I9</f>
        <v/>
      </c>
      <c r="J11" s="30" t="n">
        <v>3.64</v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 t="n">
        <v>0</v>
      </c>
      <c r="R11" s="30" t="n">
        <v>3.64</v>
      </c>
      <c r="S11" s="17" t="n"/>
    </row>
    <row r="12" ht="18" customHeight="1" s="43" thickBot="1">
      <c r="A12" s="64" t="n"/>
      <c r="B12" s="60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3">
      <c r="A13" s="44" t="n">
        <v>2</v>
      </c>
      <c r="B13" s="50" t="inlineStr">
        <is>
          <t>日本ファブテック</t>
        </is>
      </c>
      <c r="C13" s="31" t="inlineStr">
        <is>
          <t>58期</t>
        </is>
      </c>
      <c r="D13" s="8" t="n"/>
      <c r="E13" s="8" t="n"/>
      <c r="F13" s="8" t="n"/>
      <c r="G13" s="8" t="n">
        <v>3.02</v>
      </c>
      <c r="H13" s="8" t="n"/>
      <c r="I13" s="9" t="n"/>
      <c r="J13" s="10" t="n">
        <v>3.02</v>
      </c>
      <c r="K13" s="11" t="n"/>
      <c r="L13" s="8" t="n"/>
      <c r="M13" s="8" t="n"/>
      <c r="N13" s="8" t="n"/>
      <c r="O13" s="8" t="n"/>
      <c r="P13" s="9" t="n"/>
      <c r="Q13" s="10" t="n">
        <v>0</v>
      </c>
      <c r="R13" s="10" t="n">
        <v>3.02</v>
      </c>
      <c r="S13" s="16" t="n"/>
    </row>
    <row r="14" ht="18" customHeight="1" s="43">
      <c r="A14" s="45" t="n"/>
      <c r="B14" s="48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3">
      <c r="A15" s="45" t="n"/>
      <c r="B15" s="48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3" thickBot="1">
      <c r="A16" s="46" t="n"/>
      <c r="B16" s="49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3">
      <c r="A17" s="44" t="n">
        <v>3</v>
      </c>
      <c r="B17" s="50" t="inlineStr">
        <is>
          <t>東レ</t>
        </is>
      </c>
      <c r="C17" s="31" t="inlineStr">
        <is>
          <t>58期</t>
        </is>
      </c>
      <c r="D17" s="8" t="n"/>
      <c r="E17" s="8" t="n"/>
      <c r="F17" s="8" t="n"/>
      <c r="G17" s="8" t="n">
        <v>33.46</v>
      </c>
      <c r="H17" s="8" t="n"/>
      <c r="I17" s="9" t="n"/>
      <c r="J17" s="10" t="n">
        <v>33.46</v>
      </c>
      <c r="K17" s="11" t="n"/>
      <c r="L17" s="8" t="n"/>
      <c r="M17" s="8" t="n"/>
      <c r="N17" s="8" t="n"/>
      <c r="O17" s="8" t="n"/>
      <c r="P17" s="9" t="n"/>
      <c r="Q17" s="10" t="n">
        <v>0</v>
      </c>
      <c r="R17" s="10" t="n">
        <v>33.46</v>
      </c>
      <c r="S17" s="16" t="n"/>
    </row>
    <row r="18" ht="18" customHeight="1" s="43">
      <c r="A18" s="45" t="n"/>
      <c r="B18" s="48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3">
      <c r="A19" s="45" t="n"/>
      <c r="B19" s="48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3" thickBot="1">
      <c r="A20" s="46" t="n"/>
      <c r="B20" s="49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3">
      <c r="A21" s="44" t="n">
        <v>4</v>
      </c>
      <c r="B21" s="51" t="inlineStr">
        <is>
          <t>日本ロレアル</t>
        </is>
      </c>
      <c r="C21" s="31" t="inlineStr">
        <is>
          <t>58期</t>
        </is>
      </c>
      <c r="D21" s="8" t="n"/>
      <c r="E21" s="8" t="n"/>
      <c r="F21" s="8" t="n"/>
      <c r="G21" s="8" t="n">
        <v>4.98</v>
      </c>
      <c r="H21" s="8" t="n"/>
      <c r="I21" s="9" t="n"/>
      <c r="J21" s="10" t="n">
        <v>4.98</v>
      </c>
      <c r="K21" s="11" t="n"/>
      <c r="L21" s="8" t="n"/>
      <c r="M21" s="8" t="n"/>
      <c r="N21" s="8" t="n"/>
      <c r="O21" s="8" t="n"/>
      <c r="P21" s="9" t="n"/>
      <c r="Q21" s="10" t="n">
        <v>0</v>
      </c>
      <c r="R21" s="10" t="n">
        <v>4.98</v>
      </c>
      <c r="S21" s="16" t="n"/>
    </row>
    <row r="22" ht="18" customHeight="1" s="43">
      <c r="A22" s="45" t="n"/>
      <c r="B22" s="48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3">
      <c r="A23" s="45" t="n"/>
      <c r="B23" s="48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3" thickBot="1">
      <c r="A24" s="46" t="n"/>
      <c r="B24" s="49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3">
      <c r="A25" s="44" t="n">
        <v>5</v>
      </c>
      <c r="B25" s="51" t="inlineStr">
        <is>
          <t>サンセイランディック</t>
        </is>
      </c>
      <c r="C25" s="31" t="inlineStr">
        <is>
          <t>58期</t>
        </is>
      </c>
      <c r="D25" s="8" t="n"/>
      <c r="E25" s="8" t="n"/>
      <c r="F25" s="8" t="n"/>
      <c r="G25" s="8" t="n">
        <v>3.28</v>
      </c>
      <c r="H25" s="8" t="n"/>
      <c r="I25" s="9" t="n"/>
      <c r="J25" s="10" t="n">
        <v>3.28</v>
      </c>
      <c r="K25" s="11" t="n"/>
      <c r="L25" s="8" t="n"/>
      <c r="M25" s="8" t="n"/>
      <c r="N25" s="8" t="n"/>
      <c r="O25" s="8" t="n"/>
      <c r="P25" s="9" t="n"/>
      <c r="Q25" s="10" t="n">
        <v>0</v>
      </c>
      <c r="R25" s="10" t="n">
        <v>3.28</v>
      </c>
      <c r="S25" s="16" t="n"/>
    </row>
    <row r="26" ht="18" customHeight="1" s="43">
      <c r="A26" s="45" t="n"/>
      <c r="B26" s="48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3">
      <c r="A27" s="45" t="n"/>
      <c r="B27" s="48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3" thickBot="1">
      <c r="A28" s="46" t="n"/>
      <c r="B28" s="49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3">
      <c r="A29" s="44" t="n">
        <v>6</v>
      </c>
      <c r="B29" s="50" t="inlineStr">
        <is>
          <t>昭和女子</t>
        </is>
      </c>
      <c r="C29" s="31" t="inlineStr">
        <is>
          <t>58期</t>
        </is>
      </c>
      <c r="D29" s="8" t="n"/>
      <c r="E29" s="8" t="n"/>
      <c r="F29" s="8" t="n"/>
      <c r="G29" s="8" t="n">
        <v>8.06</v>
      </c>
      <c r="H29" s="8" t="n"/>
      <c r="I29" s="9" t="n"/>
      <c r="J29" s="10" t="n">
        <v>8.06</v>
      </c>
      <c r="K29" s="11" t="n"/>
      <c r="L29" s="8" t="n"/>
      <c r="M29" s="8" t="n"/>
      <c r="N29" s="8" t="n"/>
      <c r="O29" s="8" t="n"/>
      <c r="P29" s="9" t="n"/>
      <c r="Q29" s="10" t="n">
        <v>0</v>
      </c>
      <c r="R29" s="10" t="n">
        <v>8.06</v>
      </c>
      <c r="S29" s="16" t="n"/>
    </row>
    <row r="30" ht="18" customHeight="1" s="43">
      <c r="A30" s="45" t="n"/>
      <c r="B30" s="48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3">
      <c r="A31" s="45" t="n"/>
      <c r="B31" s="48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3" thickBot="1">
      <c r="A32" s="46" t="n"/>
      <c r="B32" s="49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3">
      <c r="A33" s="44" t="n">
        <v>7</v>
      </c>
      <c r="B33" s="50" t="inlineStr">
        <is>
          <t>QB</t>
        </is>
      </c>
      <c r="C33" s="31" t="inlineStr">
        <is>
          <t>58期</t>
        </is>
      </c>
      <c r="D33" s="8" t="n"/>
      <c r="E33" s="8" t="n"/>
      <c r="F33" s="8" t="n"/>
      <c r="G33" s="8" t="n">
        <v>8.470000000000001</v>
      </c>
      <c r="H33" s="8" t="n"/>
      <c r="I33" s="9" t="n"/>
      <c r="J33" s="10" t="n">
        <v>8.470000000000001</v>
      </c>
      <c r="K33" s="11" t="n"/>
      <c r="L33" s="8" t="n"/>
      <c r="M33" s="8" t="n"/>
      <c r="N33" s="8" t="n"/>
      <c r="O33" s="8" t="n"/>
      <c r="P33" s="9" t="n"/>
      <c r="Q33" s="10" t="n">
        <v>0</v>
      </c>
      <c r="R33" s="10" t="n">
        <v>8.470000000000001</v>
      </c>
      <c r="S33" s="16" t="n"/>
    </row>
    <row r="34" ht="18" customHeight="1" s="43">
      <c r="A34" s="45" t="n"/>
      <c r="B34" s="48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3">
      <c r="A35" s="45" t="n"/>
      <c r="B35" s="48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3" thickBot="1">
      <c r="A36" s="46" t="n"/>
      <c r="B36" s="49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3">
      <c r="A37" s="44" t="n">
        <v>8</v>
      </c>
      <c r="B37" s="50" t="inlineStr">
        <is>
          <t>NaITO</t>
        </is>
      </c>
      <c r="C37" s="31" t="inlineStr">
        <is>
          <t>58期</t>
        </is>
      </c>
      <c r="D37" s="8" t="n"/>
      <c r="E37" s="8" t="n"/>
      <c r="F37" s="8" t="n"/>
      <c r="G37" s="8" t="n">
        <v>4.62</v>
      </c>
      <c r="H37" s="8" t="n"/>
      <c r="I37" s="9" t="n"/>
      <c r="J37" s="10" t="n">
        <v>4.62</v>
      </c>
      <c r="K37" s="11" t="n"/>
      <c r="L37" s="8" t="n"/>
      <c r="M37" s="8" t="n"/>
      <c r="N37" s="8" t="n"/>
      <c r="O37" s="8" t="n"/>
      <c r="P37" s="9" t="n"/>
      <c r="Q37" s="10" t="n">
        <v>0</v>
      </c>
      <c r="R37" s="10" t="n">
        <v>4.62</v>
      </c>
      <c r="S37" s="16" t="n"/>
    </row>
    <row r="38" ht="18" customHeight="1" s="43">
      <c r="A38" s="45" t="n"/>
      <c r="B38" s="48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3">
      <c r="A39" s="45" t="n"/>
      <c r="B39" s="48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3" thickBot="1">
      <c r="A40" s="46" t="n"/>
      <c r="B40" s="49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3">
      <c r="A41" s="44" t="n">
        <v>9</v>
      </c>
      <c r="B41" s="50" t="inlineStr">
        <is>
          <t>バリュエンス</t>
        </is>
      </c>
      <c r="C41" s="31" t="inlineStr">
        <is>
          <t>58期</t>
        </is>
      </c>
      <c r="D41" s="8" t="n"/>
      <c r="E41" s="8" t="n"/>
      <c r="F41" s="8" t="n"/>
      <c r="G41" s="8" t="n">
        <v>14.84</v>
      </c>
      <c r="H41" s="8" t="n"/>
      <c r="I41" s="9" t="n"/>
      <c r="J41" s="10" t="n">
        <v>14.84</v>
      </c>
      <c r="K41" s="11" t="n"/>
      <c r="L41" s="8" t="n"/>
      <c r="M41" s="8" t="n"/>
      <c r="N41" s="8" t="n"/>
      <c r="O41" s="8" t="n"/>
      <c r="P41" s="9" t="n"/>
      <c r="Q41" s="10" t="n">
        <v>0</v>
      </c>
      <c r="R41" s="10" t="n">
        <v>14.84</v>
      </c>
      <c r="S41" s="16" t="n"/>
    </row>
    <row r="42" ht="18" customHeight="1" s="43">
      <c r="A42" s="45" t="n"/>
      <c r="B42" s="48" t="n"/>
      <c r="C42" s="7" t="inlineStr">
        <is>
          <t>59期</t>
        </is>
      </c>
      <c r="D42" s="12" t="n"/>
      <c r="E42" s="12" t="n"/>
      <c r="F42" s="12" t="n"/>
      <c r="G42" s="12" t="n"/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3">
      <c r="A43" s="45" t="n"/>
      <c r="B43" s="48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3" thickBot="1">
      <c r="A44" s="46" t="n"/>
      <c r="B44" s="49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3">
      <c r="A45" s="44" t="n">
        <v>10</v>
      </c>
      <c r="B45" s="50" t="inlineStr">
        <is>
          <t>Adobe</t>
        </is>
      </c>
      <c r="C45" s="31" t="inlineStr">
        <is>
          <t>58期</t>
        </is>
      </c>
      <c r="D45" s="8" t="n"/>
      <c r="E45" s="8" t="n"/>
      <c r="F45" s="8" t="n"/>
      <c r="G45" s="8" t="n">
        <v>23.78</v>
      </c>
      <c r="H45" s="8" t="n"/>
      <c r="I45" s="9" t="n"/>
      <c r="J45" s="10" t="n">
        <v>23.78</v>
      </c>
      <c r="K45" s="11" t="n"/>
      <c r="L45" s="8" t="n"/>
      <c r="M45" s="8" t="n"/>
      <c r="N45" s="8" t="n"/>
      <c r="O45" s="8" t="n"/>
      <c r="P45" s="9" t="n"/>
      <c r="Q45" s="10" t="n">
        <v>0</v>
      </c>
      <c r="R45" s="10" t="n">
        <v>23.78</v>
      </c>
      <c r="S45" s="16" t="n"/>
    </row>
    <row r="46" ht="18" customHeight="1" s="43">
      <c r="A46" s="45" t="n"/>
      <c r="B46" s="48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3">
      <c r="A47" s="45" t="n"/>
      <c r="B47" s="48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3" thickBot="1">
      <c r="A48" s="46" t="n"/>
      <c r="B48" s="49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3">
      <c r="A49" s="44" t="n">
        <v>11</v>
      </c>
      <c r="B49" s="50" t="inlineStr">
        <is>
          <t>富士機材</t>
        </is>
      </c>
      <c r="C49" s="31" t="inlineStr">
        <is>
          <t>58期</t>
        </is>
      </c>
      <c r="D49" s="8" t="n"/>
      <c r="E49" s="8" t="n"/>
      <c r="F49" s="8" t="n"/>
      <c r="G49" s="8" t="n">
        <v>13.81</v>
      </c>
      <c r="H49" s="8" t="n"/>
      <c r="I49" s="9" t="n"/>
      <c r="J49" s="10" t="n">
        <v>13.81</v>
      </c>
      <c r="K49" s="11" t="n"/>
      <c r="L49" s="8" t="n"/>
      <c r="M49" s="8" t="n"/>
      <c r="N49" s="8" t="n"/>
      <c r="O49" s="8" t="n"/>
      <c r="P49" s="9" t="n"/>
      <c r="Q49" s="10" t="n">
        <v>0</v>
      </c>
      <c r="R49" s="10" t="n">
        <v>13.81</v>
      </c>
      <c r="S49" s="16" t="n"/>
    </row>
    <row r="50" ht="18" customHeight="1" s="43">
      <c r="A50" s="45" t="n"/>
      <c r="B50" s="48" t="n"/>
      <c r="C50" s="7" t="inlineStr">
        <is>
          <t>59期</t>
        </is>
      </c>
      <c r="D50" s="12" t="n"/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3">
      <c r="A51" s="45" t="n"/>
      <c r="B51" s="48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3" thickBot="1">
      <c r="A52" s="46" t="n"/>
      <c r="B52" s="49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3">
      <c r="A53" s="44" t="n">
        <v>12</v>
      </c>
      <c r="B53" s="50" t="inlineStr">
        <is>
          <t>マルテー</t>
        </is>
      </c>
      <c r="C53" s="31" t="inlineStr">
        <is>
          <t>58期</t>
        </is>
      </c>
      <c r="D53" s="8" t="n"/>
      <c r="E53" s="8" t="n"/>
      <c r="F53" s="8" t="n"/>
      <c r="G53" s="8" t="n">
        <v>18.78</v>
      </c>
      <c r="H53" s="8" t="n"/>
      <c r="I53" s="9" t="n"/>
      <c r="J53" s="10" t="n">
        <v>18.78</v>
      </c>
      <c r="K53" s="11" t="n"/>
      <c r="L53" s="8" t="n"/>
      <c r="M53" s="8" t="n"/>
      <c r="N53" s="8" t="n"/>
      <c r="O53" s="8" t="n"/>
      <c r="P53" s="9" t="n"/>
      <c r="Q53" s="10" t="n">
        <v>0</v>
      </c>
      <c r="R53" s="10" t="n">
        <v>18.78</v>
      </c>
      <c r="S53" s="16" t="n"/>
    </row>
    <row r="54" ht="18" customHeight="1" s="43">
      <c r="A54" s="45" t="n"/>
      <c r="B54" s="48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3">
      <c r="A55" s="45" t="n"/>
      <c r="B55" s="48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3" thickBot="1">
      <c r="A56" s="46" t="n"/>
      <c r="B56" s="49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3">
      <c r="A57" s="44" t="n">
        <v>13</v>
      </c>
      <c r="B57" s="50" t="inlineStr">
        <is>
          <t>ソリトン</t>
        </is>
      </c>
      <c r="C57" s="31" t="inlineStr">
        <is>
          <t>58期</t>
        </is>
      </c>
      <c r="D57" s="8" t="n"/>
      <c r="E57" s="8" t="n"/>
      <c r="F57" s="8" t="n"/>
      <c r="G57" s="8" t="n">
        <v>7.86</v>
      </c>
      <c r="H57" s="8" t="n"/>
      <c r="I57" s="9" t="n"/>
      <c r="J57" s="10" t="n">
        <v>7.86</v>
      </c>
      <c r="K57" s="11" t="n"/>
      <c r="L57" s="8" t="n"/>
      <c r="M57" s="8" t="n"/>
      <c r="N57" s="8" t="n"/>
      <c r="O57" s="8" t="n"/>
      <c r="P57" s="9" t="n"/>
      <c r="Q57" s="10" t="n">
        <v>0</v>
      </c>
      <c r="R57" s="10" t="n">
        <v>7.86</v>
      </c>
      <c r="S57" s="16" t="n"/>
    </row>
    <row r="58" ht="18" customHeight="1" s="43">
      <c r="A58" s="45" t="n"/>
      <c r="B58" s="48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3">
      <c r="A59" s="45" t="n"/>
      <c r="B59" s="48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3" thickBot="1">
      <c r="A60" s="46" t="n"/>
      <c r="B60" s="49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3">
      <c r="A61" s="44" t="n">
        <v>14</v>
      </c>
      <c r="B61" s="50" t="inlineStr">
        <is>
          <t>ケイアイ</t>
        </is>
      </c>
      <c r="C61" s="31" t="inlineStr">
        <is>
          <t>58期</t>
        </is>
      </c>
      <c r="D61" s="8" t="n"/>
      <c r="E61" s="8" t="n"/>
      <c r="F61" s="8" t="n"/>
      <c r="G61" s="8" t="n">
        <v>22.24</v>
      </c>
      <c r="H61" s="8" t="n"/>
      <c r="I61" s="9" t="n"/>
      <c r="J61" s="10" t="n">
        <v>22.24</v>
      </c>
      <c r="K61" s="11" t="n"/>
      <c r="L61" s="8" t="n"/>
      <c r="M61" s="8" t="n"/>
      <c r="N61" s="8" t="n"/>
      <c r="O61" s="8" t="n"/>
      <c r="P61" s="9" t="n"/>
      <c r="Q61" s="10" t="n">
        <v>0</v>
      </c>
      <c r="R61" s="10" t="n">
        <v>22.24</v>
      </c>
      <c r="S61" s="16" t="n"/>
    </row>
    <row r="62" ht="18" customHeight="1" s="43">
      <c r="A62" s="45" t="n"/>
      <c r="B62" s="48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3">
      <c r="A63" s="45" t="n"/>
      <c r="B63" s="48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3" thickBot="1">
      <c r="A64" s="46" t="n"/>
      <c r="B64" s="49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3">
      <c r="A65" s="44" t="n">
        <v>15</v>
      </c>
      <c r="B65" s="50" t="inlineStr">
        <is>
          <t>岡部</t>
        </is>
      </c>
      <c r="C65" s="31" t="inlineStr">
        <is>
          <t>58期</t>
        </is>
      </c>
      <c r="D65" s="8" t="n"/>
      <c r="E65" s="8" t="n"/>
      <c r="F65" s="8" t="n"/>
      <c r="G65" s="8" t="n">
        <v>34.46</v>
      </c>
      <c r="H65" s="8" t="n"/>
      <c r="I65" s="9" t="n"/>
      <c r="J65" s="10" t="n">
        <v>34.46</v>
      </c>
      <c r="K65" s="11" t="n"/>
      <c r="L65" s="8" t="n"/>
      <c r="M65" s="8" t="n"/>
      <c r="N65" s="8" t="n"/>
      <c r="O65" s="8" t="n"/>
      <c r="P65" s="9" t="n"/>
      <c r="Q65" s="10" t="n">
        <v>0</v>
      </c>
      <c r="R65" s="10" t="n">
        <v>34.46</v>
      </c>
      <c r="S65" s="16" t="n"/>
    </row>
    <row r="66" ht="18" customHeight="1" s="43">
      <c r="A66" s="45" t="n"/>
      <c r="B66" s="48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3">
      <c r="A67" s="45" t="n"/>
      <c r="B67" s="48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3" thickBot="1">
      <c r="A68" s="46" t="n"/>
      <c r="B68" s="49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3">
      <c r="A69" s="44" t="n">
        <v>16</v>
      </c>
      <c r="B69" s="50" t="inlineStr">
        <is>
          <t>三和</t>
        </is>
      </c>
      <c r="C69" s="31" t="inlineStr">
        <is>
          <t>58期</t>
        </is>
      </c>
      <c r="D69" s="8" t="n"/>
      <c r="E69" s="8" t="n"/>
      <c r="F69" s="8" t="n"/>
      <c r="G69" s="8" t="n">
        <v>16.68</v>
      </c>
      <c r="H69" s="8" t="n"/>
      <c r="I69" s="9" t="n"/>
      <c r="J69" s="10" t="n">
        <v>16.68</v>
      </c>
      <c r="K69" s="11" t="n"/>
      <c r="L69" s="8" t="n"/>
      <c r="M69" s="8" t="n"/>
      <c r="N69" s="8" t="n"/>
      <c r="O69" s="8" t="n"/>
      <c r="P69" s="9" t="n"/>
      <c r="Q69" s="10" t="n">
        <v>0</v>
      </c>
      <c r="R69" s="10" t="n">
        <v>16.68</v>
      </c>
      <c r="S69" s="16" t="n"/>
    </row>
    <row r="70" ht="18" customHeight="1" s="43">
      <c r="A70" s="45" t="n"/>
      <c r="B70" s="48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3">
      <c r="A71" s="45" t="n"/>
      <c r="B71" s="48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3" thickBot="1">
      <c r="A72" s="46" t="n"/>
      <c r="B72" s="49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3">
      <c r="A73" s="44" t="n">
        <v>17</v>
      </c>
      <c r="B73" s="50" t="inlineStr">
        <is>
          <t>慈誠会</t>
        </is>
      </c>
      <c r="C73" s="31" t="inlineStr">
        <is>
          <t>58期</t>
        </is>
      </c>
      <c r="D73" s="8" t="n"/>
      <c r="E73" s="8" t="n"/>
      <c r="F73" s="8" t="n"/>
      <c r="G73" s="8" t="n">
        <v>14.54</v>
      </c>
      <c r="H73" s="8" t="n"/>
      <c r="I73" s="9" t="n"/>
      <c r="J73" s="10" t="n">
        <v>14.54</v>
      </c>
      <c r="K73" s="11" t="n"/>
      <c r="L73" s="8" t="n"/>
      <c r="M73" s="8" t="n"/>
      <c r="N73" s="8" t="n"/>
      <c r="O73" s="8" t="n"/>
      <c r="P73" s="9" t="n"/>
      <c r="Q73" s="10" t="n">
        <v>0</v>
      </c>
      <c r="R73" s="10" t="n">
        <v>14.54</v>
      </c>
      <c r="S73" s="16" t="n"/>
    </row>
    <row r="74" ht="18" customHeight="1" s="43">
      <c r="A74" s="45" t="n"/>
      <c r="B74" s="48" t="n"/>
      <c r="C74" s="7" t="inlineStr">
        <is>
          <t>59期</t>
        </is>
      </c>
      <c r="D74" s="12" t="n"/>
      <c r="E74" s="12" t="n"/>
      <c r="F74" s="12" t="n"/>
      <c r="G74" s="12" t="n"/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3">
      <c r="A75" s="45" t="n"/>
      <c r="B75" s="48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3" thickBot="1">
      <c r="A76" s="46" t="n"/>
      <c r="B76" s="49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3">
      <c r="A77" s="44" t="n">
        <v>18</v>
      </c>
      <c r="B77" s="50" t="inlineStr">
        <is>
          <t>富士機械</t>
        </is>
      </c>
      <c r="C77" s="31" t="inlineStr">
        <is>
          <t>58期</t>
        </is>
      </c>
      <c r="D77" s="8" t="n"/>
      <c r="E77" s="8" t="n"/>
      <c r="F77" s="8" t="n"/>
      <c r="G77" s="8" t="n">
        <v>27.32</v>
      </c>
      <c r="H77" s="8" t="n"/>
      <c r="I77" s="9" t="n"/>
      <c r="J77" s="10" t="n">
        <v>27.32</v>
      </c>
      <c r="K77" s="11" t="n"/>
      <c r="L77" s="8" t="n"/>
      <c r="M77" s="8" t="n"/>
      <c r="N77" s="8" t="n"/>
      <c r="O77" s="8" t="n"/>
      <c r="P77" s="9" t="n"/>
      <c r="Q77" s="10" t="n">
        <v>0</v>
      </c>
      <c r="R77" s="10" t="n">
        <v>27.32</v>
      </c>
      <c r="S77" s="16" t="n"/>
    </row>
    <row r="78" ht="18" customHeight="1" s="43">
      <c r="A78" s="45" t="n"/>
      <c r="B78" s="48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3">
      <c r="A79" s="45" t="n"/>
      <c r="B79" s="48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3" thickBot="1">
      <c r="A80" s="46" t="n"/>
      <c r="B80" s="49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3">
      <c r="A81" s="44" t="n">
        <v>19</v>
      </c>
      <c r="B81" s="50" t="inlineStr">
        <is>
          <t>サンテレホン</t>
        </is>
      </c>
      <c r="C81" s="31" t="inlineStr">
        <is>
          <t>58期</t>
        </is>
      </c>
      <c r="D81" s="8" t="n"/>
      <c r="E81" s="8" t="n"/>
      <c r="F81" s="8" t="n"/>
      <c r="G81" s="8" t="n">
        <v>3.6</v>
      </c>
      <c r="H81" s="8" t="n"/>
      <c r="I81" s="9" t="n"/>
      <c r="J81" s="10" t="n">
        <v>3.6</v>
      </c>
      <c r="K81" s="11" t="n"/>
      <c r="L81" s="8" t="n"/>
      <c r="M81" s="8" t="n"/>
      <c r="N81" s="8" t="n"/>
      <c r="O81" s="8" t="n"/>
      <c r="P81" s="9" t="n"/>
      <c r="Q81" s="10" t="n">
        <v>0</v>
      </c>
      <c r="R81" s="10" t="n">
        <v>3.6</v>
      </c>
      <c r="S81" s="16" t="n"/>
    </row>
    <row r="82" ht="18" customHeight="1" s="43">
      <c r="A82" s="45" t="n"/>
      <c r="B82" s="48" t="n"/>
      <c r="C82" s="7" t="inlineStr">
        <is>
          <t>59期</t>
        </is>
      </c>
      <c r="D82" s="12" t="n"/>
      <c r="E82" s="12" t="n"/>
      <c r="F82" s="12" t="n"/>
      <c r="G82" s="12" t="n"/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3">
      <c r="A83" s="45" t="n"/>
      <c r="B83" s="48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3" thickBot="1">
      <c r="A84" s="46" t="n"/>
      <c r="B84" s="49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3">
      <c r="A85" s="44" t="n">
        <v>20</v>
      </c>
      <c r="B85" s="50" t="inlineStr">
        <is>
          <t>IIM</t>
        </is>
      </c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>
        <f>SUM(D85:I85)</f>
        <v/>
      </c>
      <c r="K85" s="11" t="n"/>
      <c r="L85" s="8" t="n"/>
      <c r="M85" s="8" t="n"/>
      <c r="N85" s="8" t="n"/>
      <c r="O85" s="8" t="n"/>
      <c r="P85" s="9" t="n"/>
      <c r="Q85" s="10">
        <f>SUM(K85:P85)</f>
        <v/>
      </c>
      <c r="R85" s="10">
        <f>J85+Q85</f>
        <v/>
      </c>
      <c r="S85" s="16" t="n"/>
    </row>
    <row r="86" ht="18" customHeight="1" s="43">
      <c r="A86" s="45" t="n"/>
      <c r="B86" s="48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3">
      <c r="A87" s="45" t="n"/>
      <c r="B87" s="48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3" thickBot="1">
      <c r="A88" s="46" t="n"/>
      <c r="B88" s="49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3">
      <c r="A89" s="44" t="n">
        <v>21</v>
      </c>
      <c r="B89" s="50" t="inlineStr">
        <is>
          <t>IDAJ</t>
        </is>
      </c>
      <c r="C89" s="31" t="inlineStr">
        <is>
          <t>58期</t>
        </is>
      </c>
      <c r="D89" s="8" t="n"/>
      <c r="E89" s="8" t="n"/>
      <c r="F89" s="8" t="n"/>
      <c r="G89" s="8" t="n"/>
      <c r="H89" s="8" t="n"/>
      <c r="I89" s="9" t="n"/>
      <c r="J89" s="10">
        <f>SUM(D89:I89)</f>
        <v/>
      </c>
      <c r="K89" s="11" t="n"/>
      <c r="L89" s="8" t="n"/>
      <c r="M89" s="8" t="n"/>
      <c r="N89" s="8" t="n"/>
      <c r="O89" s="8" t="n"/>
      <c r="P89" s="9" t="n"/>
      <c r="Q89" s="10">
        <f>SUM(K89:P89)</f>
        <v/>
      </c>
      <c r="R89" s="10">
        <f>J89+Q89</f>
        <v/>
      </c>
      <c r="S89" s="16" t="n"/>
    </row>
    <row r="90" ht="18" customHeight="1" s="43">
      <c r="A90" s="45" t="n"/>
      <c r="B90" s="48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3">
      <c r="A91" s="45" t="n"/>
      <c r="B91" s="48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3" thickBot="1">
      <c r="A92" s="46" t="n"/>
      <c r="B92" s="49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3">
      <c r="A93" s="44" t="n">
        <v>22</v>
      </c>
      <c r="B93" s="50" t="inlineStr">
        <is>
          <t>イソップ</t>
        </is>
      </c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>
        <f>SUM(D93:I93)</f>
        <v/>
      </c>
      <c r="K93" s="11" t="n"/>
      <c r="L93" s="8" t="n"/>
      <c r="M93" s="8" t="n"/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3">
      <c r="A94" s="45" t="n"/>
      <c r="B94" s="48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3">
      <c r="A95" s="45" t="n"/>
      <c r="B95" s="48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3" thickBot="1">
      <c r="A96" s="46" t="n"/>
      <c r="B96" s="49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3">
      <c r="A97" s="44" t="n">
        <v>23</v>
      </c>
      <c r="B97" s="50" t="n"/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/>
      <c r="N97" s="8" t="n"/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3">
      <c r="A98" s="45" t="n"/>
      <c r="B98" s="48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3">
      <c r="A99" s="45" t="n"/>
      <c r="B99" s="48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3" thickBot="1">
      <c r="A100" s="46" t="n"/>
      <c r="B100" s="49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3">
      <c r="A101" s="44" t="n">
        <v>24</v>
      </c>
      <c r="B101" s="50" t="n"/>
      <c r="C101" s="31" t="inlineStr">
        <is>
          <t>58期</t>
        </is>
      </c>
      <c r="D101" s="8" t="n"/>
      <c r="E101" s="8" t="n"/>
      <c r="F101" s="8" t="n"/>
      <c r="G101" s="8" t="n"/>
      <c r="H101" s="8" t="n"/>
      <c r="I101" s="9" t="n"/>
      <c r="J101" s="10">
        <f>SUM(D101:I101)</f>
        <v/>
      </c>
      <c r="K101" s="11" t="n"/>
      <c r="L101" s="8" t="n"/>
      <c r="M101" s="8" t="n"/>
      <c r="N101" s="8" t="n"/>
      <c r="O101" s="8" t="n"/>
      <c r="P101" s="9" t="n"/>
      <c r="Q101" s="10">
        <f>SUM(K101:P101)</f>
        <v/>
      </c>
      <c r="R101" s="10">
        <f>J101+Q101</f>
        <v/>
      </c>
      <c r="S101" s="16" t="n"/>
    </row>
    <row r="102" ht="18" customHeight="1" s="43">
      <c r="A102" s="45" t="n"/>
      <c r="B102" s="48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3">
      <c r="A103" s="45" t="n"/>
      <c r="B103" s="48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3" thickBot="1">
      <c r="A104" s="46" t="n"/>
      <c r="B104" s="49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3">
      <c r="A105" s="44" t="n">
        <v>25</v>
      </c>
      <c r="B105" s="50" t="n"/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>
        <f>SUM(D105:I105)</f>
        <v/>
      </c>
      <c r="K105" s="11" t="n"/>
      <c r="L105" s="8" t="n"/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3">
      <c r="A106" s="45" t="n"/>
      <c r="B106" s="48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3">
      <c r="A107" s="45" t="n"/>
      <c r="B107" s="48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3" thickBot="1">
      <c r="A108" s="46" t="n"/>
      <c r="B108" s="49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3">
      <c r="A109" s="44" t="n"/>
      <c r="B109" s="55" t="inlineStr">
        <is>
          <t>企業棟月間合計</t>
        </is>
      </c>
      <c r="C109" s="31" t="inlineStr">
        <is>
          <t>58期</t>
        </is>
      </c>
      <c r="D109" s="41" t="n">
        <v>0</v>
      </c>
      <c r="E109" s="8" t="n">
        <v>0</v>
      </c>
      <c r="F109" s="8" t="n">
        <v>0</v>
      </c>
      <c r="G109" s="8" t="n">
        <v>276.72</v>
      </c>
      <c r="H109" s="8" t="n">
        <v>0</v>
      </c>
      <c r="I109" s="9" t="n">
        <v>0</v>
      </c>
      <c r="J109" s="10" t="n">
        <v>276.72</v>
      </c>
      <c r="K109" s="11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9" t="n">
        <v>0</v>
      </c>
      <c r="Q109" s="10" t="n">
        <v>0</v>
      </c>
      <c r="R109" s="10" t="n">
        <v>276.72</v>
      </c>
      <c r="S109" s="16" t="n"/>
    </row>
    <row r="110" ht="18" customHeight="1" s="43">
      <c r="A110" s="45" t="n"/>
      <c r="B110" s="48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SUM(D106:I106)</f>
        <v/>
      </c>
      <c r="K110" s="15" t="n"/>
      <c r="L110" s="12" t="n"/>
      <c r="M110" s="12" t="n"/>
      <c r="N110" s="12" t="n"/>
      <c r="O110" s="12" t="n"/>
      <c r="P110" s="13" t="n"/>
      <c r="Q110" s="14">
        <f>SUM(K106:P106)</f>
        <v/>
      </c>
      <c r="R110" s="14">
        <f>J110+Q110</f>
        <v/>
      </c>
      <c r="S110" s="17" t="n"/>
    </row>
    <row r="111" ht="18" customHeight="1" s="43">
      <c r="A111" s="45" t="n"/>
      <c r="B111" s="48" t="n"/>
      <c r="C111" s="23" t="inlineStr">
        <is>
          <t>増　減</t>
        </is>
      </c>
      <c r="D111" s="24">
        <f>D109-D110</f>
        <v/>
      </c>
      <c r="E111" s="24">
        <f>E109-E110</f>
        <v/>
      </c>
      <c r="F111" s="24">
        <f>F109-F110</f>
        <v/>
      </c>
      <c r="G111" s="24">
        <f>G109-G110</f>
        <v/>
      </c>
      <c r="H111" s="24">
        <f>H109-H110</f>
        <v/>
      </c>
      <c r="I111" s="24">
        <f>I109-I110</f>
        <v/>
      </c>
      <c r="J111" s="24">
        <f>J109-J110</f>
        <v/>
      </c>
      <c r="K111" s="24">
        <f>K109-K110</f>
        <v/>
      </c>
      <c r="L111" s="24">
        <f>L109-L110</f>
        <v/>
      </c>
      <c r="M111" s="24">
        <f>M109-M110</f>
        <v/>
      </c>
      <c r="N111" s="24">
        <f>N109-N110</f>
        <v/>
      </c>
      <c r="O111" s="24">
        <f>O109-O110</f>
        <v/>
      </c>
      <c r="P111" s="24">
        <f>P109-P110</f>
        <v/>
      </c>
      <c r="Q111" s="24">
        <f>Q109-Q110</f>
        <v/>
      </c>
      <c r="R111" s="30">
        <f>J111+Q111</f>
        <v/>
      </c>
      <c r="S111" s="17" t="n"/>
    </row>
    <row r="112" ht="18" customHeight="1" s="43" thickBot="1">
      <c r="A112" s="46" t="n"/>
      <c r="B112" s="49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I108</f>
        <v/>
      </c>
      <c r="K112" s="22" t="n"/>
      <c r="L112" s="20" t="n"/>
      <c r="M112" s="20" t="n"/>
      <c r="N112" s="20" t="n"/>
      <c r="O112" s="20" t="n"/>
      <c r="P112" s="28" t="n"/>
      <c r="Q112" s="21">
        <f>P108</f>
        <v/>
      </c>
      <c r="R112" s="21">
        <f>Q112</f>
        <v/>
      </c>
      <c r="S112" s="18" t="n"/>
    </row>
    <row r="113" ht="18" customHeight="1" s="43">
      <c r="A113" s="44" t="n"/>
      <c r="B113" s="50" t="inlineStr">
        <is>
          <t>日建</t>
        </is>
      </c>
      <c r="C113" s="31" t="inlineStr">
        <is>
          <t>58期</t>
        </is>
      </c>
      <c r="D113" s="8" t="n"/>
      <c r="E113" s="8" t="n"/>
      <c r="F113" s="8" t="n"/>
      <c r="G113" s="8" t="n">
        <v>9.279999999999999</v>
      </c>
      <c r="H113" s="8" t="n"/>
      <c r="I113" s="9" t="n"/>
      <c r="J113" s="10" t="n">
        <v>9.279999999999999</v>
      </c>
      <c r="K113" s="11" t="n"/>
      <c r="L113" s="8" t="n"/>
      <c r="M113" s="8" t="n"/>
      <c r="N113" s="8" t="n"/>
      <c r="O113" s="8" t="n"/>
      <c r="P113" s="9" t="n"/>
      <c r="Q113" s="10" t="n">
        <v>0</v>
      </c>
      <c r="R113" s="10" t="n">
        <v>9.279999999999999</v>
      </c>
      <c r="S113" s="16" t="n"/>
    </row>
    <row r="114" ht="18" customHeight="1" s="43">
      <c r="A114" s="45" t="n"/>
      <c r="B114" s="48" t="n"/>
      <c r="C114" s="7" t="inlineStr">
        <is>
          <t>59期</t>
        </is>
      </c>
      <c r="D114" s="12" t="n"/>
      <c r="E114" s="12" t="n"/>
      <c r="F114" s="12" t="n"/>
      <c r="G114" s="12" t="n"/>
      <c r="H114" s="12" t="n"/>
      <c r="I114" s="13" t="n"/>
      <c r="J114" s="14">
        <f>SUM(D110:I110)</f>
        <v/>
      </c>
      <c r="K114" s="15" t="n"/>
      <c r="L114" s="12" t="n"/>
      <c r="M114" s="12" t="n"/>
      <c r="N114" s="12" t="n"/>
      <c r="O114" s="12" t="n"/>
      <c r="P114" s="13" t="n"/>
      <c r="Q114" s="14">
        <f>SUM(K110:P110)</f>
        <v/>
      </c>
      <c r="R114" s="14">
        <f>J114+Q114</f>
        <v/>
      </c>
      <c r="S114" s="17" t="n"/>
    </row>
    <row r="115" ht="18" customHeight="1" s="43">
      <c r="A115" s="45" t="n"/>
      <c r="B115" s="48" t="n"/>
      <c r="C115" s="23" t="inlineStr">
        <is>
          <t>増　減</t>
        </is>
      </c>
      <c r="D115" s="24">
        <f>D113-D114</f>
        <v/>
      </c>
      <c r="E115" s="24">
        <f>E113-E114</f>
        <v/>
      </c>
      <c r="F115" s="24">
        <f>F113-F114</f>
        <v/>
      </c>
      <c r="G115" s="24">
        <f>G113-G114</f>
        <v/>
      </c>
      <c r="H115" s="24">
        <f>H113-H114</f>
        <v/>
      </c>
      <c r="I115" s="27">
        <f>I113-I114</f>
        <v/>
      </c>
      <c r="J115" s="30">
        <f>J113-J114</f>
        <v/>
      </c>
      <c r="K115" s="29">
        <f>K113-K114</f>
        <v/>
      </c>
      <c r="L115" s="24">
        <f>L113-L114</f>
        <v/>
      </c>
      <c r="M115" s="24">
        <f>M113-M114</f>
        <v/>
      </c>
      <c r="N115" s="24">
        <f>N113-N114</f>
        <v/>
      </c>
      <c r="O115" s="24">
        <f>O113-O114</f>
        <v/>
      </c>
      <c r="P115" s="27">
        <f>P113-P114</f>
        <v/>
      </c>
      <c r="Q115" s="30">
        <f>Q113-Q114</f>
        <v/>
      </c>
      <c r="R115" s="30">
        <f>J115+Q115</f>
        <v/>
      </c>
      <c r="S115" s="17" t="n"/>
    </row>
    <row r="116" ht="18" customHeight="1" s="43" thickBot="1">
      <c r="A116" s="46" t="n"/>
      <c r="B116" s="49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I112</f>
        <v/>
      </c>
      <c r="K116" s="22" t="n"/>
      <c r="L116" s="20" t="n"/>
      <c r="M116" s="20" t="n"/>
      <c r="N116" s="20" t="n"/>
      <c r="O116" s="20" t="n"/>
      <c r="P116" s="28" t="n"/>
      <c r="Q116" s="21">
        <f>P112</f>
        <v/>
      </c>
      <c r="R116" s="21">
        <f>Q116</f>
        <v/>
      </c>
      <c r="S116" s="18" t="n"/>
    </row>
    <row r="117" ht="13.5" customHeight="1" s="43" thickBot="1">
      <c r="A117" s="44" t="n"/>
      <c r="B117" s="47" t="inlineStr">
        <is>
          <t>月間総合計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/>
      <c r="I117" s="9" t="n"/>
      <c r="J117" s="10">
        <f>SUM(D113:I113)</f>
        <v/>
      </c>
      <c r="K117" s="11" t="n"/>
      <c r="L117" s="8" t="n"/>
      <c r="M117" s="8" t="n"/>
      <c r="N117" s="8" t="n"/>
      <c r="O117" s="8" t="n"/>
      <c r="P117" s="9" t="n"/>
      <c r="Q117" s="10">
        <f>SUM(K113:P113)</f>
        <v/>
      </c>
      <c r="R117" s="10">
        <f>J117+Q117</f>
        <v/>
      </c>
      <c r="S117" s="16" t="n"/>
    </row>
    <row r="118">
      <c r="A118" s="45" t="n"/>
      <c r="B118" s="48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SUM(D114:I114)</f>
        <v/>
      </c>
      <c r="K118" s="15" t="n"/>
      <c r="L118" s="12" t="n"/>
      <c r="M118" s="12" t="n"/>
      <c r="N118" s="8" t="n"/>
      <c r="O118" s="12" t="n"/>
      <c r="P118" s="13" t="n"/>
      <c r="Q118" s="14">
        <f>SUM(K114:P114)</f>
        <v/>
      </c>
      <c r="R118" s="14">
        <f>J118+Q118</f>
        <v/>
      </c>
      <c r="S118" s="17" t="n"/>
    </row>
    <row r="119">
      <c r="A119" s="45" t="n"/>
      <c r="B119" s="48" t="n"/>
      <c r="C119" s="23" t="inlineStr">
        <is>
          <t>増　減</t>
        </is>
      </c>
      <c r="D119" s="24">
        <f>D117-D118</f>
        <v/>
      </c>
      <c r="E119" s="24">
        <f>E117-E118</f>
        <v/>
      </c>
      <c r="F119" s="24">
        <f>F117-F118</f>
        <v/>
      </c>
      <c r="G119" s="24">
        <f>G117-G118</f>
        <v/>
      </c>
      <c r="H119" s="24">
        <f>H117-H118</f>
        <v/>
      </c>
      <c r="I119" s="27">
        <f>I117-I118</f>
        <v/>
      </c>
      <c r="J119" s="30">
        <f>J117-J118</f>
        <v/>
      </c>
      <c r="K119" s="29">
        <f>K117-K118</f>
        <v/>
      </c>
      <c r="L119" s="24">
        <f>L117-L118</f>
        <v/>
      </c>
      <c r="M119" s="24">
        <f>M117-M118</f>
        <v/>
      </c>
      <c r="N119" s="24">
        <f>N117-N118</f>
        <v/>
      </c>
      <c r="O119" s="24">
        <f>O117-O118</f>
        <v/>
      </c>
      <c r="P119" s="27">
        <f>P117-P118</f>
        <v/>
      </c>
      <c r="Q119" s="30">
        <f>Q117-Q118</f>
        <v/>
      </c>
      <c r="R119" s="30">
        <f>J119+Q119</f>
        <v/>
      </c>
      <c r="S119" s="17" t="n"/>
    </row>
    <row r="120" ht="13.5" customHeight="1" s="43" thickBot="1">
      <c r="A120" s="46" t="n"/>
      <c r="B120" s="49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I116</f>
        <v/>
      </c>
      <c r="K120" s="22" t="n"/>
      <c r="L120" s="20" t="n"/>
      <c r="M120" s="20" t="n"/>
      <c r="N120" s="20" t="n"/>
      <c r="O120" s="20" t="n"/>
      <c r="P120" s="28" t="n"/>
      <c r="Q120" s="21">
        <f>P116</f>
        <v/>
      </c>
      <c r="R120" s="21">
        <f>Q120</f>
        <v/>
      </c>
      <c r="S120" s="18" t="n"/>
    </row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</sheetData>
  <mergeCells count="58">
    <mergeCell ref="B97:B100"/>
    <mergeCell ref="A117:A120"/>
    <mergeCell ref="B109:B112"/>
    <mergeCell ref="A61:A64"/>
    <mergeCell ref="B21:B24"/>
    <mergeCell ref="A69:A72"/>
    <mergeCell ref="B77:B80"/>
    <mergeCell ref="A25:A28"/>
    <mergeCell ref="A45:A48"/>
    <mergeCell ref="B93:B96"/>
    <mergeCell ref="B105:B108"/>
    <mergeCell ref="B61:B64"/>
    <mergeCell ref="B17:B20"/>
    <mergeCell ref="A65:A68"/>
    <mergeCell ref="A89:A92"/>
    <mergeCell ref="B81:B84"/>
    <mergeCell ref="B117:B120"/>
    <mergeCell ref="A105:A108"/>
    <mergeCell ref="B73:B76"/>
    <mergeCell ref="A41:A44"/>
    <mergeCell ref="A21:A24"/>
    <mergeCell ref="B29:B32"/>
    <mergeCell ref="B3:B5"/>
    <mergeCell ref="A37:A40"/>
    <mergeCell ref="B57:B60"/>
    <mergeCell ref="B101:B104"/>
    <mergeCell ref="A33:A36"/>
    <mergeCell ref="A85:A88"/>
    <mergeCell ref="B13:B16"/>
    <mergeCell ref="A101:A104"/>
    <mergeCell ref="B53:B56"/>
    <mergeCell ref="B9:B12"/>
    <mergeCell ref="B69:B72"/>
    <mergeCell ref="A113:A116"/>
    <mergeCell ref="A73:A76"/>
    <mergeCell ref="A97:A100"/>
    <mergeCell ref="A17:A20"/>
    <mergeCell ref="A53:A56"/>
    <mergeCell ref="B37:B40"/>
    <mergeCell ref="A29:A32"/>
    <mergeCell ref="B33:B36"/>
    <mergeCell ref="A81:A84"/>
    <mergeCell ref="A57:A60"/>
    <mergeCell ref="B49:B52"/>
    <mergeCell ref="B65:B68"/>
    <mergeCell ref="A93:A96"/>
    <mergeCell ref="A13:A16"/>
    <mergeCell ref="B41:B44"/>
    <mergeCell ref="A109:A112"/>
    <mergeCell ref="A9:A12"/>
    <mergeCell ref="B113:B116"/>
    <mergeCell ref="B89:B92"/>
    <mergeCell ref="A3:A5"/>
    <mergeCell ref="A77:A80"/>
    <mergeCell ref="B45:B48"/>
    <mergeCell ref="B25:B28"/>
    <mergeCell ref="B85:B88"/>
    <mergeCell ref="A49:A52"/>
  </mergeCells>
  <printOptions horizontalCentered="1"/>
  <pageMargins left="0.7" right="0.7" top="0.75" bottom="0.75" header="0.3" footer="0.3"/>
  <pageSetup orientation="portrait" paperSize="8" scale="65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X4000"/>
  <sheetViews>
    <sheetView zoomScale="67" zoomScaleNormal="100" workbookViewId="0">
      <pane xSplit="3" ySplit="4" topLeftCell="D1012" activePane="bottomRight" state="frozen"/>
      <selection pane="topRight" activeCell="C1" sqref="C1"/>
      <selection pane="bottomLeft" activeCell="A5" sqref="A5"/>
      <selection pane="bottomRight" activeCell="D1034" sqref="D1034"/>
    </sheetView>
  </sheetViews>
  <sheetFormatPr baseColWidth="8" defaultRowHeight="13"/>
  <cols>
    <col width="5.26953125" customWidth="1" style="43" min="1" max="1"/>
    <col width="21" customWidth="1" style="43" min="2" max="2"/>
    <col width="9" bestFit="1" customWidth="1" style="43" min="3" max="3"/>
    <col width="10.08984375" bestFit="1" customWidth="1" style="43" min="18" max="18"/>
    <col width="35.7265625" bestFit="1" customWidth="1" style="43" min="19" max="19"/>
  </cols>
  <sheetData>
    <row r="1" ht="16.5" customHeight="1" s="43">
      <c r="A1" s="1" t="inlineStr">
        <is>
          <t>■ベビーリーフ以外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3.5" customHeight="1" s="43">
      <c r="B2" s="1" t="n"/>
      <c r="G2" s="1" t="n"/>
      <c r="S2" s="39" t="n"/>
    </row>
    <row r="3" ht="13.5" customHeight="1" s="43" thickBot="1">
      <c r="K3" s="19" t="n"/>
      <c r="S3" s="39" t="inlineStr">
        <is>
          <t>（単位：㎏）</t>
        </is>
      </c>
    </row>
    <row r="4" ht="18" customHeight="1" s="43" thickBot="1">
      <c r="A4" s="26" t="n"/>
      <c r="B4" s="2" t="inlineStr">
        <is>
          <t>企業名/野菜名</t>
        </is>
      </c>
      <c r="C4" s="2" t="inlineStr">
        <is>
          <t>期</t>
        </is>
      </c>
      <c r="D4" s="2" t="inlineStr">
        <is>
          <t>10月</t>
        </is>
      </c>
      <c r="E4" s="2" t="inlineStr">
        <is>
          <t>11月</t>
        </is>
      </c>
      <c r="F4" s="2" t="inlineStr">
        <is>
          <t>12月</t>
        </is>
      </c>
      <c r="G4" s="2" t="inlineStr">
        <is>
          <t>1月</t>
        </is>
      </c>
      <c r="H4" s="2" t="inlineStr">
        <is>
          <t>2月</t>
        </is>
      </c>
      <c r="I4" s="3" t="inlineStr">
        <is>
          <t>3月</t>
        </is>
      </c>
      <c r="J4" s="4" t="inlineStr">
        <is>
          <t>上期集計</t>
        </is>
      </c>
      <c r="K4" s="5" t="inlineStr">
        <is>
          <t>4月</t>
        </is>
      </c>
      <c r="L4" s="2" t="inlineStr">
        <is>
          <t>5月</t>
        </is>
      </c>
      <c r="M4" s="2" t="inlineStr">
        <is>
          <t>6月</t>
        </is>
      </c>
      <c r="N4" s="2" t="inlineStr">
        <is>
          <t>7月</t>
        </is>
      </c>
      <c r="O4" s="2" t="inlineStr">
        <is>
          <t>8月</t>
        </is>
      </c>
      <c r="P4" s="3" t="inlineStr">
        <is>
          <t>9月</t>
        </is>
      </c>
      <c r="Q4" s="4" t="inlineStr">
        <is>
          <t>下期集計</t>
        </is>
      </c>
      <c r="R4" s="4" t="inlineStr">
        <is>
          <t>合　計</t>
        </is>
      </c>
      <c r="S4" s="6" t="inlineStr">
        <is>
          <t>備考</t>
        </is>
      </c>
    </row>
    <row r="5" ht="18" customHeight="1" s="43">
      <c r="B5" s="50" t="inlineStr">
        <is>
          <t>牧野フライス/イチゴ</t>
        </is>
      </c>
      <c r="C5" s="31" t="inlineStr">
        <is>
          <t>58期</t>
        </is>
      </c>
      <c r="D5" s="8" t="n"/>
      <c r="E5" s="8" t="n"/>
      <c r="F5" s="8" t="n"/>
      <c r="G5" s="8" t="n"/>
      <c r="H5" s="8" t="n"/>
      <c r="I5" s="9" t="n"/>
      <c r="J5" s="10">
        <f>SUM(D5:I5)</f>
        <v/>
      </c>
      <c r="K5" s="11" t="n"/>
      <c r="L5" s="8" t="n"/>
      <c r="M5" s="8" t="n"/>
      <c r="N5" s="8" t="n"/>
      <c r="O5" s="8" t="n"/>
      <c r="P5" s="9" t="n"/>
      <c r="Q5" s="10">
        <f>SUM(K5:P5)</f>
        <v/>
      </c>
      <c r="R5" s="10">
        <f>J5+Q5</f>
        <v/>
      </c>
      <c r="S5" s="16" t="n"/>
    </row>
    <row r="6" ht="18" customHeight="1" s="43">
      <c r="B6" s="48" t="n"/>
      <c r="C6" s="7" t="inlineStr">
        <is>
          <t>59期</t>
        </is>
      </c>
      <c r="D6" s="12" t="n"/>
      <c r="E6" s="12" t="n"/>
      <c r="F6" s="12" t="n"/>
      <c r="G6" s="12" t="n"/>
      <c r="H6" s="12" t="n"/>
      <c r="I6" s="13" t="n"/>
      <c r="J6" s="14">
        <f>SUM(D6:I6)</f>
        <v/>
      </c>
      <c r="K6" s="15" t="n"/>
      <c r="L6" s="12" t="n"/>
      <c r="M6" s="12" t="n"/>
      <c r="N6" s="12" t="n"/>
      <c r="O6" s="12" t="n"/>
      <c r="P6" s="13" t="n"/>
      <c r="Q6" s="14">
        <f>SUM(K6:P6)</f>
        <v/>
      </c>
      <c r="R6" s="14">
        <f>J6+Q6</f>
        <v/>
      </c>
      <c r="S6" s="17" t="n"/>
    </row>
    <row r="7" ht="18" customHeight="1" s="43">
      <c r="B7" s="48" t="n"/>
      <c r="C7" s="23" t="inlineStr">
        <is>
          <t>増　減</t>
        </is>
      </c>
      <c r="D7" s="24">
        <f>D6-D5</f>
        <v/>
      </c>
      <c r="E7" s="24">
        <f>E6-E5</f>
        <v/>
      </c>
      <c r="F7" s="24">
        <f>F6-F5</f>
        <v/>
      </c>
      <c r="G7" s="24">
        <f>G6-G5</f>
        <v/>
      </c>
      <c r="H7" s="24">
        <f>H6-H5</f>
        <v/>
      </c>
      <c r="I7" s="27">
        <f>I6-I5</f>
        <v/>
      </c>
      <c r="J7" s="30">
        <f>SUM(D7:I7)</f>
        <v/>
      </c>
      <c r="K7" s="29">
        <f>K6-K5</f>
        <v/>
      </c>
      <c r="L7" s="24">
        <f>L6-L5</f>
        <v/>
      </c>
      <c r="M7" s="24">
        <f>M6-M5</f>
        <v/>
      </c>
      <c r="N7" s="24">
        <f>N6-N5</f>
        <v/>
      </c>
      <c r="O7" s="24">
        <f>O6-O5</f>
        <v/>
      </c>
      <c r="P7" s="27">
        <f>P6-P5</f>
        <v/>
      </c>
      <c r="Q7" s="30">
        <f>SUM(K7:P7)</f>
        <v/>
      </c>
      <c r="R7" s="30">
        <f>J7+Q7</f>
        <v/>
      </c>
      <c r="S7" s="17" t="n"/>
    </row>
    <row r="8" ht="18" customHeight="1" s="43" thickBot="1">
      <c r="B8" s="49" t="n"/>
      <c r="C8" s="25" t="inlineStr">
        <is>
          <t>稼働棟数</t>
        </is>
      </c>
      <c r="D8" s="20" t="n"/>
      <c r="E8" s="20" t="n"/>
      <c r="F8" s="20" t="n"/>
      <c r="G8" s="20" t="n"/>
      <c r="H8" s="20" t="n"/>
      <c r="I8" s="28" t="n"/>
      <c r="J8" s="21">
        <f>I8</f>
        <v/>
      </c>
      <c r="K8" s="22" t="n"/>
      <c r="L8" s="20" t="n"/>
      <c r="M8" s="20" t="n"/>
      <c r="N8" s="20" t="n"/>
      <c r="O8" s="20" t="n"/>
      <c r="P8" s="28" t="n"/>
      <c r="Q8" s="21">
        <f>P8</f>
        <v/>
      </c>
      <c r="R8" s="21">
        <f>Q8</f>
        <v/>
      </c>
      <c r="S8" s="18" t="n"/>
    </row>
    <row r="9" ht="18" customHeight="1" s="43">
      <c r="B9" s="50" t="inlineStr">
        <is>
          <t>牧野フライス/トマト</t>
        </is>
      </c>
      <c r="C9" s="31" t="inlineStr">
        <is>
          <t>58期</t>
        </is>
      </c>
      <c r="D9" s="8" t="n"/>
      <c r="E9" s="8" t="n"/>
      <c r="F9" s="8" t="n"/>
      <c r="G9" s="8" t="n"/>
      <c r="H9" s="8" t="n"/>
      <c r="I9" s="9" t="n"/>
      <c r="J9" s="10">
        <f>SUM(D9:I9)</f>
        <v/>
      </c>
      <c r="K9" s="11" t="n"/>
      <c r="L9" s="8" t="n"/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3">
      <c r="B10" s="48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3">
      <c r="B11" s="48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3" thickBot="1">
      <c r="B12" s="49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3">
      <c r="B13" s="50" t="inlineStr">
        <is>
          <t>牧野フライス/ナス</t>
        </is>
      </c>
      <c r="C13" s="31" t="inlineStr">
        <is>
          <t>58期</t>
        </is>
      </c>
      <c r="D13" s="8" t="n"/>
      <c r="E13" s="8" t="n"/>
      <c r="F13" s="8" t="n"/>
      <c r="G13" s="8" t="n"/>
      <c r="H13" s="8" t="n"/>
      <c r="I13" s="9" t="n"/>
      <c r="J13" s="10">
        <f>SUM(D13:I13)</f>
        <v/>
      </c>
      <c r="K13" s="11" t="n"/>
      <c r="L13" s="8" t="n"/>
      <c r="M13" s="8" t="n"/>
      <c r="N13" s="8" t="n"/>
      <c r="O13" s="8" t="n"/>
      <c r="P13" s="9" t="n"/>
      <c r="Q13" s="10">
        <f>SUM(K13:P13)</f>
        <v/>
      </c>
      <c r="R13" s="10">
        <f>J13+Q13</f>
        <v/>
      </c>
      <c r="S13" s="16" t="n"/>
    </row>
    <row r="14" ht="18" customHeight="1" s="43">
      <c r="B14" s="48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3">
      <c r="B15" s="48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3" thickBot="1">
      <c r="B16" s="49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3">
      <c r="B17" s="50" t="inlineStr">
        <is>
          <t>牧野フライス/ハーブ</t>
        </is>
      </c>
      <c r="C17" s="31" t="inlineStr">
        <is>
          <t>58期</t>
        </is>
      </c>
      <c r="D17" s="8" t="n"/>
      <c r="E17" s="8" t="n"/>
      <c r="F17" s="8" t="n"/>
      <c r="G17" s="8" t="n"/>
      <c r="H17" s="8" t="n"/>
      <c r="I17" s="9" t="n"/>
      <c r="J17" s="10">
        <f>SUM(D17:I17)</f>
        <v/>
      </c>
      <c r="K17" s="11" t="n"/>
      <c r="L17" s="8" t="n"/>
      <c r="M17" s="8" t="n"/>
      <c r="N17" s="8" t="n"/>
      <c r="O17" s="8" t="n"/>
      <c r="P17" s="9" t="n"/>
      <c r="Q17" s="10">
        <f>SUM(K17:P17)</f>
        <v/>
      </c>
      <c r="R17" s="10">
        <f>J17+Q17</f>
        <v/>
      </c>
      <c r="S17" s="16" t="n"/>
    </row>
    <row r="18" ht="18" customHeight="1" s="43">
      <c r="B18" s="48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3">
      <c r="B19" s="48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3" thickBot="1">
      <c r="B20" s="49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3">
      <c r="B21" s="50" t="inlineStr">
        <is>
          <t>牧野フライス/パプリカ</t>
        </is>
      </c>
      <c r="C21" s="31" t="inlineStr">
        <is>
          <t>58期</t>
        </is>
      </c>
      <c r="D21" s="8" t="n"/>
      <c r="E21" s="8" t="n"/>
      <c r="F21" s="8" t="n"/>
      <c r="G21" s="8" t="n"/>
      <c r="H21" s="8" t="n"/>
      <c r="I21" s="9" t="n"/>
      <c r="J21" s="10">
        <f>SUM(D21:I21)</f>
        <v/>
      </c>
      <c r="K21" s="11" t="n"/>
      <c r="L21" s="8" t="n"/>
      <c r="M21" s="8" t="n"/>
      <c r="N21" s="8" t="n"/>
      <c r="O21" s="8" t="n"/>
      <c r="P21" s="9" t="n"/>
      <c r="Q21" s="10">
        <f>SUM(K21:P21)</f>
        <v/>
      </c>
      <c r="R21" s="10">
        <f>J21+Q21</f>
        <v/>
      </c>
      <c r="S21" s="16" t="n"/>
    </row>
    <row r="22" ht="18" customHeight="1" s="43">
      <c r="B22" s="48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3">
      <c r="B23" s="48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3" thickBot="1">
      <c r="B24" s="49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3">
      <c r="B25" s="50" t="inlineStr">
        <is>
          <t>牧野フライス/ピーマン</t>
        </is>
      </c>
      <c r="C25" s="31" t="inlineStr">
        <is>
          <t>58期</t>
        </is>
      </c>
      <c r="D25" s="8" t="n"/>
      <c r="E25" s="8" t="n"/>
      <c r="F25" s="8" t="n"/>
      <c r="G25" s="8" t="n"/>
      <c r="H25" s="8" t="n"/>
      <c r="I25" s="9" t="n"/>
      <c r="J25" s="10">
        <f>SUM(D25:I25)</f>
        <v/>
      </c>
      <c r="K25" s="11" t="n"/>
      <c r="L25" s="8" t="n"/>
      <c r="M25" s="8" t="n"/>
      <c r="N25" s="8" t="n"/>
      <c r="O25" s="8" t="n"/>
      <c r="P25" s="9" t="n"/>
      <c r="Q25" s="10">
        <f>SUM(K25:P25)</f>
        <v/>
      </c>
      <c r="R25" s="10">
        <f>J25+Q25</f>
        <v/>
      </c>
      <c r="S25" s="16" t="n"/>
    </row>
    <row r="26" ht="18" customHeight="1" s="43">
      <c r="B26" s="48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3">
      <c r="B27" s="48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3" thickBot="1">
      <c r="B28" s="49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3">
      <c r="B29" s="50" t="inlineStr">
        <is>
          <t>牧野フライス/マイクロ</t>
        </is>
      </c>
      <c r="C29" s="31" t="inlineStr">
        <is>
          <t>58期</t>
        </is>
      </c>
      <c r="D29" s="8" t="n"/>
      <c r="E29" s="8" t="n"/>
      <c r="F29" s="8" t="n"/>
      <c r="G29" s="8" t="n"/>
      <c r="H29" s="8" t="n"/>
      <c r="I29" s="9" t="n"/>
      <c r="J29" s="10">
        <f>SUM(D29:I29)</f>
        <v/>
      </c>
      <c r="K29" s="11" t="n"/>
      <c r="L29" s="8" t="n"/>
      <c r="M29" s="8" t="n"/>
      <c r="N29" s="8" t="n"/>
      <c r="O29" s="8" t="n"/>
      <c r="P29" s="9" t="n"/>
      <c r="Q29" s="10">
        <f>SUM(K29:P29)</f>
        <v/>
      </c>
      <c r="R29" s="10">
        <f>J29+Q29</f>
        <v/>
      </c>
      <c r="S29" s="16" t="n"/>
    </row>
    <row r="30" ht="18" customHeight="1" s="43">
      <c r="B30" s="48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3">
      <c r="B31" s="48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3" thickBot="1">
      <c r="B32" s="49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3">
      <c r="B33" s="50" t="inlineStr">
        <is>
          <t>牧野フライス/ミニトマト</t>
        </is>
      </c>
      <c r="C33" s="31" t="inlineStr">
        <is>
          <t>58期</t>
        </is>
      </c>
      <c r="D33" s="8" t="n"/>
      <c r="E33" s="8" t="n"/>
      <c r="F33" s="8" t="n"/>
      <c r="G33" s="8" t="n"/>
      <c r="H33" s="8" t="n"/>
      <c r="I33" s="9" t="n"/>
      <c r="J33" s="10">
        <f>SUM(D33:I33)</f>
        <v/>
      </c>
      <c r="K33" s="11" t="n"/>
      <c r="L33" s="8" t="n"/>
      <c r="M33" s="8" t="n"/>
      <c r="N33" s="8" t="n"/>
      <c r="O33" s="8" t="n"/>
      <c r="P33" s="9" t="n"/>
      <c r="Q33" s="10">
        <f>SUM(K33:P33)</f>
        <v/>
      </c>
      <c r="R33" s="10">
        <f>J33+Q33</f>
        <v/>
      </c>
      <c r="S33" s="16" t="n"/>
    </row>
    <row r="34" ht="18" customHeight="1" s="43">
      <c r="B34" s="48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3">
      <c r="B35" s="48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3" thickBot="1">
      <c r="B36" s="49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3">
      <c r="B37" s="50" t="inlineStr">
        <is>
          <t>牧野フライス/根物野菜</t>
        </is>
      </c>
      <c r="C37" s="31" t="inlineStr">
        <is>
          <t>58期</t>
        </is>
      </c>
      <c r="D37" s="8" t="n"/>
      <c r="E37" s="8" t="n"/>
      <c r="F37" s="8" t="n"/>
      <c r="G37" s="8" t="n"/>
      <c r="H37" s="8" t="n"/>
      <c r="I37" s="9" t="n"/>
      <c r="J37" s="10">
        <f>SUM(D37:I37)</f>
        <v/>
      </c>
      <c r="K37" s="11" t="n"/>
      <c r="L37" s="8" t="n"/>
      <c r="M37" s="8" t="n"/>
      <c r="N37" s="8" t="n"/>
      <c r="O37" s="8" t="n"/>
      <c r="P37" s="9" t="n"/>
      <c r="Q37" s="10">
        <f>SUM(K37:P37)</f>
        <v/>
      </c>
      <c r="R37" s="10">
        <f>J37+Q37</f>
        <v/>
      </c>
      <c r="S37" s="16" t="n"/>
    </row>
    <row r="38" ht="18" customHeight="1" s="43">
      <c r="B38" s="48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3">
      <c r="B39" s="48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3" thickBot="1">
      <c r="B40" s="49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3">
      <c r="B41" s="50" t="inlineStr">
        <is>
          <t>牧野フライス/実物野菜</t>
        </is>
      </c>
      <c r="C41" s="31" t="inlineStr">
        <is>
          <t>58期</t>
        </is>
      </c>
      <c r="D41" s="8" t="n"/>
      <c r="E41" s="8" t="n"/>
      <c r="F41" s="8" t="n"/>
      <c r="G41" s="8" t="n"/>
      <c r="H41" s="8" t="n"/>
      <c r="I41" s="9" t="n"/>
      <c r="J41" s="10">
        <f>SUM(D41:I41)</f>
        <v/>
      </c>
      <c r="K41" s="11" t="n"/>
      <c r="L41" s="8" t="n"/>
      <c r="M41" s="8" t="n"/>
      <c r="N41" s="8" t="n"/>
      <c r="O41" s="8" t="n"/>
      <c r="P41" s="9" t="n"/>
      <c r="Q41" s="10">
        <f>SUM(K41:P41)</f>
        <v/>
      </c>
      <c r="R41" s="10">
        <f>J41+Q41</f>
        <v/>
      </c>
      <c r="S41" s="16" t="n"/>
    </row>
    <row r="42" ht="18" customHeight="1" s="43">
      <c r="B42" s="48" t="n"/>
      <c r="C42" s="7" t="inlineStr">
        <is>
          <t>59期</t>
        </is>
      </c>
      <c r="D42" s="12" t="n"/>
      <c r="E42" s="12" t="n"/>
      <c r="F42" s="12" t="n"/>
      <c r="G42" s="12" t="n"/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3">
      <c r="B43" s="48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3" thickBot="1">
      <c r="B44" s="49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3">
      <c r="B45" s="50" t="inlineStr">
        <is>
          <t>牧野フライス/食用花</t>
        </is>
      </c>
      <c r="C45" s="31" t="inlineStr">
        <is>
          <t>58期</t>
        </is>
      </c>
      <c r="D45" s="8" t="n"/>
      <c r="E45" s="8" t="n"/>
      <c r="F45" s="8" t="n"/>
      <c r="G45" s="8" t="n"/>
      <c r="H45" s="8" t="n"/>
      <c r="I45" s="9" t="n"/>
      <c r="J45" s="10">
        <f>SUM(D45:I45)</f>
        <v/>
      </c>
      <c r="K45" s="11" t="n"/>
      <c r="L45" s="8" t="n"/>
      <c r="M45" s="8" t="n"/>
      <c r="N45" s="8" t="n"/>
      <c r="O45" s="8" t="n"/>
      <c r="P45" s="9" t="n"/>
      <c r="Q45" s="10">
        <f>SUM(K45:P45)</f>
        <v/>
      </c>
      <c r="R45" s="10">
        <f>J45+Q45</f>
        <v/>
      </c>
      <c r="S45" s="16" t="n"/>
    </row>
    <row r="46" ht="18" customHeight="1" s="43">
      <c r="B46" s="48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3">
      <c r="B47" s="48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3" thickBot="1">
      <c r="B48" s="49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3">
      <c r="A49" s="0" t="n"/>
      <c r="B49" s="50" t="inlineStr">
        <is>
          <t>牧野フライス/葉物野菜</t>
        </is>
      </c>
      <c r="C49" s="31" t="inlineStr">
        <is>
          <t>58期</t>
        </is>
      </c>
      <c r="D49" s="8" t="n"/>
      <c r="E49" s="8" t="n"/>
      <c r="F49" s="8" t="n"/>
      <c r="G49" s="8" t="n"/>
      <c r="H49" s="8" t="n"/>
      <c r="I49" s="9" t="n"/>
      <c r="J49" s="10">
        <f>SUM(D49:I49)</f>
        <v/>
      </c>
      <c r="K49" s="11" t="n"/>
      <c r="L49" s="8" t="n"/>
      <c r="M49" s="8" t="n"/>
      <c r="N49" s="8" t="n"/>
      <c r="O49" s="8" t="n"/>
      <c r="P49" s="9" t="n"/>
      <c r="Q49" s="10">
        <f>SUM(K49:P49)</f>
        <v/>
      </c>
      <c r="R49" s="10">
        <f>J49+Q49</f>
        <v/>
      </c>
      <c r="S49" s="16" t="n"/>
    </row>
    <row r="50" ht="18" customHeight="1" s="43">
      <c r="A50" s="0" t="n"/>
      <c r="B50" s="48" t="n"/>
      <c r="C50" s="7" t="inlineStr">
        <is>
          <t>59期</t>
        </is>
      </c>
      <c r="D50" s="12" t="n"/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3">
      <c r="A51" s="0" t="n"/>
      <c r="B51" s="48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3" thickBot="1">
      <c r="A52" s="0" t="n"/>
      <c r="B52" s="49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3">
      <c r="A53" s="0" t="n"/>
      <c r="B53" s="50" t="inlineStr">
        <is>
          <t>日本ファブテック/イチゴ</t>
        </is>
      </c>
      <c r="C53" s="31" t="inlineStr">
        <is>
          <t>58期</t>
        </is>
      </c>
      <c r="D53" s="8" t="n"/>
      <c r="E53" s="8" t="n"/>
      <c r="F53" s="8" t="n"/>
      <c r="G53" s="8" t="n"/>
      <c r="H53" s="8" t="n"/>
      <c r="I53" s="9" t="n"/>
      <c r="J53" s="10">
        <f>SUM(D53:I53)</f>
        <v/>
      </c>
      <c r="K53" s="11" t="n"/>
      <c r="L53" s="8" t="n"/>
      <c r="M53" s="8" t="n"/>
      <c r="N53" s="8" t="n"/>
      <c r="O53" s="8" t="n"/>
      <c r="P53" s="9" t="n"/>
      <c r="Q53" s="10">
        <f>SUM(K53:P53)</f>
        <v/>
      </c>
      <c r="R53" s="10">
        <f>J53+Q53</f>
        <v/>
      </c>
      <c r="S53" s="16" t="n"/>
    </row>
    <row r="54" ht="18" customHeight="1" s="43">
      <c r="A54" s="0" t="n"/>
      <c r="B54" s="48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3">
      <c r="A55" s="0" t="n"/>
      <c r="B55" s="48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3" thickBot="1">
      <c r="A56" s="0" t="n"/>
      <c r="B56" s="49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3">
      <c r="A57" s="0" t="n"/>
      <c r="B57" s="50" t="inlineStr">
        <is>
          <t>日本ファブテック/トマト</t>
        </is>
      </c>
      <c r="C57" s="31" t="inlineStr">
        <is>
          <t>58期</t>
        </is>
      </c>
      <c r="D57" s="8" t="n"/>
      <c r="E57" s="8" t="n"/>
      <c r="F57" s="8" t="n"/>
      <c r="G57" s="8" t="n"/>
      <c r="H57" s="8" t="n"/>
      <c r="I57" s="9" t="n"/>
      <c r="J57" s="10">
        <f>SUM(D57:I57)</f>
        <v/>
      </c>
      <c r="K57" s="11" t="n"/>
      <c r="L57" s="8" t="n"/>
      <c r="M57" s="8" t="n"/>
      <c r="N57" s="8" t="n"/>
      <c r="O57" s="8" t="n"/>
      <c r="P57" s="9" t="n"/>
      <c r="Q57" s="10">
        <f>SUM(K57:P57)</f>
        <v/>
      </c>
      <c r="R57" s="10">
        <f>J57+Q57</f>
        <v/>
      </c>
      <c r="S57" s="16" t="n"/>
    </row>
    <row r="58" ht="18" customHeight="1" s="43">
      <c r="A58" s="0" t="n"/>
      <c r="B58" s="48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3">
      <c r="A59" s="0" t="n"/>
      <c r="B59" s="48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3" thickBot="1">
      <c r="A60" s="0" t="n"/>
      <c r="B60" s="49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3">
      <c r="A61" s="0" t="n"/>
      <c r="B61" s="50" t="inlineStr">
        <is>
          <t>日本ファブテック/ナス</t>
        </is>
      </c>
      <c r="C61" s="31" t="inlineStr">
        <is>
          <t>58期</t>
        </is>
      </c>
      <c r="D61" s="8" t="n"/>
      <c r="E61" s="8" t="n"/>
      <c r="F61" s="8" t="n"/>
      <c r="G61" s="8" t="n"/>
      <c r="H61" s="8" t="n"/>
      <c r="I61" s="9" t="n"/>
      <c r="J61" s="10">
        <f>SUM(D61:I61)</f>
        <v/>
      </c>
      <c r="K61" s="11" t="n"/>
      <c r="L61" s="8" t="n"/>
      <c r="M61" s="8" t="n"/>
      <c r="N61" s="8" t="n"/>
      <c r="O61" s="8" t="n"/>
      <c r="P61" s="9" t="n"/>
      <c r="Q61" s="10">
        <f>SUM(K61:P61)</f>
        <v/>
      </c>
      <c r="R61" s="10">
        <f>J61+Q61</f>
        <v/>
      </c>
      <c r="S61" s="16" t="n"/>
    </row>
    <row r="62" ht="18" customHeight="1" s="43">
      <c r="A62" s="0" t="n"/>
      <c r="B62" s="48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3">
      <c r="A63" s="0" t="n"/>
      <c r="B63" s="48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3" thickBot="1">
      <c r="A64" s="0" t="n"/>
      <c r="B64" s="49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3">
      <c r="A65" s="0" t="n"/>
      <c r="B65" s="50" t="inlineStr">
        <is>
          <t>日本ファブテック/ハーブ</t>
        </is>
      </c>
      <c r="C65" s="31" t="inlineStr">
        <is>
          <t>58期</t>
        </is>
      </c>
      <c r="D65" s="8" t="n"/>
      <c r="E65" s="8" t="n"/>
      <c r="F65" s="8" t="n"/>
      <c r="G65" s="8" t="n"/>
      <c r="H65" s="8" t="n"/>
      <c r="I65" s="9" t="n"/>
      <c r="J65" s="10">
        <f>SUM(D65:I65)</f>
        <v/>
      </c>
      <c r="K65" s="11" t="n"/>
      <c r="L65" s="8" t="n"/>
      <c r="M65" s="8" t="n"/>
      <c r="N65" s="8" t="n"/>
      <c r="O65" s="8" t="n"/>
      <c r="P65" s="9" t="n"/>
      <c r="Q65" s="10">
        <f>SUM(K65:P65)</f>
        <v/>
      </c>
      <c r="R65" s="10">
        <f>J65+Q65</f>
        <v/>
      </c>
      <c r="S65" s="16" t="n"/>
    </row>
    <row r="66" ht="18" customHeight="1" s="43">
      <c r="A66" s="0" t="n"/>
      <c r="B66" s="48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3">
      <c r="A67" s="0" t="n"/>
      <c r="B67" s="48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3" thickBot="1">
      <c r="A68" s="0" t="n"/>
      <c r="B68" s="49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3">
      <c r="A69" s="0" t="n"/>
      <c r="B69" s="50" t="inlineStr">
        <is>
          <t>日本ファブテック/パプリカ</t>
        </is>
      </c>
      <c r="C69" s="31" t="inlineStr">
        <is>
          <t>58期</t>
        </is>
      </c>
      <c r="D69" s="8" t="n"/>
      <c r="E69" s="8" t="n"/>
      <c r="F69" s="8" t="n"/>
      <c r="G69" s="8" t="n"/>
      <c r="H69" s="8" t="n"/>
      <c r="I69" s="9" t="n"/>
      <c r="J69" s="10">
        <f>SUM(D69:I69)</f>
        <v/>
      </c>
      <c r="K69" s="11" t="n"/>
      <c r="L69" s="8" t="n"/>
      <c r="M69" s="8" t="n"/>
      <c r="N69" s="8" t="n"/>
      <c r="O69" s="8" t="n"/>
      <c r="P69" s="9" t="n"/>
      <c r="Q69" s="10">
        <f>SUM(K69:P69)</f>
        <v/>
      </c>
      <c r="R69" s="10">
        <f>J69+Q69</f>
        <v/>
      </c>
      <c r="S69" s="16" t="n"/>
    </row>
    <row r="70" ht="18" customHeight="1" s="43">
      <c r="A70" s="0" t="n"/>
      <c r="B70" s="48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3">
      <c r="A71" s="0" t="n"/>
      <c r="B71" s="48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3" thickBot="1">
      <c r="A72" s="0" t="n"/>
      <c r="B72" s="49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3">
      <c r="A73" s="0" t="n"/>
      <c r="B73" s="50" t="inlineStr">
        <is>
          <t>日本ファブテック/ピーマン</t>
        </is>
      </c>
      <c r="C73" s="31" t="inlineStr">
        <is>
          <t>58期</t>
        </is>
      </c>
      <c r="D73" s="8" t="n"/>
      <c r="E73" s="8" t="n"/>
      <c r="F73" s="8" t="n"/>
      <c r="G73" s="8" t="n"/>
      <c r="H73" s="8" t="n"/>
      <c r="I73" s="9" t="n"/>
      <c r="J73" s="10">
        <f>SUM(D73:I73)</f>
        <v/>
      </c>
      <c r="K73" s="11" t="n"/>
      <c r="L73" s="8" t="n"/>
      <c r="M73" s="8" t="n"/>
      <c r="N73" s="8" t="n"/>
      <c r="O73" s="8" t="n"/>
      <c r="P73" s="9" t="n"/>
      <c r="Q73" s="10">
        <f>SUM(K73:P73)</f>
        <v/>
      </c>
      <c r="R73" s="10">
        <f>J73+Q73</f>
        <v/>
      </c>
      <c r="S73" s="16" t="n"/>
    </row>
    <row r="74" ht="18" customHeight="1" s="43">
      <c r="A74" s="0" t="n"/>
      <c r="B74" s="48" t="n"/>
      <c r="C74" s="7" t="inlineStr">
        <is>
          <t>59期</t>
        </is>
      </c>
      <c r="D74" s="12" t="n"/>
      <c r="E74" s="12" t="n"/>
      <c r="F74" s="12" t="n"/>
      <c r="G74" s="12" t="n"/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3">
      <c r="A75" s="0" t="n"/>
      <c r="B75" s="48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3" thickBot="1">
      <c r="A76" s="0" t="n"/>
      <c r="B76" s="49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3">
      <c r="A77" s="0" t="n"/>
      <c r="B77" s="50" t="inlineStr">
        <is>
          <t>日本ファブテック/マイクロ</t>
        </is>
      </c>
      <c r="C77" s="31" t="inlineStr">
        <is>
          <t>58期</t>
        </is>
      </c>
      <c r="D77" s="8" t="n"/>
      <c r="E77" s="8" t="n"/>
      <c r="F77" s="8" t="n"/>
      <c r="G77" s="8" t="n"/>
      <c r="H77" s="8" t="n"/>
      <c r="I77" s="9" t="n"/>
      <c r="J77" s="10">
        <f>SUM(D77:I77)</f>
        <v/>
      </c>
      <c r="K77" s="11" t="n"/>
      <c r="L77" s="8" t="n"/>
      <c r="M77" s="8" t="n"/>
      <c r="N77" s="8" t="n"/>
      <c r="O77" s="8" t="n"/>
      <c r="P77" s="9" t="n"/>
      <c r="Q77" s="10">
        <f>SUM(K77:P77)</f>
        <v/>
      </c>
      <c r="R77" s="10">
        <f>J77+Q77</f>
        <v/>
      </c>
      <c r="S77" s="16" t="n"/>
    </row>
    <row r="78" ht="18" customHeight="1" s="43">
      <c r="A78" s="0" t="n"/>
      <c r="B78" s="48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3">
      <c r="A79" s="0" t="n"/>
      <c r="B79" s="48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3" thickBot="1">
      <c r="A80" s="0" t="n"/>
      <c r="B80" s="49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3">
      <c r="A81" s="0" t="n"/>
      <c r="B81" s="50" t="inlineStr">
        <is>
          <t>日本ファブテック/ミニトマト</t>
        </is>
      </c>
      <c r="C81" s="31" t="inlineStr">
        <is>
          <t>58期</t>
        </is>
      </c>
      <c r="D81" s="8" t="n"/>
      <c r="E81" s="8" t="n"/>
      <c r="F81" s="8" t="n"/>
      <c r="G81" s="8" t="n"/>
      <c r="H81" s="8" t="n"/>
      <c r="I81" s="9" t="n"/>
      <c r="J81" s="10">
        <f>SUM(D81:I81)</f>
        <v/>
      </c>
      <c r="K81" s="11" t="n"/>
      <c r="L81" s="8" t="n"/>
      <c r="M81" s="8" t="n"/>
      <c r="N81" s="8" t="n"/>
      <c r="O81" s="8" t="n"/>
      <c r="P81" s="9" t="n"/>
      <c r="Q81" s="10">
        <f>SUM(K81:P81)</f>
        <v/>
      </c>
      <c r="R81" s="10">
        <f>J81+Q81</f>
        <v/>
      </c>
      <c r="S81" s="16" t="n"/>
    </row>
    <row r="82" ht="18" customHeight="1" s="43">
      <c r="A82" s="0" t="n"/>
      <c r="B82" s="48" t="n"/>
      <c r="C82" s="7" t="inlineStr">
        <is>
          <t>59期</t>
        </is>
      </c>
      <c r="D82" s="12" t="n"/>
      <c r="E82" s="12" t="n"/>
      <c r="F82" s="12" t="n"/>
      <c r="G82" s="12" t="n"/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3">
      <c r="A83" s="0" t="n"/>
      <c r="B83" s="48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3" thickBot="1">
      <c r="A84" s="0" t="n"/>
      <c r="B84" s="49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3">
      <c r="A85" s="0" t="n"/>
      <c r="B85" s="50" t="inlineStr">
        <is>
          <t>日本ファブテック/根物野菜</t>
        </is>
      </c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>
        <f>SUM(D85:I85)</f>
        <v/>
      </c>
      <c r="K85" s="11" t="n"/>
      <c r="L85" s="8" t="n"/>
      <c r="M85" s="8" t="n"/>
      <c r="N85" s="8" t="n"/>
      <c r="O85" s="8" t="n"/>
      <c r="P85" s="9" t="n"/>
      <c r="Q85" s="10">
        <f>SUM(K85:P85)</f>
        <v/>
      </c>
      <c r="R85" s="10">
        <f>J85+Q85</f>
        <v/>
      </c>
      <c r="S85" s="16" t="n"/>
    </row>
    <row r="86" ht="18" customHeight="1" s="43">
      <c r="A86" s="0" t="n"/>
      <c r="B86" s="48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3">
      <c r="A87" s="0" t="n"/>
      <c r="B87" s="48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3" thickBot="1">
      <c r="A88" s="0" t="n"/>
      <c r="B88" s="49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3">
      <c r="A89" s="0" t="n"/>
      <c r="B89" s="50" t="inlineStr">
        <is>
          <t>日本ファブテック/実物野菜</t>
        </is>
      </c>
      <c r="C89" s="31" t="inlineStr">
        <is>
          <t>58期</t>
        </is>
      </c>
      <c r="D89" s="8" t="n"/>
      <c r="E89" s="8" t="n"/>
      <c r="F89" s="8" t="n"/>
      <c r="G89" s="8" t="n"/>
      <c r="H89" s="8" t="n"/>
      <c r="I89" s="9" t="n"/>
      <c r="J89" s="10">
        <f>SUM(D89:I89)</f>
        <v/>
      </c>
      <c r="K89" s="11" t="n"/>
      <c r="L89" s="8" t="n"/>
      <c r="M89" s="8" t="n"/>
      <c r="N89" s="8" t="n"/>
      <c r="O89" s="8" t="n"/>
      <c r="P89" s="9" t="n"/>
      <c r="Q89" s="10">
        <f>SUM(K89:P89)</f>
        <v/>
      </c>
      <c r="R89" s="10">
        <f>J89+Q89</f>
        <v/>
      </c>
      <c r="S89" s="16" t="n"/>
    </row>
    <row r="90" ht="18" customHeight="1" s="43">
      <c r="A90" s="0" t="n"/>
      <c r="B90" s="48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3">
      <c r="A91" s="0" t="n"/>
      <c r="B91" s="48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3" thickBot="1">
      <c r="A92" s="0" t="n"/>
      <c r="B92" s="49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3">
      <c r="A93" s="0" t="n"/>
      <c r="B93" s="50" t="inlineStr">
        <is>
          <t>日本ファブテック/食用花</t>
        </is>
      </c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>
        <f>SUM(D93:I93)</f>
        <v/>
      </c>
      <c r="K93" s="11" t="n"/>
      <c r="L93" s="8" t="n"/>
      <c r="M93" s="8" t="n"/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3">
      <c r="A94" s="0" t="n"/>
      <c r="B94" s="48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3">
      <c r="A95" s="0" t="n"/>
      <c r="B95" s="48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3" thickBot="1">
      <c r="A96" s="0" t="n"/>
      <c r="B96" s="49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3">
      <c r="B97" s="50" t="inlineStr">
        <is>
          <t>日本ファブテック/葉物野菜</t>
        </is>
      </c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/>
      <c r="N97" s="8" t="n"/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3">
      <c r="B98" s="48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3">
      <c r="B99" s="48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3" thickBot="1">
      <c r="B100" s="49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3">
      <c r="B101" s="59" t="inlineStr">
        <is>
          <t>東レ/イチゴ</t>
        </is>
      </c>
      <c r="C101" s="31" t="inlineStr">
        <is>
          <t>58期</t>
        </is>
      </c>
      <c r="D101" s="8" t="n"/>
      <c r="E101" s="8" t="n"/>
      <c r="F101" s="8" t="n"/>
      <c r="G101" s="8" t="n">
        <v>2.55</v>
      </c>
      <c r="H101" s="8" t="n"/>
      <c r="I101" s="9" t="n"/>
      <c r="J101" s="10" t="n">
        <v>2.55</v>
      </c>
      <c r="K101" s="11" t="n"/>
      <c r="L101" s="8" t="n"/>
      <c r="M101" s="8" t="n"/>
      <c r="N101" s="8" t="n"/>
      <c r="O101" s="8" t="n"/>
      <c r="P101" s="9" t="n"/>
      <c r="Q101" s="10" t="n">
        <v>0</v>
      </c>
      <c r="R101" s="10" t="n">
        <v>2.55</v>
      </c>
      <c r="S101" s="16" t="n"/>
    </row>
    <row r="102" ht="18" customHeight="1" s="43">
      <c r="B102" s="48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3">
      <c r="B103" s="48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3" thickBot="1">
      <c r="B104" s="60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3">
      <c r="B105" s="59" t="inlineStr">
        <is>
          <t>東レ/トマト</t>
        </is>
      </c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>
        <f>SUM(D105:I105)</f>
        <v/>
      </c>
      <c r="K105" s="11" t="n"/>
      <c r="L105" s="8" t="n"/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3">
      <c r="B106" s="48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3">
      <c r="B107" s="48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3" thickBot="1">
      <c r="B108" s="60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3">
      <c r="B109" s="59" t="inlineStr">
        <is>
          <t>東レ/ナス</t>
        </is>
      </c>
      <c r="C109" s="31" t="inlineStr">
        <is>
          <t>58期</t>
        </is>
      </c>
      <c r="D109" s="8" t="n"/>
      <c r="E109" s="8" t="n"/>
      <c r="F109" s="8" t="n"/>
      <c r="G109" s="8" t="n"/>
      <c r="H109" s="8" t="n"/>
      <c r="I109" s="9" t="n"/>
      <c r="J109" s="10">
        <f>SUM(D109:I109)</f>
        <v/>
      </c>
      <c r="K109" s="11" t="n"/>
      <c r="L109" s="8" t="n"/>
      <c r="M109" s="8" t="n"/>
      <c r="N109" s="8" t="n"/>
      <c r="O109" s="8" t="n"/>
      <c r="P109" s="9" t="n"/>
      <c r="Q109" s="10">
        <f>SUM(K109:P109)</f>
        <v/>
      </c>
      <c r="R109" s="10">
        <f>J109+Q109</f>
        <v/>
      </c>
      <c r="S109" s="16" t="n"/>
    </row>
    <row r="110" ht="18" customHeight="1" s="43">
      <c r="B110" s="48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SUM(D110:I110)</f>
        <v/>
      </c>
      <c r="K110" s="15" t="n"/>
      <c r="L110" s="12" t="n"/>
      <c r="M110" s="12" t="n"/>
      <c r="N110" s="12" t="n"/>
      <c r="O110" s="12" t="n"/>
      <c r="P110" s="13" t="n"/>
      <c r="Q110" s="14">
        <f>SUM(K110:P110)</f>
        <v/>
      </c>
      <c r="R110" s="14">
        <f>J110+Q110</f>
        <v/>
      </c>
      <c r="S110" s="17" t="n"/>
    </row>
    <row r="111" ht="18" customHeight="1" s="43">
      <c r="B111" s="48" t="n"/>
      <c r="C111" s="23" t="inlineStr">
        <is>
          <t>増　減</t>
        </is>
      </c>
      <c r="D111" s="24">
        <f>D110-D109</f>
        <v/>
      </c>
      <c r="E111" s="24">
        <f>E110-E109</f>
        <v/>
      </c>
      <c r="F111" s="24">
        <f>F110-F109</f>
        <v/>
      </c>
      <c r="G111" s="24">
        <f>G110-G109</f>
        <v/>
      </c>
      <c r="H111" s="24">
        <f>H110-H109</f>
        <v/>
      </c>
      <c r="I111" s="27">
        <f>I110-I109</f>
        <v/>
      </c>
      <c r="J111" s="30">
        <f>SUM(D111:I111)</f>
        <v/>
      </c>
      <c r="K111" s="29">
        <f>K110-K109</f>
        <v/>
      </c>
      <c r="L111" s="24">
        <f>L110-L109</f>
        <v/>
      </c>
      <c r="M111" s="24">
        <f>M110-M109</f>
        <v/>
      </c>
      <c r="N111" s="24">
        <f>N110-N109</f>
        <v/>
      </c>
      <c r="O111" s="24">
        <f>O110-O109</f>
        <v/>
      </c>
      <c r="P111" s="27">
        <f>P110-P109</f>
        <v/>
      </c>
      <c r="Q111" s="30">
        <f>SUM(K111:P111)</f>
        <v/>
      </c>
      <c r="R111" s="30">
        <f>J111+Q111</f>
        <v/>
      </c>
      <c r="S111" s="17" t="n"/>
    </row>
    <row r="112" ht="18" customHeight="1" s="43" thickBot="1">
      <c r="B112" s="60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I112</f>
        <v/>
      </c>
      <c r="K112" s="22" t="n"/>
      <c r="L112" s="20" t="n"/>
      <c r="M112" s="20" t="n"/>
      <c r="N112" s="20" t="n"/>
      <c r="O112" s="20" t="n"/>
      <c r="P112" s="28" t="n"/>
      <c r="Q112" s="21">
        <f>P112</f>
        <v/>
      </c>
      <c r="R112" s="21">
        <f>Q112</f>
        <v/>
      </c>
      <c r="S112" s="18" t="n"/>
    </row>
    <row r="113" ht="18" customHeight="1" s="43">
      <c r="B113" s="59" t="inlineStr">
        <is>
          <t>東レ/ハーブ</t>
        </is>
      </c>
      <c r="C113" s="31" t="inlineStr">
        <is>
          <t>58期</t>
        </is>
      </c>
      <c r="D113" s="8" t="n"/>
      <c r="E113" s="8" t="n"/>
      <c r="F113" s="8" t="n"/>
      <c r="G113" s="8" t="n"/>
      <c r="H113" s="8" t="n"/>
      <c r="I113" s="9" t="n"/>
      <c r="J113" s="10">
        <f>SUM(D113:I113)</f>
        <v/>
      </c>
      <c r="K113" s="11" t="n"/>
      <c r="L113" s="8" t="n"/>
      <c r="M113" s="8" t="n"/>
      <c r="N113" s="8" t="n"/>
      <c r="O113" s="8" t="n"/>
      <c r="P113" s="9" t="n"/>
      <c r="Q113" s="10">
        <f>SUM(K113:P113)</f>
        <v/>
      </c>
      <c r="R113" s="10">
        <f>J113+Q113</f>
        <v/>
      </c>
      <c r="S113" s="16" t="n"/>
    </row>
    <row r="114" ht="18" customHeight="1" s="43">
      <c r="B114" s="48" t="n"/>
      <c r="C114" s="7" t="inlineStr">
        <is>
          <t>59期</t>
        </is>
      </c>
      <c r="D114" s="12" t="n"/>
      <c r="E114" s="12" t="n"/>
      <c r="F114" s="12" t="n"/>
      <c r="G114" s="12" t="n"/>
      <c r="H114" s="12" t="n"/>
      <c r="I114" s="13" t="n"/>
      <c r="J114" s="14">
        <f>SUM(D114:I114)</f>
        <v/>
      </c>
      <c r="K114" s="15" t="n"/>
      <c r="L114" s="12" t="n"/>
      <c r="M114" s="12" t="n"/>
      <c r="N114" s="12" t="n"/>
      <c r="O114" s="12" t="n"/>
      <c r="P114" s="13" t="n"/>
      <c r="Q114" s="14">
        <f>SUM(K114:P114)</f>
        <v/>
      </c>
      <c r="R114" s="14">
        <f>J114+Q114</f>
        <v/>
      </c>
      <c r="S114" s="17" t="n"/>
    </row>
    <row r="115" ht="18" customHeight="1" s="43">
      <c r="B115" s="48" t="n"/>
      <c r="C115" s="23" t="inlineStr">
        <is>
          <t>増　減</t>
        </is>
      </c>
      <c r="D115" s="24">
        <f>D114-D113</f>
        <v/>
      </c>
      <c r="E115" s="24">
        <f>E114-E113</f>
        <v/>
      </c>
      <c r="F115" s="24">
        <f>F114-F113</f>
        <v/>
      </c>
      <c r="G115" s="24">
        <f>G114-G113</f>
        <v/>
      </c>
      <c r="H115" s="24">
        <f>H114-H113</f>
        <v/>
      </c>
      <c r="I115" s="27">
        <f>I114-I113</f>
        <v/>
      </c>
      <c r="J115" s="30">
        <f>SUM(D115:I115)</f>
        <v/>
      </c>
      <c r="K115" s="29">
        <f>K114-K113</f>
        <v/>
      </c>
      <c r="L115" s="24">
        <f>L114-L113</f>
        <v/>
      </c>
      <c r="M115" s="24">
        <f>M114-M113</f>
        <v/>
      </c>
      <c r="N115" s="24">
        <f>N114-N113</f>
        <v/>
      </c>
      <c r="O115" s="24">
        <f>O114-O113</f>
        <v/>
      </c>
      <c r="P115" s="27">
        <f>P114-P113</f>
        <v/>
      </c>
      <c r="Q115" s="30">
        <f>SUM(K115:P115)</f>
        <v/>
      </c>
      <c r="R115" s="30">
        <f>J115+Q115</f>
        <v/>
      </c>
      <c r="S115" s="17" t="n"/>
    </row>
    <row r="116" ht="18" customHeight="1" s="43" thickBot="1">
      <c r="B116" s="60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I116</f>
        <v/>
      </c>
      <c r="K116" s="22" t="n"/>
      <c r="L116" s="20" t="n"/>
      <c r="M116" s="20" t="n"/>
      <c r="N116" s="20" t="n"/>
      <c r="O116" s="20" t="n"/>
      <c r="P116" s="28" t="n"/>
      <c r="Q116" s="21">
        <f>P116</f>
        <v/>
      </c>
      <c r="R116" s="21">
        <f>Q116</f>
        <v/>
      </c>
      <c r="S116" s="18" t="n"/>
    </row>
    <row r="117" ht="18" customHeight="1" s="43">
      <c r="B117" s="59" t="inlineStr">
        <is>
          <t>東レ/パプリカ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/>
      <c r="I117" s="9" t="n"/>
      <c r="J117" s="10">
        <f>SUM(D117:I117)</f>
        <v/>
      </c>
      <c r="K117" s="11" t="n"/>
      <c r="L117" s="8" t="n"/>
      <c r="M117" s="8" t="n"/>
      <c r="N117" s="8" t="n"/>
      <c r="O117" s="8" t="n"/>
      <c r="P117" s="9" t="n"/>
      <c r="Q117" s="10">
        <f>SUM(K117:P117)</f>
        <v/>
      </c>
      <c r="R117" s="10">
        <f>J117+Q117</f>
        <v/>
      </c>
      <c r="S117" s="16" t="n"/>
    </row>
    <row r="118" ht="18" customHeight="1" s="43">
      <c r="B118" s="48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SUM(D118:I118)</f>
        <v/>
      </c>
      <c r="K118" s="15" t="n"/>
      <c r="L118" s="12" t="n"/>
      <c r="M118" s="12" t="n"/>
      <c r="N118" s="12" t="n"/>
      <c r="O118" s="12" t="n"/>
      <c r="P118" s="13" t="n"/>
      <c r="Q118" s="14">
        <f>SUM(K118:P118)</f>
        <v/>
      </c>
      <c r="R118" s="14">
        <f>J118+Q118</f>
        <v/>
      </c>
      <c r="S118" s="17" t="n"/>
    </row>
    <row r="119" ht="18" customHeight="1" s="43">
      <c r="B119" s="48" t="n"/>
      <c r="C119" s="23" t="inlineStr">
        <is>
          <t>増　減</t>
        </is>
      </c>
      <c r="D119" s="24">
        <f>D118-D117</f>
        <v/>
      </c>
      <c r="E119" s="24">
        <f>E118-E117</f>
        <v/>
      </c>
      <c r="F119" s="24">
        <f>F118-F117</f>
        <v/>
      </c>
      <c r="G119" s="24">
        <f>G118-G117</f>
        <v/>
      </c>
      <c r="H119" s="24">
        <f>H118-H117</f>
        <v/>
      </c>
      <c r="I119" s="27">
        <f>I118-I117</f>
        <v/>
      </c>
      <c r="J119" s="30">
        <f>SUM(D119:I119)</f>
        <v/>
      </c>
      <c r="K119" s="29">
        <f>K118-K117</f>
        <v/>
      </c>
      <c r="L119" s="24">
        <f>L118-L117</f>
        <v/>
      </c>
      <c r="M119" s="24">
        <f>M118-M117</f>
        <v/>
      </c>
      <c r="N119" s="24">
        <f>N118-N117</f>
        <v/>
      </c>
      <c r="O119" s="24">
        <f>O118-O117</f>
        <v/>
      </c>
      <c r="P119" s="27">
        <f>P118-P117</f>
        <v/>
      </c>
      <c r="Q119" s="30">
        <f>SUM(K119:P119)</f>
        <v/>
      </c>
      <c r="R119" s="30">
        <f>J119+Q119</f>
        <v/>
      </c>
      <c r="S119" s="17" t="n"/>
    </row>
    <row r="120" ht="18" customHeight="1" s="43" thickBot="1">
      <c r="B120" s="60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I120</f>
        <v/>
      </c>
      <c r="K120" s="22" t="n"/>
      <c r="L120" s="20" t="n"/>
      <c r="M120" s="20" t="n"/>
      <c r="N120" s="20" t="n"/>
      <c r="O120" s="20" t="n"/>
      <c r="P120" s="28" t="n"/>
      <c r="Q120" s="21">
        <f>P120</f>
        <v/>
      </c>
      <c r="R120" s="21">
        <f>Q120</f>
        <v/>
      </c>
      <c r="S120" s="18" t="n"/>
    </row>
    <row r="121" ht="18" customHeight="1" s="43">
      <c r="B121" s="59" t="inlineStr">
        <is>
          <t>東レ/ピーマン</t>
        </is>
      </c>
      <c r="C121" s="31" t="inlineStr">
        <is>
          <t>58期</t>
        </is>
      </c>
      <c r="D121" s="8" t="n"/>
      <c r="E121" s="8" t="n"/>
      <c r="F121" s="8" t="n"/>
      <c r="G121" s="8" t="n"/>
      <c r="H121" s="8" t="n"/>
      <c r="I121" s="9" t="n"/>
      <c r="J121" s="10">
        <f>SUM(D121:I121)</f>
        <v/>
      </c>
      <c r="K121" s="11" t="n"/>
      <c r="L121" s="8" t="n"/>
      <c r="M121" s="8" t="n"/>
      <c r="N121" s="8" t="n"/>
      <c r="O121" s="8" t="n"/>
      <c r="P121" s="9" t="n"/>
      <c r="Q121" s="10">
        <f>SUM(K121:P121)</f>
        <v/>
      </c>
      <c r="R121" s="10">
        <f>J121+Q121</f>
        <v/>
      </c>
      <c r="S121" s="16" t="n"/>
    </row>
    <row r="122" ht="18" customHeight="1" s="43">
      <c r="B122" s="48" t="n"/>
      <c r="C122" s="7" t="inlineStr">
        <is>
          <t>59期</t>
        </is>
      </c>
      <c r="D122" s="12" t="n"/>
      <c r="E122" s="12" t="n"/>
      <c r="F122" s="12" t="n"/>
      <c r="G122" s="12" t="n"/>
      <c r="H122" s="12" t="n"/>
      <c r="I122" s="13" t="n"/>
      <c r="J122" s="14">
        <f>SUM(D122:I122)</f>
        <v/>
      </c>
      <c r="K122" s="15" t="n"/>
      <c r="L122" s="12" t="n"/>
      <c r="M122" s="12" t="n"/>
      <c r="N122" s="12" t="n"/>
      <c r="O122" s="12" t="n"/>
      <c r="P122" s="13" t="n"/>
      <c r="Q122" s="14">
        <f>SUM(K122:P122)</f>
        <v/>
      </c>
      <c r="R122" s="14">
        <f>J122+Q122</f>
        <v/>
      </c>
      <c r="S122" s="17" t="n"/>
    </row>
    <row r="123" ht="18" customHeight="1" s="43">
      <c r="B123" s="48" t="n"/>
      <c r="C123" s="23" t="inlineStr">
        <is>
          <t>増　減</t>
        </is>
      </c>
      <c r="D123" s="24">
        <f>D122-D121</f>
        <v/>
      </c>
      <c r="E123" s="24">
        <f>E122-E121</f>
        <v/>
      </c>
      <c r="F123" s="24">
        <f>F122-F121</f>
        <v/>
      </c>
      <c r="G123" s="24">
        <f>G122-G121</f>
        <v/>
      </c>
      <c r="H123" s="24">
        <f>H122-H121</f>
        <v/>
      </c>
      <c r="I123" s="27">
        <f>I122-I121</f>
        <v/>
      </c>
      <c r="J123" s="30">
        <f>SUM(D123:I123)</f>
        <v/>
      </c>
      <c r="K123" s="29">
        <f>K122-K121</f>
        <v/>
      </c>
      <c r="L123" s="24">
        <f>L122-L121</f>
        <v/>
      </c>
      <c r="M123" s="24">
        <f>M122-M121</f>
        <v/>
      </c>
      <c r="N123" s="24">
        <f>N122-N121</f>
        <v/>
      </c>
      <c r="O123" s="24">
        <f>O122-O121</f>
        <v/>
      </c>
      <c r="P123" s="27">
        <f>P122-P121</f>
        <v/>
      </c>
      <c r="Q123" s="30">
        <f>SUM(K123:P123)</f>
        <v/>
      </c>
      <c r="R123" s="30">
        <f>J123+Q123</f>
        <v/>
      </c>
      <c r="S123" s="17" t="n"/>
    </row>
    <row r="124" ht="18" customHeight="1" s="43" thickBot="1">
      <c r="B124" s="60" t="n"/>
      <c r="C124" s="25" t="inlineStr">
        <is>
          <t>稼働棟数</t>
        </is>
      </c>
      <c r="D124" s="20" t="n"/>
      <c r="E124" s="20" t="n"/>
      <c r="F124" s="20" t="n"/>
      <c r="G124" s="20" t="n"/>
      <c r="H124" s="20" t="n"/>
      <c r="I124" s="28" t="n"/>
      <c r="J124" s="21">
        <f>I124</f>
        <v/>
      </c>
      <c r="K124" s="22" t="n"/>
      <c r="L124" s="20" t="n"/>
      <c r="M124" s="20" t="n"/>
      <c r="N124" s="20" t="n"/>
      <c r="O124" s="20" t="n"/>
      <c r="P124" s="28" t="n"/>
      <c r="Q124" s="21">
        <f>P124</f>
        <v/>
      </c>
      <c r="R124" s="21">
        <f>Q124</f>
        <v/>
      </c>
      <c r="S124" s="18" t="n"/>
    </row>
    <row r="125" ht="18" customHeight="1" s="43">
      <c r="B125" s="59" t="inlineStr">
        <is>
          <t>東レ/マイクロ</t>
        </is>
      </c>
      <c r="C125" s="31" t="inlineStr">
        <is>
          <t>58期</t>
        </is>
      </c>
      <c r="D125" s="8" t="n"/>
      <c r="E125" s="8" t="n"/>
      <c r="F125" s="8" t="n"/>
      <c r="G125" s="8" t="n"/>
      <c r="H125" s="8" t="n"/>
      <c r="I125" s="9" t="n"/>
      <c r="J125" s="10">
        <f>SUM(D125:I125)</f>
        <v/>
      </c>
      <c r="K125" s="11" t="n"/>
      <c r="L125" s="8" t="n"/>
      <c r="M125" s="8" t="n"/>
      <c r="N125" s="8" t="n"/>
      <c r="O125" s="8" t="n"/>
      <c r="P125" s="9" t="n"/>
      <c r="Q125" s="10">
        <f>SUM(K125:P125)</f>
        <v/>
      </c>
      <c r="R125" s="10">
        <f>J125+Q125</f>
        <v/>
      </c>
      <c r="S125" s="16" t="n"/>
    </row>
    <row r="126" ht="18" customHeight="1" s="43">
      <c r="B126" s="48" t="n"/>
      <c r="C126" s="7" t="inlineStr">
        <is>
          <t>59期</t>
        </is>
      </c>
      <c r="D126" s="12" t="n"/>
      <c r="E126" s="12" t="n"/>
      <c r="F126" s="12" t="n"/>
      <c r="G126" s="12" t="n"/>
      <c r="H126" s="12" t="n"/>
      <c r="I126" s="13" t="n"/>
      <c r="J126" s="14">
        <f>SUM(D126:I126)</f>
        <v/>
      </c>
      <c r="K126" s="15" t="n"/>
      <c r="L126" s="12" t="n"/>
      <c r="M126" s="12" t="n"/>
      <c r="N126" s="12" t="n"/>
      <c r="O126" s="12" t="n"/>
      <c r="P126" s="13" t="n"/>
      <c r="Q126" s="14">
        <f>SUM(K126:P126)</f>
        <v/>
      </c>
      <c r="R126" s="14">
        <f>J126+Q126</f>
        <v/>
      </c>
      <c r="S126" s="17" t="n"/>
    </row>
    <row r="127" ht="18" customHeight="1" s="43">
      <c r="B127" s="48" t="n"/>
      <c r="C127" s="23" t="inlineStr">
        <is>
          <t>増　減</t>
        </is>
      </c>
      <c r="D127" s="24">
        <f>D126-D125</f>
        <v/>
      </c>
      <c r="E127" s="24">
        <f>E126-E125</f>
        <v/>
      </c>
      <c r="F127" s="24">
        <f>F126-F125</f>
        <v/>
      </c>
      <c r="G127" s="24">
        <f>G126-G125</f>
        <v/>
      </c>
      <c r="H127" s="24">
        <f>H126-H125</f>
        <v/>
      </c>
      <c r="I127" s="27">
        <f>I126-I125</f>
        <v/>
      </c>
      <c r="J127" s="30">
        <f>SUM(D127:I127)</f>
        <v/>
      </c>
      <c r="K127" s="29">
        <f>K126-K125</f>
        <v/>
      </c>
      <c r="L127" s="24">
        <f>L126-L125</f>
        <v/>
      </c>
      <c r="M127" s="24">
        <f>M126-M125</f>
        <v/>
      </c>
      <c r="N127" s="24">
        <f>N126-N125</f>
        <v/>
      </c>
      <c r="O127" s="24">
        <f>O126-O125</f>
        <v/>
      </c>
      <c r="P127" s="27">
        <f>P126-P125</f>
        <v/>
      </c>
      <c r="Q127" s="30">
        <f>SUM(K127:P127)</f>
        <v/>
      </c>
      <c r="R127" s="30">
        <f>J127+Q127</f>
        <v/>
      </c>
      <c r="S127" s="17" t="n"/>
    </row>
    <row r="128" ht="18" customHeight="1" s="43" thickBot="1">
      <c r="B128" s="60" t="n"/>
      <c r="C128" s="25" t="inlineStr">
        <is>
          <t>稼働棟数</t>
        </is>
      </c>
      <c r="D128" s="20" t="n"/>
      <c r="E128" s="20" t="n"/>
      <c r="F128" s="20" t="n"/>
      <c r="G128" s="20" t="n"/>
      <c r="H128" s="20" t="n"/>
      <c r="I128" s="28" t="n"/>
      <c r="J128" s="21">
        <f>I128</f>
        <v/>
      </c>
      <c r="K128" s="22" t="n"/>
      <c r="L128" s="20" t="n"/>
      <c r="M128" s="20" t="n"/>
      <c r="N128" s="20" t="n"/>
      <c r="O128" s="20" t="n"/>
      <c r="P128" s="28" t="n"/>
      <c r="Q128" s="21">
        <f>P128</f>
        <v/>
      </c>
      <c r="R128" s="21">
        <f>Q128</f>
        <v/>
      </c>
      <c r="S128" s="18" t="n"/>
    </row>
    <row r="129" ht="18" customHeight="1" s="43">
      <c r="B129" s="59" t="inlineStr">
        <is>
          <t>東レ/ミニトマト</t>
        </is>
      </c>
      <c r="C129" s="31" t="inlineStr">
        <is>
          <t>58期</t>
        </is>
      </c>
      <c r="D129" s="8" t="n"/>
      <c r="E129" s="8" t="n"/>
      <c r="F129" s="8" t="n"/>
      <c r="G129" s="8" t="n"/>
      <c r="H129" s="8" t="n"/>
      <c r="I129" s="9" t="n"/>
      <c r="J129" s="10">
        <f>SUM(D129:I129)</f>
        <v/>
      </c>
      <c r="K129" s="11" t="n"/>
      <c r="L129" s="8" t="n"/>
      <c r="M129" s="8" t="n"/>
      <c r="N129" s="8" t="n"/>
      <c r="O129" s="8" t="n"/>
      <c r="P129" s="9" t="n"/>
      <c r="Q129" s="10">
        <f>SUM(K129:P129)</f>
        <v/>
      </c>
      <c r="R129" s="10">
        <f>J129+Q129</f>
        <v/>
      </c>
      <c r="S129" s="16" t="n"/>
    </row>
    <row r="130" ht="18" customHeight="1" s="43">
      <c r="B130" s="48" t="n"/>
      <c r="C130" s="7" t="inlineStr">
        <is>
          <t>59期</t>
        </is>
      </c>
      <c r="D130" s="12" t="n"/>
      <c r="E130" s="12" t="n"/>
      <c r="F130" s="12" t="n"/>
      <c r="G130" s="12" t="n"/>
      <c r="H130" s="12" t="n"/>
      <c r="I130" s="13" t="n"/>
      <c r="J130" s="14">
        <f>SUM(D130:I130)</f>
        <v/>
      </c>
      <c r="K130" s="15" t="n"/>
      <c r="L130" s="12" t="n"/>
      <c r="M130" s="12" t="n"/>
      <c r="N130" s="12" t="n"/>
      <c r="O130" s="12" t="n"/>
      <c r="P130" s="13" t="n"/>
      <c r="Q130" s="14">
        <f>SUM(K130:P130)</f>
        <v/>
      </c>
      <c r="R130" s="14">
        <f>J130+Q130</f>
        <v/>
      </c>
      <c r="S130" s="17" t="n"/>
    </row>
    <row r="131" ht="18" customHeight="1" s="43">
      <c r="B131" s="48" t="n"/>
      <c r="C131" s="23" t="inlineStr">
        <is>
          <t>増　減</t>
        </is>
      </c>
      <c r="D131" s="24">
        <f>D130-D129</f>
        <v/>
      </c>
      <c r="E131" s="24">
        <f>E130-E129</f>
        <v/>
      </c>
      <c r="F131" s="24">
        <f>F130-F129</f>
        <v/>
      </c>
      <c r="G131" s="24">
        <f>G130-G129</f>
        <v/>
      </c>
      <c r="H131" s="24">
        <f>H130-H129</f>
        <v/>
      </c>
      <c r="I131" s="27">
        <f>I130-I129</f>
        <v/>
      </c>
      <c r="J131" s="30">
        <f>SUM(D131:I131)</f>
        <v/>
      </c>
      <c r="K131" s="29">
        <f>K130-K129</f>
        <v/>
      </c>
      <c r="L131" s="24">
        <f>L130-L129</f>
        <v/>
      </c>
      <c r="M131" s="24">
        <f>M130-M129</f>
        <v/>
      </c>
      <c r="N131" s="24">
        <f>N130-N129</f>
        <v/>
      </c>
      <c r="O131" s="24">
        <f>O130-O129</f>
        <v/>
      </c>
      <c r="P131" s="27">
        <f>P130-P129</f>
        <v/>
      </c>
      <c r="Q131" s="30">
        <f>SUM(K131:P131)</f>
        <v/>
      </c>
      <c r="R131" s="30">
        <f>J131+Q131</f>
        <v/>
      </c>
      <c r="S131" s="17" t="n"/>
    </row>
    <row r="132" ht="18" customHeight="1" s="43" thickBot="1">
      <c r="B132" s="60" t="n"/>
      <c r="C132" s="25" t="inlineStr">
        <is>
          <t>稼働棟数</t>
        </is>
      </c>
      <c r="D132" s="20" t="n"/>
      <c r="E132" s="20" t="n"/>
      <c r="F132" s="20" t="n"/>
      <c r="G132" s="20" t="n"/>
      <c r="H132" s="20" t="n"/>
      <c r="I132" s="28" t="n"/>
      <c r="J132" s="21">
        <f>I132</f>
        <v/>
      </c>
      <c r="K132" s="22" t="n"/>
      <c r="L132" s="20" t="n"/>
      <c r="M132" s="20" t="n"/>
      <c r="N132" s="20" t="n"/>
      <c r="O132" s="20" t="n"/>
      <c r="P132" s="28" t="n"/>
      <c r="Q132" s="21">
        <f>P132</f>
        <v/>
      </c>
      <c r="R132" s="21">
        <f>Q132</f>
        <v/>
      </c>
      <c r="S132" s="18" t="n"/>
    </row>
    <row r="133" ht="18" customHeight="1" s="43">
      <c r="B133" s="59" t="inlineStr">
        <is>
          <t>東レ/根物野菜</t>
        </is>
      </c>
      <c r="C133" s="31" t="inlineStr">
        <is>
          <t>58期</t>
        </is>
      </c>
      <c r="D133" s="8" t="n"/>
      <c r="E133" s="8" t="n"/>
      <c r="F133" s="8" t="n"/>
      <c r="G133" s="8" t="n"/>
      <c r="H133" s="8" t="n"/>
      <c r="I133" s="9" t="n"/>
      <c r="J133" s="10">
        <f>SUM(D133:I133)</f>
        <v/>
      </c>
      <c r="K133" s="11" t="n"/>
      <c r="L133" s="8" t="n"/>
      <c r="M133" s="8" t="n"/>
      <c r="N133" s="8" t="n"/>
      <c r="O133" s="8" t="n"/>
      <c r="P133" s="9" t="n"/>
      <c r="Q133" s="10">
        <f>SUM(K133:P133)</f>
        <v/>
      </c>
      <c r="R133" s="10">
        <f>J133+Q133</f>
        <v/>
      </c>
      <c r="S133" s="16" t="n"/>
    </row>
    <row r="134" ht="18" customHeight="1" s="43">
      <c r="B134" s="48" t="n"/>
      <c r="C134" s="7" t="inlineStr">
        <is>
          <t>59期</t>
        </is>
      </c>
      <c r="D134" s="12" t="n"/>
      <c r="E134" s="12" t="n"/>
      <c r="F134" s="12" t="n"/>
      <c r="G134" s="12" t="n"/>
      <c r="H134" s="12" t="n"/>
      <c r="I134" s="13" t="n"/>
      <c r="J134" s="14">
        <f>SUM(D134:I134)</f>
        <v/>
      </c>
      <c r="K134" s="15" t="n"/>
      <c r="L134" s="12" t="n"/>
      <c r="M134" s="12" t="n"/>
      <c r="N134" s="12" t="n"/>
      <c r="O134" s="12" t="n"/>
      <c r="P134" s="13" t="n"/>
      <c r="Q134" s="14">
        <f>SUM(K134:P134)</f>
        <v/>
      </c>
      <c r="R134" s="14">
        <f>J134+Q134</f>
        <v/>
      </c>
      <c r="S134" s="17" t="n"/>
    </row>
    <row r="135" ht="18" customHeight="1" s="43">
      <c r="B135" s="48" t="n"/>
      <c r="C135" s="23" t="inlineStr">
        <is>
          <t>増　減</t>
        </is>
      </c>
      <c r="D135" s="24">
        <f>D134-D133</f>
        <v/>
      </c>
      <c r="E135" s="24">
        <f>E134-E133</f>
        <v/>
      </c>
      <c r="F135" s="24">
        <f>F134-F133</f>
        <v/>
      </c>
      <c r="G135" s="24">
        <f>G134-G133</f>
        <v/>
      </c>
      <c r="H135" s="24">
        <f>H134-H133</f>
        <v/>
      </c>
      <c r="I135" s="27">
        <f>I134-I133</f>
        <v/>
      </c>
      <c r="J135" s="30">
        <f>SUM(D135:I135)</f>
        <v/>
      </c>
      <c r="K135" s="29">
        <f>K134-K133</f>
        <v/>
      </c>
      <c r="L135" s="24">
        <f>L134-L133</f>
        <v/>
      </c>
      <c r="M135" s="24">
        <f>M134-M133</f>
        <v/>
      </c>
      <c r="N135" s="24">
        <f>N134-N133</f>
        <v/>
      </c>
      <c r="O135" s="24">
        <f>O134-O133</f>
        <v/>
      </c>
      <c r="P135" s="27">
        <f>P134-P133</f>
        <v/>
      </c>
      <c r="Q135" s="30">
        <f>SUM(K135:P135)</f>
        <v/>
      </c>
      <c r="R135" s="30">
        <f>J135+Q135</f>
        <v/>
      </c>
      <c r="S135" s="17" t="n"/>
    </row>
    <row r="136" ht="18" customHeight="1" s="43" thickBot="1">
      <c r="B136" s="60" t="n"/>
      <c r="C136" s="25" t="inlineStr">
        <is>
          <t>稼働棟数</t>
        </is>
      </c>
      <c r="D136" s="20" t="n"/>
      <c r="E136" s="20" t="n"/>
      <c r="F136" s="20" t="n"/>
      <c r="G136" s="20" t="n"/>
      <c r="H136" s="20" t="n"/>
      <c r="I136" s="28" t="n"/>
      <c r="J136" s="21">
        <f>I136</f>
        <v/>
      </c>
      <c r="K136" s="22" t="n"/>
      <c r="L136" s="20" t="n"/>
      <c r="M136" s="20" t="n"/>
      <c r="N136" s="20" t="n"/>
      <c r="O136" s="20" t="n"/>
      <c r="P136" s="28" t="n"/>
      <c r="Q136" s="21">
        <f>P136</f>
        <v/>
      </c>
      <c r="R136" s="21">
        <f>Q136</f>
        <v/>
      </c>
      <c r="S136" s="18" t="n"/>
    </row>
    <row r="137" ht="18" customHeight="1" s="43">
      <c r="B137" s="59" t="inlineStr">
        <is>
          <t>東レ/実物野菜</t>
        </is>
      </c>
      <c r="C137" s="31" t="inlineStr">
        <is>
          <t>58期</t>
        </is>
      </c>
      <c r="D137" s="8" t="n"/>
      <c r="E137" s="8" t="n"/>
      <c r="F137" s="8" t="n"/>
      <c r="G137" s="8" t="n"/>
      <c r="H137" s="8" t="n"/>
      <c r="I137" s="9" t="n"/>
      <c r="J137" s="10">
        <f>SUM(D137:I137)</f>
        <v/>
      </c>
      <c r="K137" s="11" t="n"/>
      <c r="L137" s="8" t="n"/>
      <c r="M137" s="8" t="n"/>
      <c r="N137" s="8" t="n"/>
      <c r="O137" s="8" t="n"/>
      <c r="P137" s="9" t="n"/>
      <c r="Q137" s="10">
        <f>SUM(K137:P137)</f>
        <v/>
      </c>
      <c r="R137" s="10">
        <f>J137+Q137</f>
        <v/>
      </c>
      <c r="S137" s="16" t="n"/>
    </row>
    <row r="138" ht="18" customHeight="1" s="43">
      <c r="B138" s="48" t="n"/>
      <c r="C138" s="7" t="inlineStr">
        <is>
          <t>59期</t>
        </is>
      </c>
      <c r="D138" s="12" t="n"/>
      <c r="E138" s="12" t="n"/>
      <c r="F138" s="12" t="n"/>
      <c r="G138" s="12" t="n"/>
      <c r="H138" s="12" t="n"/>
      <c r="I138" s="13" t="n"/>
      <c r="J138" s="14">
        <f>SUM(D138:I138)</f>
        <v/>
      </c>
      <c r="K138" s="15" t="n"/>
      <c r="L138" s="12" t="n"/>
      <c r="M138" s="12" t="n"/>
      <c r="N138" s="12" t="n"/>
      <c r="O138" s="12" t="n"/>
      <c r="P138" s="13" t="n"/>
      <c r="Q138" s="14">
        <f>SUM(K138:P138)</f>
        <v/>
      </c>
      <c r="R138" s="14">
        <f>J138+Q138</f>
        <v/>
      </c>
      <c r="S138" s="17" t="n"/>
    </row>
    <row r="139" ht="18" customHeight="1" s="43">
      <c r="B139" s="48" t="n"/>
      <c r="C139" s="23" t="inlineStr">
        <is>
          <t>増　減</t>
        </is>
      </c>
      <c r="D139" s="24">
        <f>D138-D137</f>
        <v/>
      </c>
      <c r="E139" s="24">
        <f>E138-E137</f>
        <v/>
      </c>
      <c r="F139" s="24">
        <f>F138-F137</f>
        <v/>
      </c>
      <c r="G139" s="24">
        <f>G138-G137</f>
        <v/>
      </c>
      <c r="H139" s="24">
        <f>H138-H137</f>
        <v/>
      </c>
      <c r="I139" s="27">
        <f>I138-I137</f>
        <v/>
      </c>
      <c r="J139" s="30">
        <f>SUM(D139:I139)</f>
        <v/>
      </c>
      <c r="K139" s="29">
        <f>K138-K137</f>
        <v/>
      </c>
      <c r="L139" s="24">
        <f>L138-L137</f>
        <v/>
      </c>
      <c r="M139" s="24">
        <f>M138-M137</f>
        <v/>
      </c>
      <c r="N139" s="24">
        <f>N138-N137</f>
        <v/>
      </c>
      <c r="O139" s="24">
        <f>O138-O137</f>
        <v/>
      </c>
      <c r="P139" s="27">
        <f>P138-P137</f>
        <v/>
      </c>
      <c r="Q139" s="30">
        <f>SUM(K139:P139)</f>
        <v/>
      </c>
      <c r="R139" s="30">
        <f>J139+Q139</f>
        <v/>
      </c>
      <c r="S139" s="17" t="n"/>
    </row>
    <row r="140" ht="18" customHeight="1" s="43" thickBot="1">
      <c r="B140" s="60" t="n"/>
      <c r="C140" s="25" t="inlineStr">
        <is>
          <t>稼働棟数</t>
        </is>
      </c>
      <c r="D140" s="20" t="n"/>
      <c r="E140" s="20" t="n"/>
      <c r="F140" s="20" t="n"/>
      <c r="G140" s="20" t="n"/>
      <c r="H140" s="20" t="n"/>
      <c r="I140" s="28" t="n"/>
      <c r="J140" s="21">
        <f>I140</f>
        <v/>
      </c>
      <c r="K140" s="22" t="n"/>
      <c r="L140" s="20" t="n"/>
      <c r="M140" s="20" t="n"/>
      <c r="N140" s="20" t="n"/>
      <c r="O140" s="20" t="n"/>
      <c r="P140" s="28" t="n"/>
      <c r="Q140" s="21">
        <f>P140</f>
        <v/>
      </c>
      <c r="R140" s="21">
        <f>Q140</f>
        <v/>
      </c>
      <c r="S140" s="18" t="n"/>
    </row>
    <row r="141" ht="18" customHeight="1" s="43">
      <c r="B141" s="59" t="inlineStr">
        <is>
          <t>東レ/食用花</t>
        </is>
      </c>
      <c r="C141" s="31" t="inlineStr">
        <is>
          <t>58期</t>
        </is>
      </c>
      <c r="D141" s="8" t="n"/>
      <c r="E141" s="8" t="n"/>
      <c r="F141" s="8" t="n"/>
      <c r="G141" s="8" t="n"/>
      <c r="H141" s="8" t="n"/>
      <c r="I141" s="9" t="n"/>
      <c r="J141" s="10">
        <f>SUM(D141:I141)</f>
        <v/>
      </c>
      <c r="K141" s="11" t="n"/>
      <c r="L141" s="8" t="n"/>
      <c r="M141" s="8" t="n"/>
      <c r="N141" s="8" t="n"/>
      <c r="O141" s="8" t="n"/>
      <c r="P141" s="9" t="n"/>
      <c r="Q141" s="10">
        <f>SUM(K141:P141)</f>
        <v/>
      </c>
      <c r="R141" s="10">
        <f>J141+Q141</f>
        <v/>
      </c>
      <c r="S141" s="16" t="n"/>
    </row>
    <row r="142" ht="18" customHeight="1" s="43">
      <c r="B142" s="48" t="n"/>
      <c r="C142" s="7" t="inlineStr">
        <is>
          <t>59期</t>
        </is>
      </c>
      <c r="D142" s="12" t="n"/>
      <c r="E142" s="12" t="n"/>
      <c r="F142" s="12" t="n"/>
      <c r="G142" s="12" t="n"/>
      <c r="H142" s="12" t="n"/>
      <c r="I142" s="13" t="n"/>
      <c r="J142" s="14">
        <f>SUM(D142:I142)</f>
        <v/>
      </c>
      <c r="K142" s="15" t="n"/>
      <c r="L142" s="12" t="n"/>
      <c r="M142" s="12" t="n"/>
      <c r="N142" s="12" t="n"/>
      <c r="O142" s="12" t="n"/>
      <c r="P142" s="13" t="n"/>
      <c r="Q142" s="14">
        <f>SUM(K142:P142)</f>
        <v/>
      </c>
      <c r="R142" s="14">
        <f>J142+Q142</f>
        <v/>
      </c>
      <c r="S142" s="17" t="n"/>
    </row>
    <row r="143" ht="18" customHeight="1" s="43">
      <c r="B143" s="48" t="n"/>
      <c r="C143" s="23" t="inlineStr">
        <is>
          <t>増　減</t>
        </is>
      </c>
      <c r="D143" s="24">
        <f>D142-D141</f>
        <v/>
      </c>
      <c r="E143" s="24">
        <f>E142-E141</f>
        <v/>
      </c>
      <c r="F143" s="24">
        <f>F142-F141</f>
        <v/>
      </c>
      <c r="G143" s="24">
        <f>G142-G141</f>
        <v/>
      </c>
      <c r="H143" s="24">
        <f>H142-H141</f>
        <v/>
      </c>
      <c r="I143" s="27">
        <f>I142-I141</f>
        <v/>
      </c>
      <c r="J143" s="30">
        <f>SUM(D143:I143)</f>
        <v/>
      </c>
      <c r="K143" s="29">
        <f>K142-K141</f>
        <v/>
      </c>
      <c r="L143" s="24">
        <f>L142-L141</f>
        <v/>
      </c>
      <c r="M143" s="24">
        <f>M142-M141</f>
        <v/>
      </c>
      <c r="N143" s="24">
        <f>N142-N141</f>
        <v/>
      </c>
      <c r="O143" s="24">
        <f>O142-O141</f>
        <v/>
      </c>
      <c r="P143" s="27">
        <f>P142-P141</f>
        <v/>
      </c>
      <c r="Q143" s="30">
        <f>SUM(K143:P143)</f>
        <v/>
      </c>
      <c r="R143" s="30">
        <f>J143+Q143</f>
        <v/>
      </c>
      <c r="S143" s="17" t="n"/>
    </row>
    <row r="144" ht="18" customHeight="1" s="43" thickBot="1">
      <c r="B144" s="60" t="n"/>
      <c r="C144" s="25" t="inlineStr">
        <is>
          <t>稼働棟数</t>
        </is>
      </c>
      <c r="D144" s="20" t="n"/>
      <c r="E144" s="20" t="n"/>
      <c r="F144" s="20" t="n"/>
      <c r="G144" s="20" t="n"/>
      <c r="H144" s="20" t="n"/>
      <c r="I144" s="28" t="n"/>
      <c r="J144" s="21">
        <f>I144</f>
        <v/>
      </c>
      <c r="K144" s="22" t="n"/>
      <c r="L144" s="20" t="n"/>
      <c r="M144" s="20" t="n"/>
      <c r="N144" s="20" t="n"/>
      <c r="O144" s="20" t="n"/>
      <c r="P144" s="28" t="n"/>
      <c r="Q144" s="21">
        <f>P144</f>
        <v/>
      </c>
      <c r="R144" s="21">
        <f>Q144</f>
        <v/>
      </c>
      <c r="S144" s="18" t="n"/>
    </row>
    <row r="145" ht="18" customHeight="1" s="43">
      <c r="B145" s="59" t="inlineStr">
        <is>
          <t>東レ/葉物野菜</t>
        </is>
      </c>
      <c r="C145" s="31" t="inlineStr">
        <is>
          <t>58期</t>
        </is>
      </c>
      <c r="D145" s="8" t="n"/>
      <c r="E145" s="8" t="n"/>
      <c r="F145" s="8" t="n"/>
      <c r="G145" s="8" t="n"/>
      <c r="H145" s="8" t="n"/>
      <c r="I145" s="9" t="n"/>
      <c r="J145" s="10">
        <f>SUM(D145:I145)</f>
        <v/>
      </c>
      <c r="K145" s="11" t="n"/>
      <c r="L145" s="8" t="n"/>
      <c r="M145" s="8" t="n"/>
      <c r="N145" s="8" t="n"/>
      <c r="O145" s="8" t="n"/>
      <c r="P145" s="9" t="n"/>
      <c r="Q145" s="10">
        <f>SUM(K145:P145)</f>
        <v/>
      </c>
      <c r="R145" s="10">
        <f>J145+Q145</f>
        <v/>
      </c>
      <c r="S145" s="16" t="n"/>
    </row>
    <row r="146" ht="18" customHeight="1" s="43">
      <c r="B146" s="48" t="n"/>
      <c r="C146" s="7" t="inlineStr">
        <is>
          <t>59期</t>
        </is>
      </c>
      <c r="D146" s="12" t="n"/>
      <c r="E146" s="12" t="n"/>
      <c r="F146" s="12" t="n"/>
      <c r="G146" s="12" t="n"/>
      <c r="H146" s="12" t="n"/>
      <c r="I146" s="13" t="n"/>
      <c r="J146" s="14">
        <f>SUM(D146:I146)</f>
        <v/>
      </c>
      <c r="K146" s="15" t="n"/>
      <c r="L146" s="12" t="n"/>
      <c r="M146" s="12" t="n"/>
      <c r="N146" s="12" t="n"/>
      <c r="O146" s="12" t="n"/>
      <c r="P146" s="13" t="n"/>
      <c r="Q146" s="14">
        <f>SUM(K146:P146)</f>
        <v/>
      </c>
      <c r="R146" s="14">
        <f>J146+Q146</f>
        <v/>
      </c>
      <c r="S146" s="17" t="n"/>
    </row>
    <row r="147" ht="18" customHeight="1" s="43">
      <c r="B147" s="48" t="n"/>
      <c r="C147" s="23" t="inlineStr">
        <is>
          <t>増　減</t>
        </is>
      </c>
      <c r="D147" s="24">
        <f>D146-D145</f>
        <v/>
      </c>
      <c r="E147" s="24">
        <f>E146-E145</f>
        <v/>
      </c>
      <c r="F147" s="24">
        <f>F146-F145</f>
        <v/>
      </c>
      <c r="G147" s="24">
        <f>G146-G145</f>
        <v/>
      </c>
      <c r="H147" s="24">
        <f>H146-H145</f>
        <v/>
      </c>
      <c r="I147" s="27">
        <f>I146-I145</f>
        <v/>
      </c>
      <c r="J147" s="30">
        <f>SUM(D147:I147)</f>
        <v/>
      </c>
      <c r="K147" s="29">
        <f>K146-K145</f>
        <v/>
      </c>
      <c r="L147" s="24">
        <f>L146-L145</f>
        <v/>
      </c>
      <c r="M147" s="24">
        <f>M146-M145</f>
        <v/>
      </c>
      <c r="N147" s="24">
        <f>N146-N145</f>
        <v/>
      </c>
      <c r="O147" s="24">
        <f>O146-O145</f>
        <v/>
      </c>
      <c r="P147" s="27">
        <f>P146-P145</f>
        <v/>
      </c>
      <c r="Q147" s="30">
        <f>SUM(K147:P147)</f>
        <v/>
      </c>
      <c r="R147" s="30">
        <f>J147+Q147</f>
        <v/>
      </c>
      <c r="S147" s="17" t="n"/>
    </row>
    <row r="148" ht="18" customHeight="1" s="43" thickBot="1">
      <c r="B148" s="60" t="n"/>
      <c r="C148" s="25" t="inlineStr">
        <is>
          <t>稼働棟数</t>
        </is>
      </c>
      <c r="D148" s="20" t="n"/>
      <c r="E148" s="20" t="n"/>
      <c r="F148" s="20" t="n"/>
      <c r="G148" s="20" t="n"/>
      <c r="H148" s="20" t="n"/>
      <c r="I148" s="28" t="n"/>
      <c r="J148" s="21">
        <f>I148</f>
        <v/>
      </c>
      <c r="K148" s="22" t="n"/>
      <c r="L148" s="20" t="n"/>
      <c r="M148" s="20" t="n"/>
      <c r="N148" s="20" t="n"/>
      <c r="O148" s="20" t="n"/>
      <c r="P148" s="28" t="n"/>
      <c r="Q148" s="21">
        <f>P148</f>
        <v/>
      </c>
      <c r="R148" s="21">
        <f>Q148</f>
        <v/>
      </c>
      <c r="S148" s="18" t="n"/>
    </row>
    <row r="149" ht="18" customHeight="1" s="43">
      <c r="B149" s="59" t="inlineStr">
        <is>
          <t>日本ロレアル/イチゴ</t>
        </is>
      </c>
      <c r="C149" s="31" t="inlineStr">
        <is>
          <t>58期</t>
        </is>
      </c>
      <c r="D149" s="8" t="n"/>
      <c r="E149" s="8" t="n"/>
      <c r="F149" s="8" t="n"/>
      <c r="G149" s="8" t="n"/>
      <c r="H149" s="8" t="n"/>
      <c r="I149" s="9" t="n"/>
      <c r="J149" s="10">
        <f>SUM(D149:I149)</f>
        <v/>
      </c>
      <c r="K149" s="11" t="n"/>
      <c r="L149" s="8" t="n"/>
      <c r="M149" s="8" t="n"/>
      <c r="N149" s="8" t="n"/>
      <c r="O149" s="8" t="n"/>
      <c r="P149" s="9" t="n"/>
      <c r="Q149" s="10">
        <f>SUM(K149:P149)</f>
        <v/>
      </c>
      <c r="R149" s="10">
        <f>J149+Q149</f>
        <v/>
      </c>
      <c r="S149" s="16" t="n"/>
    </row>
    <row r="150" ht="18" customHeight="1" s="43">
      <c r="B150" s="48" t="n"/>
      <c r="C150" s="7" t="inlineStr">
        <is>
          <t>59期</t>
        </is>
      </c>
      <c r="D150" s="12" t="n"/>
      <c r="E150" s="12" t="n"/>
      <c r="F150" s="12" t="n"/>
      <c r="G150" s="12" t="n"/>
      <c r="H150" s="12" t="n"/>
      <c r="I150" s="13" t="n"/>
      <c r="J150" s="14">
        <f>SUM(D150:I150)</f>
        <v/>
      </c>
      <c r="K150" s="15" t="n"/>
      <c r="L150" s="12" t="n"/>
      <c r="M150" s="12" t="n"/>
      <c r="N150" s="12" t="n"/>
      <c r="O150" s="12" t="n"/>
      <c r="P150" s="13" t="n"/>
      <c r="Q150" s="14">
        <f>SUM(K150:P150)</f>
        <v/>
      </c>
      <c r="R150" s="14">
        <f>J150+Q150</f>
        <v/>
      </c>
      <c r="S150" s="17" t="n"/>
    </row>
    <row r="151" ht="18" customHeight="1" s="43">
      <c r="B151" s="48" t="n"/>
      <c r="C151" s="23" t="inlineStr">
        <is>
          <t>増　減</t>
        </is>
      </c>
      <c r="D151" s="24">
        <f>D150-D149</f>
        <v/>
      </c>
      <c r="E151" s="24">
        <f>E150-E149</f>
        <v/>
      </c>
      <c r="F151" s="24">
        <f>F150-F149</f>
        <v/>
      </c>
      <c r="G151" s="24">
        <f>G150-G149</f>
        <v/>
      </c>
      <c r="H151" s="24">
        <f>H150-H149</f>
        <v/>
      </c>
      <c r="I151" s="27">
        <f>I150-I149</f>
        <v/>
      </c>
      <c r="J151" s="30">
        <f>SUM(D151:I151)</f>
        <v/>
      </c>
      <c r="K151" s="29">
        <f>K150-K149</f>
        <v/>
      </c>
      <c r="L151" s="24">
        <f>L150-L149</f>
        <v/>
      </c>
      <c r="M151" s="24">
        <f>M150-M149</f>
        <v/>
      </c>
      <c r="N151" s="24">
        <f>N150-N149</f>
        <v/>
      </c>
      <c r="O151" s="24">
        <f>O150-O149</f>
        <v/>
      </c>
      <c r="P151" s="27">
        <f>P150-P149</f>
        <v/>
      </c>
      <c r="Q151" s="30">
        <f>SUM(K151:P151)</f>
        <v/>
      </c>
      <c r="R151" s="30">
        <f>J151+Q151</f>
        <v/>
      </c>
      <c r="S151" s="17" t="n"/>
    </row>
    <row r="152" ht="18" customHeight="1" s="43" thickBot="1">
      <c r="B152" s="60" t="n"/>
      <c r="C152" s="25" t="inlineStr">
        <is>
          <t>稼働棟数</t>
        </is>
      </c>
      <c r="D152" s="20" t="n"/>
      <c r="E152" s="20" t="n"/>
      <c r="F152" s="20" t="n"/>
      <c r="G152" s="20" t="n"/>
      <c r="H152" s="20" t="n"/>
      <c r="I152" s="28" t="n"/>
      <c r="J152" s="21">
        <f>I152</f>
        <v/>
      </c>
      <c r="K152" s="22" t="n"/>
      <c r="L152" s="20" t="n"/>
      <c r="M152" s="20" t="n"/>
      <c r="N152" s="20" t="n"/>
      <c r="O152" s="20" t="n"/>
      <c r="P152" s="28" t="n"/>
      <c r="Q152" s="21">
        <f>P152</f>
        <v/>
      </c>
      <c r="R152" s="21">
        <f>Q152</f>
        <v/>
      </c>
      <c r="S152" s="18" t="n"/>
    </row>
    <row r="153" ht="18" customHeight="1" s="43">
      <c r="B153" s="59" t="inlineStr">
        <is>
          <t>日本ロレアル/トマト</t>
        </is>
      </c>
      <c r="C153" s="31" t="inlineStr">
        <is>
          <t>58期</t>
        </is>
      </c>
      <c r="D153" s="8" t="n"/>
      <c r="E153" s="8" t="n"/>
      <c r="F153" s="8" t="n"/>
      <c r="G153" s="8" t="n"/>
      <c r="H153" s="8" t="n"/>
      <c r="I153" s="9" t="n"/>
      <c r="J153" s="10">
        <f>SUM(D153:I153)</f>
        <v/>
      </c>
      <c r="K153" s="11" t="n"/>
      <c r="L153" s="8" t="n"/>
      <c r="M153" s="8" t="n"/>
      <c r="N153" s="8" t="n"/>
      <c r="O153" s="8" t="n"/>
      <c r="P153" s="9" t="n"/>
      <c r="Q153" s="10">
        <f>SUM(K153:P153)</f>
        <v/>
      </c>
      <c r="R153" s="10">
        <f>J153+Q153</f>
        <v/>
      </c>
      <c r="S153" s="16" t="n"/>
    </row>
    <row r="154" ht="18" customHeight="1" s="43">
      <c r="B154" s="48" t="n"/>
      <c r="C154" s="7" t="inlineStr">
        <is>
          <t>59期</t>
        </is>
      </c>
      <c r="D154" s="12" t="n"/>
      <c r="E154" s="12" t="n"/>
      <c r="F154" s="12" t="n"/>
      <c r="G154" s="12" t="n"/>
      <c r="H154" s="12" t="n"/>
      <c r="I154" s="13" t="n"/>
      <c r="J154" s="14">
        <f>SUM(D154:I154)</f>
        <v/>
      </c>
      <c r="K154" s="15" t="n"/>
      <c r="L154" s="12" t="n"/>
      <c r="M154" s="12" t="n"/>
      <c r="N154" s="12" t="n"/>
      <c r="O154" s="12" t="n"/>
      <c r="P154" s="13" t="n"/>
      <c r="Q154" s="14">
        <f>SUM(K154:P154)</f>
        <v/>
      </c>
      <c r="R154" s="14">
        <f>J154+Q154</f>
        <v/>
      </c>
      <c r="S154" s="17" t="n"/>
    </row>
    <row r="155" ht="18" customHeight="1" s="43">
      <c r="B155" s="48" t="n"/>
      <c r="C155" s="23" t="inlineStr">
        <is>
          <t>増　減</t>
        </is>
      </c>
      <c r="D155" s="24">
        <f>D154-D153</f>
        <v/>
      </c>
      <c r="E155" s="24">
        <f>E154-E153</f>
        <v/>
      </c>
      <c r="F155" s="24">
        <f>F154-F153</f>
        <v/>
      </c>
      <c r="G155" s="24">
        <f>G154-G153</f>
        <v/>
      </c>
      <c r="H155" s="24">
        <f>H154-H153</f>
        <v/>
      </c>
      <c r="I155" s="27">
        <f>I154-I153</f>
        <v/>
      </c>
      <c r="J155" s="30">
        <f>SUM(D155:I155)</f>
        <v/>
      </c>
      <c r="K155" s="29">
        <f>K154-K153</f>
        <v/>
      </c>
      <c r="L155" s="24">
        <f>L154-L153</f>
        <v/>
      </c>
      <c r="M155" s="24">
        <f>M154-M153</f>
        <v/>
      </c>
      <c r="N155" s="24">
        <f>N154-N153</f>
        <v/>
      </c>
      <c r="O155" s="24">
        <f>O154-O153</f>
        <v/>
      </c>
      <c r="P155" s="27">
        <f>P154-P153</f>
        <v/>
      </c>
      <c r="Q155" s="30">
        <f>SUM(K155:P155)</f>
        <v/>
      </c>
      <c r="R155" s="30">
        <f>J155+Q155</f>
        <v/>
      </c>
      <c r="S155" s="17" t="n"/>
    </row>
    <row r="156" ht="18" customHeight="1" s="43" thickBot="1">
      <c r="B156" s="60" t="n"/>
      <c r="C156" s="25" t="inlineStr">
        <is>
          <t>稼働棟数</t>
        </is>
      </c>
      <c r="D156" s="20" t="n"/>
      <c r="E156" s="20" t="n"/>
      <c r="F156" s="20" t="n"/>
      <c r="G156" s="20" t="n"/>
      <c r="H156" s="20" t="n"/>
      <c r="I156" s="28" t="n"/>
      <c r="J156" s="21">
        <f>I156</f>
        <v/>
      </c>
      <c r="K156" s="22" t="n"/>
      <c r="L156" s="20" t="n"/>
      <c r="M156" s="20" t="n"/>
      <c r="N156" s="20" t="n"/>
      <c r="O156" s="20" t="n"/>
      <c r="P156" s="28" t="n"/>
      <c r="Q156" s="21">
        <f>P156</f>
        <v/>
      </c>
      <c r="R156" s="21">
        <f>Q156</f>
        <v/>
      </c>
      <c r="S156" s="18" t="n"/>
    </row>
    <row r="157" ht="18" customHeight="1" s="43">
      <c r="B157" s="59" t="inlineStr">
        <is>
          <t>日本ロレアル/ナス</t>
        </is>
      </c>
      <c r="C157" s="31" t="inlineStr">
        <is>
          <t>58期</t>
        </is>
      </c>
      <c r="D157" s="8" t="n"/>
      <c r="E157" s="8" t="n"/>
      <c r="F157" s="8" t="n"/>
      <c r="G157" s="8" t="n"/>
      <c r="H157" s="8" t="n"/>
      <c r="I157" s="9" t="n"/>
      <c r="J157" s="10">
        <f>SUM(D157:I157)</f>
        <v/>
      </c>
      <c r="K157" s="11" t="n"/>
      <c r="L157" s="8" t="n"/>
      <c r="M157" s="8" t="n"/>
      <c r="N157" s="8" t="n"/>
      <c r="O157" s="8" t="n"/>
      <c r="P157" s="9" t="n"/>
      <c r="Q157" s="10">
        <f>SUM(K157:P157)</f>
        <v/>
      </c>
      <c r="R157" s="10">
        <f>J157+Q157</f>
        <v/>
      </c>
      <c r="S157" s="16" t="n"/>
    </row>
    <row r="158" ht="18" customHeight="1" s="43">
      <c r="B158" s="48" t="n"/>
      <c r="C158" s="7" t="inlineStr">
        <is>
          <t>59期</t>
        </is>
      </c>
      <c r="D158" s="12" t="n"/>
      <c r="E158" s="12" t="n"/>
      <c r="F158" s="12" t="n"/>
      <c r="G158" s="12" t="n"/>
      <c r="H158" s="12" t="n"/>
      <c r="I158" s="13" t="n"/>
      <c r="J158" s="14">
        <f>SUM(D158:I158)</f>
        <v/>
      </c>
      <c r="K158" s="15" t="n"/>
      <c r="L158" s="12" t="n"/>
      <c r="M158" s="12" t="n"/>
      <c r="N158" s="12" t="n"/>
      <c r="O158" s="12" t="n"/>
      <c r="P158" s="13" t="n"/>
      <c r="Q158" s="14">
        <f>SUM(K158:P158)</f>
        <v/>
      </c>
      <c r="R158" s="14">
        <f>J158+Q158</f>
        <v/>
      </c>
      <c r="S158" s="17" t="n"/>
    </row>
    <row r="159" ht="18" customHeight="1" s="43">
      <c r="B159" s="48" t="n"/>
      <c r="C159" s="23" t="inlineStr">
        <is>
          <t>増　減</t>
        </is>
      </c>
      <c r="D159" s="24">
        <f>D158-D157</f>
        <v/>
      </c>
      <c r="E159" s="24">
        <f>E158-E157</f>
        <v/>
      </c>
      <c r="F159" s="24">
        <f>F158-F157</f>
        <v/>
      </c>
      <c r="G159" s="24">
        <f>G158-G157</f>
        <v/>
      </c>
      <c r="H159" s="24">
        <f>H158-H157</f>
        <v/>
      </c>
      <c r="I159" s="27">
        <f>I158-I157</f>
        <v/>
      </c>
      <c r="J159" s="30">
        <f>SUM(D159:I159)</f>
        <v/>
      </c>
      <c r="K159" s="29">
        <f>K158-K157</f>
        <v/>
      </c>
      <c r="L159" s="24">
        <f>L158-L157</f>
        <v/>
      </c>
      <c r="M159" s="24">
        <f>M158-M157</f>
        <v/>
      </c>
      <c r="N159" s="24">
        <f>N158-N157</f>
        <v/>
      </c>
      <c r="O159" s="24">
        <f>O158-O157</f>
        <v/>
      </c>
      <c r="P159" s="27">
        <f>P158-P157</f>
        <v/>
      </c>
      <c r="Q159" s="30">
        <f>SUM(K159:P159)</f>
        <v/>
      </c>
      <c r="R159" s="30">
        <f>J159+Q159</f>
        <v/>
      </c>
      <c r="S159" s="17" t="n"/>
    </row>
    <row r="160" ht="18" customHeight="1" s="43" thickBot="1">
      <c r="B160" s="60" t="n"/>
      <c r="C160" s="25" t="inlineStr">
        <is>
          <t>稼働棟数</t>
        </is>
      </c>
      <c r="D160" s="20" t="n"/>
      <c r="E160" s="20" t="n"/>
      <c r="F160" s="20" t="n"/>
      <c r="G160" s="20" t="n"/>
      <c r="H160" s="20" t="n"/>
      <c r="I160" s="28" t="n"/>
      <c r="J160" s="21">
        <f>I160</f>
        <v/>
      </c>
      <c r="K160" s="22" t="n"/>
      <c r="L160" s="20" t="n"/>
      <c r="M160" s="20" t="n"/>
      <c r="N160" s="20" t="n"/>
      <c r="O160" s="20" t="n"/>
      <c r="P160" s="28" t="n"/>
      <c r="Q160" s="21">
        <f>P160</f>
        <v/>
      </c>
      <c r="R160" s="21">
        <f>Q160</f>
        <v/>
      </c>
      <c r="S160" s="18" t="n"/>
    </row>
    <row r="161" ht="18" customHeight="1" s="43">
      <c r="B161" s="59" t="inlineStr">
        <is>
          <t>日本ロレアル/ハーブ</t>
        </is>
      </c>
      <c r="C161" s="31" t="inlineStr">
        <is>
          <t>58期</t>
        </is>
      </c>
      <c r="D161" s="8" t="n"/>
      <c r="E161" s="8" t="n"/>
      <c r="F161" s="8" t="n"/>
      <c r="G161" s="8" t="n"/>
      <c r="H161" s="8" t="n"/>
      <c r="I161" s="9" t="n"/>
      <c r="J161" s="10">
        <f>SUM(D161:I161)</f>
        <v/>
      </c>
      <c r="K161" s="11" t="n"/>
      <c r="L161" s="8" t="n"/>
      <c r="M161" s="8" t="n"/>
      <c r="N161" s="8" t="n"/>
      <c r="O161" s="8" t="n"/>
      <c r="P161" s="9" t="n"/>
      <c r="Q161" s="10">
        <f>SUM(K161:P161)</f>
        <v/>
      </c>
      <c r="R161" s="10">
        <f>J161+Q161</f>
        <v/>
      </c>
      <c r="S161" s="16" t="n"/>
    </row>
    <row r="162" ht="18" customHeight="1" s="43">
      <c r="B162" s="48" t="n"/>
      <c r="C162" s="7" t="inlineStr">
        <is>
          <t>59期</t>
        </is>
      </c>
      <c r="D162" s="12" t="n"/>
      <c r="E162" s="12" t="n"/>
      <c r="F162" s="12" t="n"/>
      <c r="G162" s="12" t="n"/>
      <c r="H162" s="12" t="n"/>
      <c r="I162" s="13" t="n"/>
      <c r="J162" s="14">
        <f>SUM(D162:I162)</f>
        <v/>
      </c>
      <c r="K162" s="15" t="n"/>
      <c r="L162" s="12" t="n"/>
      <c r="M162" s="12" t="n"/>
      <c r="N162" s="12" t="n"/>
      <c r="O162" s="12" t="n"/>
      <c r="P162" s="13" t="n"/>
      <c r="Q162" s="14">
        <f>SUM(K162:P162)</f>
        <v/>
      </c>
      <c r="R162" s="14">
        <f>J162+Q162</f>
        <v/>
      </c>
      <c r="S162" s="17" t="n"/>
    </row>
    <row r="163" ht="18" customHeight="1" s="43">
      <c r="B163" s="48" t="n"/>
      <c r="C163" s="23" t="inlineStr">
        <is>
          <t>増　減</t>
        </is>
      </c>
      <c r="D163" s="24">
        <f>D162-D161</f>
        <v/>
      </c>
      <c r="E163" s="24">
        <f>E162-E161</f>
        <v/>
      </c>
      <c r="F163" s="24">
        <f>F162-F161</f>
        <v/>
      </c>
      <c r="G163" s="24">
        <f>G162-G161</f>
        <v/>
      </c>
      <c r="H163" s="24">
        <f>H162-H161</f>
        <v/>
      </c>
      <c r="I163" s="27">
        <f>I162-I161</f>
        <v/>
      </c>
      <c r="J163" s="30">
        <f>SUM(D163:I163)</f>
        <v/>
      </c>
      <c r="K163" s="29">
        <f>K162-K161</f>
        <v/>
      </c>
      <c r="L163" s="24">
        <f>L162-L161</f>
        <v/>
      </c>
      <c r="M163" s="24">
        <f>M162-M161</f>
        <v/>
      </c>
      <c r="N163" s="24">
        <f>N162-N161</f>
        <v/>
      </c>
      <c r="O163" s="24">
        <f>O162-O161</f>
        <v/>
      </c>
      <c r="P163" s="27">
        <f>P162-P161</f>
        <v/>
      </c>
      <c r="Q163" s="30">
        <f>SUM(K163:P163)</f>
        <v/>
      </c>
      <c r="R163" s="30">
        <f>J163+Q163</f>
        <v/>
      </c>
      <c r="S163" s="17" t="n"/>
    </row>
    <row r="164" ht="18" customHeight="1" s="43" thickBot="1">
      <c r="B164" s="60" t="n"/>
      <c r="C164" s="25" t="inlineStr">
        <is>
          <t>稼働棟数</t>
        </is>
      </c>
      <c r="D164" s="20" t="n"/>
      <c r="E164" s="20" t="n"/>
      <c r="F164" s="20" t="n"/>
      <c r="G164" s="20" t="n"/>
      <c r="H164" s="20" t="n"/>
      <c r="I164" s="28" t="n"/>
      <c r="J164" s="21">
        <f>I164</f>
        <v/>
      </c>
      <c r="K164" s="22" t="n"/>
      <c r="L164" s="20" t="n"/>
      <c r="M164" s="20" t="n"/>
      <c r="N164" s="20" t="n"/>
      <c r="O164" s="20" t="n"/>
      <c r="P164" s="28" t="n"/>
      <c r="Q164" s="21">
        <f>P164</f>
        <v/>
      </c>
      <c r="R164" s="21">
        <f>Q164</f>
        <v/>
      </c>
      <c r="S164" s="18" t="n"/>
    </row>
    <row r="165" ht="18" customHeight="1" s="43">
      <c r="B165" s="59" t="inlineStr">
        <is>
          <t>日本ロレアル/パプリカ</t>
        </is>
      </c>
      <c r="C165" s="31" t="inlineStr">
        <is>
          <t>58期</t>
        </is>
      </c>
      <c r="D165" s="8" t="n"/>
      <c r="E165" s="8" t="n"/>
      <c r="F165" s="8" t="n"/>
      <c r="G165" s="8" t="n"/>
      <c r="H165" s="8" t="n"/>
      <c r="I165" s="9" t="n"/>
      <c r="J165" s="10">
        <f>SUM(D165:I165)</f>
        <v/>
      </c>
      <c r="K165" s="11" t="n"/>
      <c r="L165" s="8" t="n"/>
      <c r="M165" s="8" t="n"/>
      <c r="N165" s="8" t="n"/>
      <c r="O165" s="8" t="n"/>
      <c r="P165" s="9" t="n"/>
      <c r="Q165" s="10">
        <f>SUM(K165:P165)</f>
        <v/>
      </c>
      <c r="R165" s="10">
        <f>J165+Q165</f>
        <v/>
      </c>
      <c r="S165" s="16" t="n"/>
    </row>
    <row r="166" ht="18" customHeight="1" s="43">
      <c r="B166" s="48" t="n"/>
      <c r="C166" s="7" t="inlineStr">
        <is>
          <t>59期</t>
        </is>
      </c>
      <c r="D166" s="12" t="n"/>
      <c r="E166" s="12" t="n"/>
      <c r="F166" s="12" t="n"/>
      <c r="G166" s="12" t="n"/>
      <c r="H166" s="12" t="n"/>
      <c r="I166" s="13" t="n"/>
      <c r="J166" s="14">
        <f>SUM(D166:I166)</f>
        <v/>
      </c>
      <c r="K166" s="15" t="n"/>
      <c r="L166" s="12" t="n"/>
      <c r="M166" s="12" t="n"/>
      <c r="N166" s="12" t="n"/>
      <c r="O166" s="12" t="n"/>
      <c r="P166" s="13" t="n"/>
      <c r="Q166" s="14">
        <f>SUM(K166:P166)</f>
        <v/>
      </c>
      <c r="R166" s="14">
        <f>J166+Q166</f>
        <v/>
      </c>
      <c r="S166" s="17" t="n"/>
    </row>
    <row r="167" ht="18" customHeight="1" s="43">
      <c r="B167" s="48" t="n"/>
      <c r="C167" s="23" t="inlineStr">
        <is>
          <t>増　減</t>
        </is>
      </c>
      <c r="D167" s="24">
        <f>D166-D165</f>
        <v/>
      </c>
      <c r="E167" s="24">
        <f>E166-E165</f>
        <v/>
      </c>
      <c r="F167" s="24">
        <f>F166-F165</f>
        <v/>
      </c>
      <c r="G167" s="24">
        <f>G166-G165</f>
        <v/>
      </c>
      <c r="H167" s="24">
        <f>H166-H165</f>
        <v/>
      </c>
      <c r="I167" s="27">
        <f>I166-I165</f>
        <v/>
      </c>
      <c r="J167" s="30">
        <f>SUM(D167:I167)</f>
        <v/>
      </c>
      <c r="K167" s="29">
        <f>K166-K165</f>
        <v/>
      </c>
      <c r="L167" s="24">
        <f>L166-L165</f>
        <v/>
      </c>
      <c r="M167" s="24">
        <f>M166-M165</f>
        <v/>
      </c>
      <c r="N167" s="24">
        <f>N166-N165</f>
        <v/>
      </c>
      <c r="O167" s="24">
        <f>O166-O165</f>
        <v/>
      </c>
      <c r="P167" s="27">
        <f>P166-P165</f>
        <v/>
      </c>
      <c r="Q167" s="30">
        <f>SUM(K167:P167)</f>
        <v/>
      </c>
      <c r="R167" s="30">
        <f>J167+Q167</f>
        <v/>
      </c>
      <c r="S167" s="17" t="n"/>
    </row>
    <row r="168" ht="18" customHeight="1" s="43" thickBot="1">
      <c r="B168" s="60" t="n"/>
      <c r="C168" s="25" t="inlineStr">
        <is>
          <t>稼働棟数</t>
        </is>
      </c>
      <c r="D168" s="20" t="n"/>
      <c r="E168" s="20" t="n"/>
      <c r="F168" s="20" t="n"/>
      <c r="G168" s="20" t="n"/>
      <c r="H168" s="20" t="n"/>
      <c r="I168" s="28" t="n"/>
      <c r="J168" s="21">
        <f>I168</f>
        <v/>
      </c>
      <c r="K168" s="22" t="n"/>
      <c r="L168" s="20" t="n"/>
      <c r="M168" s="20" t="n"/>
      <c r="N168" s="20" t="n"/>
      <c r="O168" s="20" t="n"/>
      <c r="P168" s="28" t="n"/>
      <c r="Q168" s="21">
        <f>P168</f>
        <v/>
      </c>
      <c r="R168" s="21">
        <f>Q168</f>
        <v/>
      </c>
      <c r="S168" s="18" t="n"/>
    </row>
    <row r="169" ht="18" customHeight="1" s="43">
      <c r="B169" s="59" t="inlineStr">
        <is>
          <t>日本ロレアル/ピーマン</t>
        </is>
      </c>
      <c r="C169" s="31" t="inlineStr">
        <is>
          <t>58期</t>
        </is>
      </c>
      <c r="D169" s="8" t="n"/>
      <c r="E169" s="8" t="n"/>
      <c r="F169" s="8" t="n"/>
      <c r="G169" s="8" t="n"/>
      <c r="H169" s="8" t="n"/>
      <c r="I169" s="9" t="n"/>
      <c r="J169" s="10">
        <f>SUM(D169:I169)</f>
        <v/>
      </c>
      <c r="K169" s="11" t="n"/>
      <c r="L169" s="8" t="n"/>
      <c r="M169" s="8" t="n"/>
      <c r="N169" s="8" t="n"/>
      <c r="O169" s="8" t="n"/>
      <c r="P169" s="9" t="n"/>
      <c r="Q169" s="10">
        <f>SUM(K169:P169)</f>
        <v/>
      </c>
      <c r="R169" s="10">
        <f>J169+Q169</f>
        <v/>
      </c>
      <c r="S169" s="16" t="n"/>
    </row>
    <row r="170" ht="18" customHeight="1" s="43">
      <c r="B170" s="48" t="n"/>
      <c r="C170" s="7" t="inlineStr">
        <is>
          <t>59期</t>
        </is>
      </c>
      <c r="D170" s="12" t="n"/>
      <c r="E170" s="12" t="n"/>
      <c r="F170" s="12" t="n"/>
      <c r="G170" s="12" t="n"/>
      <c r="H170" s="12" t="n"/>
      <c r="I170" s="13" t="n"/>
      <c r="J170" s="14">
        <f>SUM(D170:I170)</f>
        <v/>
      </c>
      <c r="K170" s="15" t="n"/>
      <c r="L170" s="12" t="n"/>
      <c r="M170" s="12" t="n"/>
      <c r="N170" s="12" t="n"/>
      <c r="O170" s="12" t="n"/>
      <c r="P170" s="13" t="n"/>
      <c r="Q170" s="14">
        <f>SUM(K170:P170)</f>
        <v/>
      </c>
      <c r="R170" s="14">
        <f>J170+Q170</f>
        <v/>
      </c>
      <c r="S170" s="17" t="n"/>
    </row>
    <row r="171" ht="18" customHeight="1" s="43">
      <c r="B171" s="48" t="n"/>
      <c r="C171" s="23" t="inlineStr">
        <is>
          <t>増　減</t>
        </is>
      </c>
      <c r="D171" s="24">
        <f>D170-D169</f>
        <v/>
      </c>
      <c r="E171" s="24">
        <f>E170-E169</f>
        <v/>
      </c>
      <c r="F171" s="24">
        <f>F170-F169</f>
        <v/>
      </c>
      <c r="G171" s="24">
        <f>G170-G169</f>
        <v/>
      </c>
      <c r="H171" s="24">
        <f>H170-H169</f>
        <v/>
      </c>
      <c r="I171" s="27">
        <f>I170-I169</f>
        <v/>
      </c>
      <c r="J171" s="30">
        <f>SUM(D171:I171)</f>
        <v/>
      </c>
      <c r="K171" s="29">
        <f>K170-K169</f>
        <v/>
      </c>
      <c r="L171" s="24">
        <f>L170-L169</f>
        <v/>
      </c>
      <c r="M171" s="24">
        <f>M170-M169</f>
        <v/>
      </c>
      <c r="N171" s="24">
        <f>N170-N169</f>
        <v/>
      </c>
      <c r="O171" s="24">
        <f>O170-O169</f>
        <v/>
      </c>
      <c r="P171" s="27">
        <f>P170-P169</f>
        <v/>
      </c>
      <c r="Q171" s="30">
        <f>SUM(K171:P171)</f>
        <v/>
      </c>
      <c r="R171" s="30">
        <f>J171+Q171</f>
        <v/>
      </c>
      <c r="S171" s="17" t="n"/>
    </row>
    <row r="172" ht="18" customHeight="1" s="43" thickBot="1">
      <c r="B172" s="60" t="n"/>
      <c r="C172" s="25" t="inlineStr">
        <is>
          <t>稼働棟数</t>
        </is>
      </c>
      <c r="D172" s="20" t="n"/>
      <c r="E172" s="20" t="n"/>
      <c r="F172" s="20" t="n"/>
      <c r="G172" s="20" t="n"/>
      <c r="H172" s="20" t="n"/>
      <c r="I172" s="28" t="n"/>
      <c r="J172" s="21">
        <f>I172</f>
        <v/>
      </c>
      <c r="K172" s="22" t="n"/>
      <c r="L172" s="20" t="n"/>
      <c r="M172" s="20" t="n"/>
      <c r="N172" s="20" t="n"/>
      <c r="O172" s="20" t="n"/>
      <c r="P172" s="28" t="n"/>
      <c r="Q172" s="21">
        <f>P172</f>
        <v/>
      </c>
      <c r="R172" s="21">
        <f>Q172</f>
        <v/>
      </c>
      <c r="S172" s="18" t="n"/>
    </row>
    <row r="173" ht="18" customHeight="1" s="43">
      <c r="B173" s="59" t="inlineStr">
        <is>
          <t>日本ロレアル/マイクロ</t>
        </is>
      </c>
      <c r="C173" s="31" t="inlineStr">
        <is>
          <t>58期</t>
        </is>
      </c>
      <c r="D173" s="8" t="n"/>
      <c r="E173" s="8" t="n"/>
      <c r="F173" s="8" t="n"/>
      <c r="G173" s="8" t="n"/>
      <c r="H173" s="8" t="n"/>
      <c r="I173" s="9" t="n"/>
      <c r="J173" s="10">
        <f>SUM(D173:I173)</f>
        <v/>
      </c>
      <c r="K173" s="11" t="n"/>
      <c r="L173" s="8" t="n"/>
      <c r="M173" s="8" t="n"/>
      <c r="N173" s="8" t="n"/>
      <c r="O173" s="8" t="n"/>
      <c r="P173" s="9" t="n"/>
      <c r="Q173" s="10">
        <f>SUM(K173:P173)</f>
        <v/>
      </c>
      <c r="R173" s="10">
        <f>J173+Q173</f>
        <v/>
      </c>
      <c r="S173" s="16" t="n"/>
    </row>
    <row r="174" ht="18" customHeight="1" s="43">
      <c r="B174" s="48" t="n"/>
      <c r="C174" s="7" t="inlineStr">
        <is>
          <t>59期</t>
        </is>
      </c>
      <c r="D174" s="12" t="n"/>
      <c r="E174" s="12" t="n"/>
      <c r="F174" s="12" t="n"/>
      <c r="G174" s="12" t="n"/>
      <c r="H174" s="12" t="n"/>
      <c r="I174" s="13" t="n"/>
      <c r="J174" s="14">
        <f>SUM(D174:I174)</f>
        <v/>
      </c>
      <c r="K174" s="15" t="n"/>
      <c r="L174" s="12" t="n"/>
      <c r="M174" s="12" t="n"/>
      <c r="N174" s="12" t="n"/>
      <c r="O174" s="12" t="n"/>
      <c r="P174" s="13" t="n"/>
      <c r="Q174" s="14">
        <f>SUM(K174:P174)</f>
        <v/>
      </c>
      <c r="R174" s="14">
        <f>J174+Q174</f>
        <v/>
      </c>
      <c r="S174" s="17" t="n"/>
    </row>
    <row r="175" ht="18" customHeight="1" s="43">
      <c r="B175" s="48" t="n"/>
      <c r="C175" s="23" t="inlineStr">
        <is>
          <t>増　減</t>
        </is>
      </c>
      <c r="D175" s="24">
        <f>D174-D173</f>
        <v/>
      </c>
      <c r="E175" s="24">
        <f>E174-E173</f>
        <v/>
      </c>
      <c r="F175" s="24">
        <f>F174-F173</f>
        <v/>
      </c>
      <c r="G175" s="24">
        <f>G174-G173</f>
        <v/>
      </c>
      <c r="H175" s="24">
        <f>H174-H173</f>
        <v/>
      </c>
      <c r="I175" s="27">
        <f>I174-I173</f>
        <v/>
      </c>
      <c r="J175" s="30">
        <f>SUM(D175:I175)</f>
        <v/>
      </c>
      <c r="K175" s="29">
        <f>K174-K173</f>
        <v/>
      </c>
      <c r="L175" s="24">
        <f>L174-L173</f>
        <v/>
      </c>
      <c r="M175" s="24">
        <f>M174-M173</f>
        <v/>
      </c>
      <c r="N175" s="24">
        <f>N174-N173</f>
        <v/>
      </c>
      <c r="O175" s="24">
        <f>O174-O173</f>
        <v/>
      </c>
      <c r="P175" s="27">
        <f>P174-P173</f>
        <v/>
      </c>
      <c r="Q175" s="30">
        <f>SUM(K175:P175)</f>
        <v/>
      </c>
      <c r="R175" s="30">
        <f>J175+Q175</f>
        <v/>
      </c>
      <c r="S175" s="17" t="n"/>
    </row>
    <row r="176" ht="18" customHeight="1" s="43" thickBot="1">
      <c r="B176" s="60" t="n"/>
      <c r="C176" s="25" t="inlineStr">
        <is>
          <t>稼働棟数</t>
        </is>
      </c>
      <c r="D176" s="20" t="n"/>
      <c r="E176" s="20" t="n"/>
      <c r="F176" s="20" t="n"/>
      <c r="G176" s="20" t="n"/>
      <c r="H176" s="20" t="n"/>
      <c r="I176" s="28" t="n"/>
      <c r="J176" s="21">
        <f>I176</f>
        <v/>
      </c>
      <c r="K176" s="22" t="n"/>
      <c r="L176" s="20" t="n"/>
      <c r="M176" s="20" t="n"/>
      <c r="N176" s="20" t="n"/>
      <c r="O176" s="20" t="n"/>
      <c r="P176" s="28" t="n"/>
      <c r="Q176" s="21">
        <f>P176</f>
        <v/>
      </c>
      <c r="R176" s="21">
        <f>Q176</f>
        <v/>
      </c>
      <c r="S176" s="18" t="n"/>
    </row>
    <row r="177" ht="18" customHeight="1" s="43">
      <c r="B177" s="59" t="inlineStr">
        <is>
          <t>日本ロレアル/ミニトマト</t>
        </is>
      </c>
      <c r="C177" s="31" t="inlineStr">
        <is>
          <t>58期</t>
        </is>
      </c>
      <c r="D177" s="8" t="n"/>
      <c r="E177" s="8" t="n"/>
      <c r="F177" s="8" t="n"/>
      <c r="G177" s="8" t="n"/>
      <c r="H177" s="8" t="n"/>
      <c r="I177" s="9" t="n"/>
      <c r="J177" s="10">
        <f>SUM(D177:I177)</f>
        <v/>
      </c>
      <c r="K177" s="11" t="n"/>
      <c r="L177" s="8" t="n"/>
      <c r="M177" s="8" t="n"/>
      <c r="N177" s="8" t="n"/>
      <c r="O177" s="8" t="n"/>
      <c r="P177" s="9" t="n"/>
      <c r="Q177" s="10">
        <f>SUM(K177:P177)</f>
        <v/>
      </c>
      <c r="R177" s="10">
        <f>J177+Q177</f>
        <v/>
      </c>
      <c r="S177" s="16" t="n"/>
    </row>
    <row r="178" ht="18" customHeight="1" s="43">
      <c r="B178" s="48" t="n"/>
      <c r="C178" s="7" t="inlineStr">
        <is>
          <t>59期</t>
        </is>
      </c>
      <c r="D178" s="12" t="n"/>
      <c r="E178" s="12" t="n"/>
      <c r="F178" s="12" t="n"/>
      <c r="G178" s="12" t="n"/>
      <c r="H178" s="12" t="n"/>
      <c r="I178" s="13" t="n"/>
      <c r="J178" s="14">
        <f>SUM(D178:I178)</f>
        <v/>
      </c>
      <c r="K178" s="15" t="n"/>
      <c r="L178" s="12" t="n"/>
      <c r="M178" s="12" t="n"/>
      <c r="N178" s="12" t="n"/>
      <c r="O178" s="12" t="n"/>
      <c r="P178" s="13" t="n"/>
      <c r="Q178" s="14">
        <f>SUM(K178:P178)</f>
        <v/>
      </c>
      <c r="R178" s="14">
        <f>J178+Q178</f>
        <v/>
      </c>
      <c r="S178" s="17" t="n"/>
    </row>
    <row r="179" ht="18" customHeight="1" s="43">
      <c r="B179" s="48" t="n"/>
      <c r="C179" s="23" t="inlineStr">
        <is>
          <t>増　減</t>
        </is>
      </c>
      <c r="D179" s="24">
        <f>D178-D177</f>
        <v/>
      </c>
      <c r="E179" s="24">
        <f>E178-E177</f>
        <v/>
      </c>
      <c r="F179" s="24">
        <f>F178-F177</f>
        <v/>
      </c>
      <c r="G179" s="24">
        <f>G178-G177</f>
        <v/>
      </c>
      <c r="H179" s="24">
        <f>H178-H177</f>
        <v/>
      </c>
      <c r="I179" s="27">
        <f>I178-I177</f>
        <v/>
      </c>
      <c r="J179" s="30">
        <f>SUM(D179:I179)</f>
        <v/>
      </c>
      <c r="K179" s="29">
        <f>K178-K177</f>
        <v/>
      </c>
      <c r="L179" s="24">
        <f>L178-L177</f>
        <v/>
      </c>
      <c r="M179" s="24">
        <f>M178-M177</f>
        <v/>
      </c>
      <c r="N179" s="24">
        <f>N178-N177</f>
        <v/>
      </c>
      <c r="O179" s="24">
        <f>O178-O177</f>
        <v/>
      </c>
      <c r="P179" s="27">
        <f>P178-P177</f>
        <v/>
      </c>
      <c r="Q179" s="30">
        <f>SUM(K179:P179)</f>
        <v/>
      </c>
      <c r="R179" s="30">
        <f>J179+Q179</f>
        <v/>
      </c>
      <c r="S179" s="17" t="n"/>
    </row>
    <row r="180" ht="18" customHeight="1" s="43" thickBot="1">
      <c r="B180" s="60" t="n"/>
      <c r="C180" s="25" t="inlineStr">
        <is>
          <t>稼働棟数</t>
        </is>
      </c>
      <c r="D180" s="20" t="n"/>
      <c r="E180" s="20" t="n"/>
      <c r="F180" s="20" t="n"/>
      <c r="G180" s="20" t="n"/>
      <c r="H180" s="20" t="n"/>
      <c r="I180" s="28" t="n"/>
      <c r="J180" s="21">
        <f>I180</f>
        <v/>
      </c>
      <c r="K180" s="22" t="n"/>
      <c r="L180" s="20" t="n"/>
      <c r="M180" s="20" t="n"/>
      <c r="N180" s="20" t="n"/>
      <c r="O180" s="20" t="n"/>
      <c r="P180" s="28" t="n"/>
      <c r="Q180" s="21">
        <f>P180</f>
        <v/>
      </c>
      <c r="R180" s="21">
        <f>Q180</f>
        <v/>
      </c>
      <c r="S180" s="18" t="n"/>
    </row>
    <row r="181" ht="18" customHeight="1" s="43">
      <c r="B181" s="59" t="inlineStr">
        <is>
          <t>日本ロレアル/根物野菜</t>
        </is>
      </c>
      <c r="C181" s="31" t="inlineStr">
        <is>
          <t>58期</t>
        </is>
      </c>
      <c r="D181" s="8" t="n"/>
      <c r="E181" s="8" t="n"/>
      <c r="F181" s="8" t="n"/>
      <c r="G181" s="8" t="n"/>
      <c r="H181" s="8" t="n"/>
      <c r="I181" s="9" t="n"/>
      <c r="J181" s="10">
        <f>SUM(D181:I181)</f>
        <v/>
      </c>
      <c r="K181" s="11" t="n"/>
      <c r="L181" s="8" t="n"/>
      <c r="M181" s="8" t="n"/>
      <c r="N181" s="8" t="n"/>
      <c r="O181" s="8" t="n"/>
      <c r="P181" s="9" t="n"/>
      <c r="Q181" s="10">
        <f>SUM(K181:P181)</f>
        <v/>
      </c>
      <c r="R181" s="10">
        <f>J181+Q181</f>
        <v/>
      </c>
      <c r="S181" s="16" t="n"/>
    </row>
    <row r="182" ht="18" customHeight="1" s="43">
      <c r="B182" s="48" t="n"/>
      <c r="C182" s="7" t="inlineStr">
        <is>
          <t>59期</t>
        </is>
      </c>
      <c r="D182" s="12" t="n"/>
      <c r="E182" s="12" t="n"/>
      <c r="F182" s="12" t="n"/>
      <c r="G182" s="12" t="n"/>
      <c r="H182" s="12" t="n"/>
      <c r="I182" s="13" t="n"/>
      <c r="J182" s="14">
        <f>SUM(D182:I182)</f>
        <v/>
      </c>
      <c r="K182" s="15" t="n"/>
      <c r="L182" s="12" t="n"/>
      <c r="M182" s="12" t="n"/>
      <c r="N182" s="12" t="n"/>
      <c r="O182" s="12" t="n"/>
      <c r="P182" s="13" t="n"/>
      <c r="Q182" s="14">
        <f>SUM(K182:P182)</f>
        <v/>
      </c>
      <c r="R182" s="14">
        <f>J182+Q182</f>
        <v/>
      </c>
      <c r="S182" s="17" t="n"/>
    </row>
    <row r="183" ht="18" customHeight="1" s="43">
      <c r="B183" s="48" t="n"/>
      <c r="C183" s="23" t="inlineStr">
        <is>
          <t>増　減</t>
        </is>
      </c>
      <c r="D183" s="24">
        <f>D182-D181</f>
        <v/>
      </c>
      <c r="E183" s="24">
        <f>E182-E181</f>
        <v/>
      </c>
      <c r="F183" s="24">
        <f>F182-F181</f>
        <v/>
      </c>
      <c r="G183" s="24">
        <f>G182-G181</f>
        <v/>
      </c>
      <c r="H183" s="24">
        <f>H182-H181</f>
        <v/>
      </c>
      <c r="I183" s="27">
        <f>I182-I181</f>
        <v/>
      </c>
      <c r="J183" s="30">
        <f>SUM(D183:I183)</f>
        <v/>
      </c>
      <c r="K183" s="29">
        <f>K182-K181</f>
        <v/>
      </c>
      <c r="L183" s="24">
        <f>L182-L181</f>
        <v/>
      </c>
      <c r="M183" s="24">
        <f>M182-M181</f>
        <v/>
      </c>
      <c r="N183" s="24">
        <f>N182-N181</f>
        <v/>
      </c>
      <c r="O183" s="24">
        <f>O182-O181</f>
        <v/>
      </c>
      <c r="P183" s="27">
        <f>P182-P181</f>
        <v/>
      </c>
      <c r="Q183" s="30">
        <f>SUM(K183:P183)</f>
        <v/>
      </c>
      <c r="R183" s="30">
        <f>J183+Q183</f>
        <v/>
      </c>
      <c r="S183" s="17" t="n"/>
    </row>
    <row r="184" ht="18" customHeight="1" s="43" thickBot="1">
      <c r="B184" s="60" t="n"/>
      <c r="C184" s="25" t="inlineStr">
        <is>
          <t>稼働棟数</t>
        </is>
      </c>
      <c r="D184" s="20" t="n"/>
      <c r="E184" s="20" t="n"/>
      <c r="F184" s="20" t="n"/>
      <c r="G184" s="20" t="n"/>
      <c r="H184" s="20" t="n"/>
      <c r="I184" s="28" t="n"/>
      <c r="J184" s="21">
        <f>I184</f>
        <v/>
      </c>
      <c r="K184" s="22" t="n"/>
      <c r="L184" s="20" t="n"/>
      <c r="M184" s="20" t="n"/>
      <c r="N184" s="20" t="n"/>
      <c r="O184" s="20" t="n"/>
      <c r="P184" s="28" t="n"/>
      <c r="Q184" s="21">
        <f>P184</f>
        <v/>
      </c>
      <c r="R184" s="21">
        <f>Q184</f>
        <v/>
      </c>
      <c r="S184" s="18" t="n"/>
    </row>
    <row r="185" ht="18" customHeight="1" s="43">
      <c r="B185" s="59" t="inlineStr">
        <is>
          <t>日本ロレアル/実物野菜</t>
        </is>
      </c>
      <c r="C185" s="31" t="inlineStr">
        <is>
          <t>58期</t>
        </is>
      </c>
      <c r="D185" s="8" t="n"/>
      <c r="E185" s="8" t="n"/>
      <c r="F185" s="8" t="n"/>
      <c r="G185" s="8" t="n"/>
      <c r="H185" s="8" t="n"/>
      <c r="I185" s="9" t="n"/>
      <c r="J185" s="10">
        <f>SUM(D185:I185)</f>
        <v/>
      </c>
      <c r="K185" s="11" t="n"/>
      <c r="L185" s="8" t="n"/>
      <c r="M185" s="8" t="n"/>
      <c r="N185" s="8" t="n"/>
      <c r="O185" s="8" t="n"/>
      <c r="P185" s="9" t="n"/>
      <c r="Q185" s="10">
        <f>SUM(K185:P185)</f>
        <v/>
      </c>
      <c r="R185" s="10">
        <f>J185+Q185</f>
        <v/>
      </c>
      <c r="S185" s="16" t="n"/>
    </row>
    <row r="186" ht="18" customHeight="1" s="43">
      <c r="B186" s="48" t="n"/>
      <c r="C186" s="7" t="inlineStr">
        <is>
          <t>59期</t>
        </is>
      </c>
      <c r="D186" s="12" t="n"/>
      <c r="E186" s="12" t="n"/>
      <c r="F186" s="12" t="n"/>
      <c r="G186" s="12" t="n"/>
      <c r="H186" s="12" t="n"/>
      <c r="I186" s="13" t="n"/>
      <c r="J186" s="14">
        <f>SUM(D186:I186)</f>
        <v/>
      </c>
      <c r="K186" s="15" t="n"/>
      <c r="L186" s="12" t="n"/>
      <c r="M186" s="12" t="n"/>
      <c r="N186" s="12" t="n"/>
      <c r="O186" s="12" t="n"/>
      <c r="P186" s="13" t="n"/>
      <c r="Q186" s="14">
        <f>SUM(K186:P186)</f>
        <v/>
      </c>
      <c r="R186" s="14">
        <f>J186+Q186</f>
        <v/>
      </c>
      <c r="S186" s="17" t="n"/>
    </row>
    <row r="187" ht="18" customHeight="1" s="43">
      <c r="B187" s="48" t="n"/>
      <c r="C187" s="23" t="inlineStr">
        <is>
          <t>増　減</t>
        </is>
      </c>
      <c r="D187" s="24">
        <f>D186-D185</f>
        <v/>
      </c>
      <c r="E187" s="24">
        <f>E186-E185</f>
        <v/>
      </c>
      <c r="F187" s="24">
        <f>F186-F185</f>
        <v/>
      </c>
      <c r="G187" s="24">
        <f>G186-G185</f>
        <v/>
      </c>
      <c r="H187" s="24">
        <f>H186-H185</f>
        <v/>
      </c>
      <c r="I187" s="27">
        <f>I186-I185</f>
        <v/>
      </c>
      <c r="J187" s="30">
        <f>SUM(D187:I187)</f>
        <v/>
      </c>
      <c r="K187" s="29">
        <f>K186-K185</f>
        <v/>
      </c>
      <c r="L187" s="24">
        <f>L186-L185</f>
        <v/>
      </c>
      <c r="M187" s="24">
        <f>M186-M185</f>
        <v/>
      </c>
      <c r="N187" s="24">
        <f>N186-N185</f>
        <v/>
      </c>
      <c r="O187" s="24">
        <f>O186-O185</f>
        <v/>
      </c>
      <c r="P187" s="27">
        <f>P186-P185</f>
        <v/>
      </c>
      <c r="Q187" s="30">
        <f>SUM(K187:P187)</f>
        <v/>
      </c>
      <c r="R187" s="30">
        <f>J187+Q187</f>
        <v/>
      </c>
      <c r="S187" s="17" t="n"/>
    </row>
    <row r="188" ht="18" customHeight="1" s="43" thickBot="1">
      <c r="B188" s="60" t="n"/>
      <c r="C188" s="25" t="inlineStr">
        <is>
          <t>稼働棟数</t>
        </is>
      </c>
      <c r="D188" s="20" t="n"/>
      <c r="E188" s="20" t="n"/>
      <c r="F188" s="20" t="n"/>
      <c r="G188" s="20" t="n"/>
      <c r="H188" s="20" t="n"/>
      <c r="I188" s="28" t="n"/>
      <c r="J188" s="21">
        <f>I188</f>
        <v/>
      </c>
      <c r="K188" s="22" t="n"/>
      <c r="L188" s="20" t="n"/>
      <c r="M188" s="20" t="n"/>
      <c r="N188" s="20" t="n"/>
      <c r="O188" s="20" t="n"/>
      <c r="P188" s="28" t="n"/>
      <c r="Q188" s="21">
        <f>P188</f>
        <v/>
      </c>
      <c r="R188" s="21">
        <f>Q188</f>
        <v/>
      </c>
      <c r="S188" s="18" t="n"/>
    </row>
    <row r="189" ht="18" customHeight="1" s="43">
      <c r="B189" s="59" t="inlineStr">
        <is>
          <t>日本ロレアル/食用花</t>
        </is>
      </c>
      <c r="C189" s="31" t="inlineStr">
        <is>
          <t>58期</t>
        </is>
      </c>
      <c r="D189" s="8" t="n"/>
      <c r="E189" s="8" t="n"/>
      <c r="F189" s="8" t="n"/>
      <c r="G189" s="8" t="n"/>
      <c r="H189" s="8" t="n"/>
      <c r="I189" s="9" t="n"/>
      <c r="J189" s="10">
        <f>SUM(D189:I189)</f>
        <v/>
      </c>
      <c r="K189" s="11" t="n"/>
      <c r="L189" s="8" t="n"/>
      <c r="M189" s="8" t="n"/>
      <c r="N189" s="8" t="n"/>
      <c r="O189" s="8" t="n"/>
      <c r="P189" s="9" t="n"/>
      <c r="Q189" s="10">
        <f>SUM(K189:P189)</f>
        <v/>
      </c>
      <c r="R189" s="10">
        <f>J189+Q189</f>
        <v/>
      </c>
      <c r="S189" s="16" t="n"/>
    </row>
    <row r="190" ht="18" customHeight="1" s="43">
      <c r="B190" s="48" t="n"/>
      <c r="C190" s="7" t="inlineStr">
        <is>
          <t>59期</t>
        </is>
      </c>
      <c r="D190" s="12" t="n"/>
      <c r="E190" s="12" t="n"/>
      <c r="F190" s="12" t="n"/>
      <c r="G190" s="12" t="n"/>
      <c r="H190" s="12" t="n"/>
      <c r="I190" s="13" t="n"/>
      <c r="J190" s="14">
        <f>SUM(D190:I190)</f>
        <v/>
      </c>
      <c r="K190" s="15" t="n"/>
      <c r="L190" s="12" t="n"/>
      <c r="M190" s="12" t="n"/>
      <c r="N190" s="12" t="n"/>
      <c r="O190" s="12" t="n"/>
      <c r="P190" s="13" t="n"/>
      <c r="Q190" s="14">
        <f>SUM(K190:P190)</f>
        <v/>
      </c>
      <c r="R190" s="14">
        <f>J190+Q190</f>
        <v/>
      </c>
      <c r="S190" s="17" t="n"/>
    </row>
    <row r="191" ht="18" customHeight="1" s="43">
      <c r="B191" s="48" t="n"/>
      <c r="C191" s="23" t="inlineStr">
        <is>
          <t>増　減</t>
        </is>
      </c>
      <c r="D191" s="24">
        <f>D190-D189</f>
        <v/>
      </c>
      <c r="E191" s="24">
        <f>E190-E189</f>
        <v/>
      </c>
      <c r="F191" s="24">
        <f>F190-F189</f>
        <v/>
      </c>
      <c r="G191" s="24">
        <f>G190-G189</f>
        <v/>
      </c>
      <c r="H191" s="24">
        <f>H190-H189</f>
        <v/>
      </c>
      <c r="I191" s="27">
        <f>I190-I189</f>
        <v/>
      </c>
      <c r="J191" s="30">
        <f>SUM(D191:I191)</f>
        <v/>
      </c>
      <c r="K191" s="29">
        <f>K190-K189</f>
        <v/>
      </c>
      <c r="L191" s="24">
        <f>L190-L189</f>
        <v/>
      </c>
      <c r="M191" s="24">
        <f>M190-M189</f>
        <v/>
      </c>
      <c r="N191" s="24">
        <f>N190-N189</f>
        <v/>
      </c>
      <c r="O191" s="24">
        <f>O190-O189</f>
        <v/>
      </c>
      <c r="P191" s="27">
        <f>P190-P189</f>
        <v/>
      </c>
      <c r="Q191" s="30">
        <f>SUM(K191:P191)</f>
        <v/>
      </c>
      <c r="R191" s="30">
        <f>J191+Q191</f>
        <v/>
      </c>
      <c r="S191" s="17" t="n"/>
    </row>
    <row r="192" ht="18" customHeight="1" s="43" thickBot="1">
      <c r="B192" s="60" t="n"/>
      <c r="C192" s="25" t="inlineStr">
        <is>
          <t>稼働棟数</t>
        </is>
      </c>
      <c r="D192" s="20" t="n"/>
      <c r="E192" s="20" t="n"/>
      <c r="F192" s="20" t="n"/>
      <c r="G192" s="20" t="n"/>
      <c r="H192" s="20" t="n"/>
      <c r="I192" s="28" t="n"/>
      <c r="J192" s="21">
        <f>I192</f>
        <v/>
      </c>
      <c r="K192" s="22" t="n"/>
      <c r="L192" s="20" t="n"/>
      <c r="M192" s="20" t="n"/>
      <c r="N192" s="20" t="n"/>
      <c r="O192" s="20" t="n"/>
      <c r="P192" s="28" t="n"/>
      <c r="Q192" s="21">
        <f>P192</f>
        <v/>
      </c>
      <c r="R192" s="21">
        <f>Q192</f>
        <v/>
      </c>
      <c r="S192" s="18" t="n"/>
    </row>
    <row r="193" ht="18" customHeight="1" s="43">
      <c r="B193" s="59" t="inlineStr">
        <is>
          <t>日本ロレアル/葉物野菜</t>
        </is>
      </c>
      <c r="C193" s="31" t="inlineStr">
        <is>
          <t>58期</t>
        </is>
      </c>
      <c r="D193" s="8" t="n"/>
      <c r="E193" s="8" t="n"/>
      <c r="F193" s="8" t="n"/>
      <c r="G193" s="8" t="n"/>
      <c r="H193" s="8" t="n"/>
      <c r="I193" s="9" t="n"/>
      <c r="J193" s="10">
        <f>SUM(D193:I193)</f>
        <v/>
      </c>
      <c r="K193" s="11" t="n"/>
      <c r="L193" s="8" t="n"/>
      <c r="M193" s="8" t="n"/>
      <c r="N193" s="8" t="n"/>
      <c r="O193" s="8" t="n"/>
      <c r="P193" s="9" t="n"/>
      <c r="Q193" s="10">
        <f>SUM(K193:P193)</f>
        <v/>
      </c>
      <c r="R193" s="10">
        <f>J193+Q193</f>
        <v/>
      </c>
      <c r="S193" s="16" t="n"/>
    </row>
    <row r="194" ht="18" customHeight="1" s="43">
      <c r="B194" s="48" t="n"/>
      <c r="C194" s="7" t="inlineStr">
        <is>
          <t>59期</t>
        </is>
      </c>
      <c r="D194" s="12" t="n"/>
      <c r="E194" s="12" t="n"/>
      <c r="F194" s="12" t="n"/>
      <c r="G194" s="12" t="n"/>
      <c r="H194" s="12" t="n"/>
      <c r="I194" s="13" t="n"/>
      <c r="J194" s="14">
        <f>SUM(D194:I194)</f>
        <v/>
      </c>
      <c r="K194" s="15" t="n"/>
      <c r="L194" s="12" t="n"/>
      <c r="M194" s="12" t="n"/>
      <c r="N194" s="12" t="n"/>
      <c r="O194" s="12" t="n"/>
      <c r="P194" s="13" t="n"/>
      <c r="Q194" s="14">
        <f>SUM(K194:P194)</f>
        <v/>
      </c>
      <c r="R194" s="14">
        <f>J194+Q194</f>
        <v/>
      </c>
      <c r="S194" s="17" t="n"/>
    </row>
    <row r="195" ht="18" customHeight="1" s="43">
      <c r="B195" s="48" t="n"/>
      <c r="C195" s="23" t="inlineStr">
        <is>
          <t>増　減</t>
        </is>
      </c>
      <c r="D195" s="24">
        <f>D194-D193</f>
        <v/>
      </c>
      <c r="E195" s="24">
        <f>E194-E193</f>
        <v/>
      </c>
      <c r="F195" s="24">
        <f>F194-F193</f>
        <v/>
      </c>
      <c r="G195" s="24">
        <f>G194-G193</f>
        <v/>
      </c>
      <c r="H195" s="24">
        <f>H194-H193</f>
        <v/>
      </c>
      <c r="I195" s="27">
        <f>I194-I193</f>
        <v/>
      </c>
      <c r="J195" s="30">
        <f>SUM(D195:I195)</f>
        <v/>
      </c>
      <c r="K195" s="29">
        <f>K194-K193</f>
        <v/>
      </c>
      <c r="L195" s="24">
        <f>L194-L193</f>
        <v/>
      </c>
      <c r="M195" s="24">
        <f>M194-M193</f>
        <v/>
      </c>
      <c r="N195" s="24">
        <f>N194-N193</f>
        <v/>
      </c>
      <c r="O195" s="24">
        <f>O194-O193</f>
        <v/>
      </c>
      <c r="P195" s="27">
        <f>P194-P193</f>
        <v/>
      </c>
      <c r="Q195" s="30">
        <f>SUM(K195:P195)</f>
        <v/>
      </c>
      <c r="R195" s="30">
        <f>J195+Q195</f>
        <v/>
      </c>
      <c r="S195" s="17" t="n"/>
    </row>
    <row r="196" ht="18" customHeight="1" s="43" thickBot="1">
      <c r="B196" s="60" t="n"/>
      <c r="C196" s="25" t="inlineStr">
        <is>
          <t>稼働棟数</t>
        </is>
      </c>
      <c r="D196" s="20" t="n"/>
      <c r="E196" s="20" t="n"/>
      <c r="F196" s="20" t="n"/>
      <c r="G196" s="20" t="n"/>
      <c r="H196" s="20" t="n"/>
      <c r="I196" s="28" t="n"/>
      <c r="J196" s="21">
        <f>I196</f>
        <v/>
      </c>
      <c r="K196" s="22" t="n"/>
      <c r="L196" s="20" t="n"/>
      <c r="M196" s="20" t="n"/>
      <c r="N196" s="20" t="n"/>
      <c r="O196" s="20" t="n"/>
      <c r="P196" s="28" t="n"/>
      <c r="Q196" s="21">
        <f>P196</f>
        <v/>
      </c>
      <c r="R196" s="21">
        <f>Q196</f>
        <v/>
      </c>
      <c r="S196" s="18" t="n"/>
    </row>
    <row r="197" ht="18" customHeight="1" s="43">
      <c r="B197" s="59" t="inlineStr">
        <is>
          <t>サンセイランディック/イチゴ</t>
        </is>
      </c>
      <c r="C197" s="31" t="inlineStr">
        <is>
          <t>58期</t>
        </is>
      </c>
      <c r="D197" s="8" t="n"/>
      <c r="E197" s="8" t="n"/>
      <c r="F197" s="8" t="n"/>
      <c r="G197" s="8" t="n"/>
      <c r="H197" s="8" t="n"/>
      <c r="I197" s="9" t="n"/>
      <c r="J197" s="10">
        <f>SUM(D197:I197)</f>
        <v/>
      </c>
      <c r="K197" s="11" t="n"/>
      <c r="L197" s="8" t="n"/>
      <c r="M197" s="8" t="n"/>
      <c r="N197" s="8" t="n"/>
      <c r="O197" s="8" t="n"/>
      <c r="P197" s="9" t="n"/>
      <c r="Q197" s="10">
        <f>SUM(K197:P197)</f>
        <v/>
      </c>
      <c r="R197" s="10">
        <f>J197+Q197</f>
        <v/>
      </c>
      <c r="S197" s="16" t="n"/>
    </row>
    <row r="198" ht="18" customHeight="1" s="43">
      <c r="B198" s="48" t="n"/>
      <c r="C198" s="7" t="inlineStr">
        <is>
          <t>59期</t>
        </is>
      </c>
      <c r="D198" s="12" t="n"/>
      <c r="E198" s="12" t="n"/>
      <c r="F198" s="12" t="n"/>
      <c r="G198" s="12" t="n"/>
      <c r="H198" s="12" t="n"/>
      <c r="I198" s="13" t="n"/>
      <c r="J198" s="14">
        <f>SUM(D198:I198)</f>
        <v/>
      </c>
      <c r="K198" s="15" t="n"/>
      <c r="L198" s="12" t="n"/>
      <c r="M198" s="12" t="n"/>
      <c r="N198" s="12" t="n"/>
      <c r="O198" s="12" t="n"/>
      <c r="P198" s="13" t="n"/>
      <c r="Q198" s="14">
        <f>SUM(K198:P198)</f>
        <v/>
      </c>
      <c r="R198" s="14">
        <f>J198+Q198</f>
        <v/>
      </c>
      <c r="S198" s="17" t="n"/>
    </row>
    <row r="199" ht="18" customHeight="1" s="43">
      <c r="B199" s="48" t="n"/>
      <c r="C199" s="23" t="inlineStr">
        <is>
          <t>増　減</t>
        </is>
      </c>
      <c r="D199" s="24">
        <f>D198-D197</f>
        <v/>
      </c>
      <c r="E199" s="24">
        <f>E198-E197</f>
        <v/>
      </c>
      <c r="F199" s="24">
        <f>F198-F197</f>
        <v/>
      </c>
      <c r="G199" s="24">
        <f>G198-G197</f>
        <v/>
      </c>
      <c r="H199" s="24">
        <f>H198-H197</f>
        <v/>
      </c>
      <c r="I199" s="27">
        <f>I198-I197</f>
        <v/>
      </c>
      <c r="J199" s="30">
        <f>SUM(D199:I199)</f>
        <v/>
      </c>
      <c r="K199" s="29">
        <f>K198-K197</f>
        <v/>
      </c>
      <c r="L199" s="24">
        <f>L198-L197</f>
        <v/>
      </c>
      <c r="M199" s="24">
        <f>M198-M197</f>
        <v/>
      </c>
      <c r="N199" s="24">
        <f>N198-N197</f>
        <v/>
      </c>
      <c r="O199" s="24">
        <f>O198-O197</f>
        <v/>
      </c>
      <c r="P199" s="27">
        <f>P198-P197</f>
        <v/>
      </c>
      <c r="Q199" s="30">
        <f>SUM(K199:P199)</f>
        <v/>
      </c>
      <c r="R199" s="30">
        <f>J199+Q199</f>
        <v/>
      </c>
      <c r="S199" s="17" t="n"/>
    </row>
    <row r="200" ht="18" customHeight="1" s="43" thickBot="1">
      <c r="B200" s="60" t="n"/>
      <c r="C200" s="25" t="inlineStr">
        <is>
          <t>稼働棟数</t>
        </is>
      </c>
      <c r="D200" s="20" t="n"/>
      <c r="E200" s="20" t="n"/>
      <c r="F200" s="20" t="n"/>
      <c r="G200" s="20" t="n"/>
      <c r="H200" s="20" t="n"/>
      <c r="I200" s="28" t="n"/>
      <c r="J200" s="21">
        <f>I200</f>
        <v/>
      </c>
      <c r="K200" s="22" t="n"/>
      <c r="L200" s="20" t="n"/>
      <c r="M200" s="20" t="n"/>
      <c r="N200" s="20" t="n"/>
      <c r="O200" s="20" t="n"/>
      <c r="P200" s="28" t="n"/>
      <c r="Q200" s="21">
        <f>P200</f>
        <v/>
      </c>
      <c r="R200" s="21">
        <f>Q200</f>
        <v/>
      </c>
      <c r="S200" s="18" t="n"/>
    </row>
    <row r="201" ht="18" customHeight="1" s="43">
      <c r="B201" s="59" t="inlineStr">
        <is>
          <t>サンセイランディック/トマト</t>
        </is>
      </c>
      <c r="C201" s="31" t="inlineStr">
        <is>
          <t>58期</t>
        </is>
      </c>
      <c r="D201" s="8" t="n"/>
      <c r="E201" s="8" t="n"/>
      <c r="F201" s="8" t="n"/>
      <c r="G201" s="8" t="n"/>
      <c r="H201" s="8" t="n"/>
      <c r="I201" s="9" t="n"/>
      <c r="J201" s="10">
        <f>SUM(D201:I201)</f>
        <v/>
      </c>
      <c r="K201" s="11" t="n"/>
      <c r="L201" s="8" t="n"/>
      <c r="M201" s="8" t="n"/>
      <c r="N201" s="8" t="n"/>
      <c r="O201" s="8" t="n"/>
      <c r="P201" s="9" t="n"/>
      <c r="Q201" s="10">
        <f>SUM(K201:P201)</f>
        <v/>
      </c>
      <c r="R201" s="10">
        <f>J201+Q201</f>
        <v/>
      </c>
      <c r="S201" s="16" t="n"/>
    </row>
    <row r="202" ht="18" customHeight="1" s="43">
      <c r="B202" s="48" t="n"/>
      <c r="C202" s="7" t="inlineStr">
        <is>
          <t>59期</t>
        </is>
      </c>
      <c r="D202" s="12" t="n"/>
      <c r="E202" s="12" t="n"/>
      <c r="F202" s="12" t="n"/>
      <c r="G202" s="12" t="n"/>
      <c r="H202" s="12" t="n"/>
      <c r="I202" s="13" t="n"/>
      <c r="J202" s="14">
        <f>SUM(D202:I202)</f>
        <v/>
      </c>
      <c r="K202" s="15" t="n"/>
      <c r="L202" s="12" t="n"/>
      <c r="M202" s="12" t="n"/>
      <c r="N202" s="12" t="n"/>
      <c r="O202" s="12" t="n"/>
      <c r="P202" s="13" t="n"/>
      <c r="Q202" s="14">
        <f>SUM(K202:P202)</f>
        <v/>
      </c>
      <c r="R202" s="14">
        <f>J202+Q202</f>
        <v/>
      </c>
      <c r="S202" s="17" t="n"/>
    </row>
    <row r="203" ht="18" customHeight="1" s="43">
      <c r="B203" s="48" t="n"/>
      <c r="C203" s="23" t="inlineStr">
        <is>
          <t>増　減</t>
        </is>
      </c>
      <c r="D203" s="24">
        <f>D202-D201</f>
        <v/>
      </c>
      <c r="E203" s="24">
        <f>E202-E201</f>
        <v/>
      </c>
      <c r="F203" s="24">
        <f>F202-F201</f>
        <v/>
      </c>
      <c r="G203" s="24">
        <f>G202-G201</f>
        <v/>
      </c>
      <c r="H203" s="24">
        <f>H202-H201</f>
        <v/>
      </c>
      <c r="I203" s="27">
        <f>I202-I201</f>
        <v/>
      </c>
      <c r="J203" s="30">
        <f>SUM(D203:I203)</f>
        <v/>
      </c>
      <c r="K203" s="29">
        <f>K202-K201</f>
        <v/>
      </c>
      <c r="L203" s="24">
        <f>L202-L201</f>
        <v/>
      </c>
      <c r="M203" s="24">
        <f>M202-M201</f>
        <v/>
      </c>
      <c r="N203" s="24">
        <f>N202-N201</f>
        <v/>
      </c>
      <c r="O203" s="24">
        <f>O202-O201</f>
        <v/>
      </c>
      <c r="P203" s="27">
        <f>P202-P201</f>
        <v/>
      </c>
      <c r="Q203" s="30">
        <f>SUM(K203:P203)</f>
        <v/>
      </c>
      <c r="R203" s="30">
        <f>J203+Q203</f>
        <v/>
      </c>
      <c r="S203" s="17" t="n"/>
    </row>
    <row r="204" ht="18" customHeight="1" s="43" thickBot="1">
      <c r="B204" s="60" t="n"/>
      <c r="C204" s="25" t="inlineStr">
        <is>
          <t>稼働棟数</t>
        </is>
      </c>
      <c r="D204" s="20" t="n"/>
      <c r="E204" s="20" t="n"/>
      <c r="F204" s="20" t="n"/>
      <c r="G204" s="20" t="n"/>
      <c r="H204" s="20" t="n"/>
      <c r="I204" s="28" t="n"/>
      <c r="J204" s="21">
        <f>I204</f>
        <v/>
      </c>
      <c r="K204" s="22" t="n"/>
      <c r="L204" s="20" t="n"/>
      <c r="M204" s="20" t="n"/>
      <c r="N204" s="20" t="n"/>
      <c r="O204" s="20" t="n"/>
      <c r="P204" s="28" t="n"/>
      <c r="Q204" s="21">
        <f>P204</f>
        <v/>
      </c>
      <c r="R204" s="21">
        <f>Q204</f>
        <v/>
      </c>
      <c r="S204" s="18" t="n"/>
    </row>
    <row r="205" ht="18" customHeight="1" s="43">
      <c r="B205" s="59" t="inlineStr">
        <is>
          <t>サンセイランディック/ナス</t>
        </is>
      </c>
      <c r="C205" s="31" t="inlineStr">
        <is>
          <t>58期</t>
        </is>
      </c>
      <c r="D205" s="8" t="n"/>
      <c r="E205" s="8" t="n"/>
      <c r="F205" s="8" t="n"/>
      <c r="G205" s="8" t="n"/>
      <c r="H205" s="8" t="n"/>
      <c r="I205" s="9" t="n"/>
      <c r="J205" s="10">
        <f>SUM(D205:I205)</f>
        <v/>
      </c>
      <c r="K205" s="11" t="n"/>
      <c r="L205" s="8" t="n"/>
      <c r="M205" s="8" t="n"/>
      <c r="N205" s="8" t="n"/>
      <c r="O205" s="8" t="n"/>
      <c r="P205" s="9" t="n"/>
      <c r="Q205" s="10">
        <f>SUM(K205:P205)</f>
        <v/>
      </c>
      <c r="R205" s="10">
        <f>J205+Q205</f>
        <v/>
      </c>
      <c r="S205" s="16" t="n"/>
    </row>
    <row r="206" ht="18" customHeight="1" s="43">
      <c r="B206" s="48" t="n"/>
      <c r="C206" s="7" t="inlineStr">
        <is>
          <t>59期</t>
        </is>
      </c>
      <c r="D206" s="12" t="n"/>
      <c r="E206" s="12" t="n"/>
      <c r="F206" s="12" t="n"/>
      <c r="G206" s="12" t="n"/>
      <c r="H206" s="12" t="n"/>
      <c r="I206" s="13" t="n"/>
      <c r="J206" s="14">
        <f>SUM(D206:I206)</f>
        <v/>
      </c>
      <c r="K206" s="15" t="n"/>
      <c r="L206" s="12" t="n"/>
      <c r="M206" s="12" t="n"/>
      <c r="N206" s="12" t="n"/>
      <c r="O206" s="12" t="n"/>
      <c r="P206" s="13" t="n"/>
      <c r="Q206" s="14">
        <f>SUM(K206:P206)</f>
        <v/>
      </c>
      <c r="R206" s="14">
        <f>J206+Q206</f>
        <v/>
      </c>
      <c r="S206" s="17" t="n"/>
    </row>
    <row r="207" ht="18" customHeight="1" s="43">
      <c r="B207" s="48" t="n"/>
      <c r="C207" s="23" t="inlineStr">
        <is>
          <t>増　減</t>
        </is>
      </c>
      <c r="D207" s="24">
        <f>D206-D205</f>
        <v/>
      </c>
      <c r="E207" s="24">
        <f>E206-E205</f>
        <v/>
      </c>
      <c r="F207" s="24">
        <f>F206-F205</f>
        <v/>
      </c>
      <c r="G207" s="24">
        <f>G206-G205</f>
        <v/>
      </c>
      <c r="H207" s="24">
        <f>H206-H205</f>
        <v/>
      </c>
      <c r="I207" s="27">
        <f>I206-I205</f>
        <v/>
      </c>
      <c r="J207" s="30">
        <f>SUM(D207:I207)</f>
        <v/>
      </c>
      <c r="K207" s="29">
        <f>K206-K205</f>
        <v/>
      </c>
      <c r="L207" s="24">
        <f>L206-L205</f>
        <v/>
      </c>
      <c r="M207" s="24">
        <f>M206-M205</f>
        <v/>
      </c>
      <c r="N207" s="24">
        <f>N206-N205</f>
        <v/>
      </c>
      <c r="O207" s="24">
        <f>O206-O205</f>
        <v/>
      </c>
      <c r="P207" s="27">
        <f>P206-P205</f>
        <v/>
      </c>
      <c r="Q207" s="30">
        <f>SUM(K207:P207)</f>
        <v/>
      </c>
      <c r="R207" s="30">
        <f>J207+Q207</f>
        <v/>
      </c>
      <c r="S207" s="17" t="n"/>
    </row>
    <row r="208" ht="18" customHeight="1" s="43" thickBot="1">
      <c r="B208" s="60" t="n"/>
      <c r="C208" s="25" t="inlineStr">
        <is>
          <t>稼働棟数</t>
        </is>
      </c>
      <c r="D208" s="20" t="n"/>
      <c r="E208" s="20" t="n"/>
      <c r="F208" s="20" t="n"/>
      <c r="G208" s="20" t="n"/>
      <c r="H208" s="20" t="n"/>
      <c r="I208" s="28" t="n"/>
      <c r="J208" s="21">
        <f>I208</f>
        <v/>
      </c>
      <c r="K208" s="22" t="n"/>
      <c r="L208" s="20" t="n"/>
      <c r="M208" s="20" t="n"/>
      <c r="N208" s="20" t="n"/>
      <c r="O208" s="20" t="n"/>
      <c r="P208" s="28" t="n"/>
      <c r="Q208" s="21">
        <f>P208</f>
        <v/>
      </c>
      <c r="R208" s="21">
        <f>Q208</f>
        <v/>
      </c>
      <c r="S208" s="18" t="n"/>
    </row>
    <row r="209" ht="18" customHeight="1" s="43">
      <c r="B209" s="59" t="inlineStr">
        <is>
          <t>サンセイランディック/ハーブ</t>
        </is>
      </c>
      <c r="C209" s="31" t="inlineStr">
        <is>
          <t>58期</t>
        </is>
      </c>
      <c r="D209" s="8" t="n"/>
      <c r="E209" s="8" t="n"/>
      <c r="F209" s="8" t="n"/>
      <c r="G209" s="8" t="n"/>
      <c r="H209" s="8" t="n"/>
      <c r="I209" s="9" t="n"/>
      <c r="J209" s="10">
        <f>SUM(D209:I209)</f>
        <v/>
      </c>
      <c r="K209" s="11" t="n"/>
      <c r="L209" s="8" t="n"/>
      <c r="M209" s="8" t="n"/>
      <c r="N209" s="8" t="n"/>
      <c r="O209" s="8" t="n"/>
      <c r="P209" s="9" t="n"/>
      <c r="Q209" s="10">
        <f>SUM(K209:P209)</f>
        <v/>
      </c>
      <c r="R209" s="10">
        <f>J209+Q209</f>
        <v/>
      </c>
      <c r="S209" s="16" t="n"/>
    </row>
    <row r="210" ht="18" customHeight="1" s="43">
      <c r="B210" s="48" t="n"/>
      <c r="C210" s="7" t="inlineStr">
        <is>
          <t>59期</t>
        </is>
      </c>
      <c r="D210" s="12" t="n"/>
      <c r="E210" s="12" t="n"/>
      <c r="F210" s="12" t="n"/>
      <c r="G210" s="12" t="n"/>
      <c r="H210" s="12" t="n"/>
      <c r="I210" s="13" t="n"/>
      <c r="J210" s="14">
        <f>SUM(D210:I210)</f>
        <v/>
      </c>
      <c r="K210" s="15" t="n"/>
      <c r="L210" s="12" t="n"/>
      <c r="M210" s="12" t="n"/>
      <c r="N210" s="12" t="n"/>
      <c r="O210" s="12" t="n"/>
      <c r="P210" s="13" t="n"/>
      <c r="Q210" s="14">
        <f>SUM(K210:P210)</f>
        <v/>
      </c>
      <c r="R210" s="14">
        <f>J210+Q210</f>
        <v/>
      </c>
      <c r="S210" s="17" t="n"/>
    </row>
    <row r="211" ht="18" customHeight="1" s="43">
      <c r="B211" s="48" t="n"/>
      <c r="C211" s="23" t="inlineStr">
        <is>
          <t>増　減</t>
        </is>
      </c>
      <c r="D211" s="24">
        <f>D210-D209</f>
        <v/>
      </c>
      <c r="E211" s="24">
        <f>E210-E209</f>
        <v/>
      </c>
      <c r="F211" s="24">
        <f>F210-F209</f>
        <v/>
      </c>
      <c r="G211" s="24">
        <f>G210-G209</f>
        <v/>
      </c>
      <c r="H211" s="24">
        <f>H210-H209</f>
        <v/>
      </c>
      <c r="I211" s="27">
        <f>I210-I209</f>
        <v/>
      </c>
      <c r="J211" s="30">
        <f>SUM(D211:I211)</f>
        <v/>
      </c>
      <c r="K211" s="29">
        <f>K210-K209</f>
        <v/>
      </c>
      <c r="L211" s="24">
        <f>L210-L209</f>
        <v/>
      </c>
      <c r="M211" s="24">
        <f>M210-M209</f>
        <v/>
      </c>
      <c r="N211" s="24">
        <f>N210-N209</f>
        <v/>
      </c>
      <c r="O211" s="24">
        <f>O210-O209</f>
        <v/>
      </c>
      <c r="P211" s="27">
        <f>P210-P209</f>
        <v/>
      </c>
      <c r="Q211" s="30">
        <f>SUM(K211:P211)</f>
        <v/>
      </c>
      <c r="R211" s="30">
        <f>J211+Q211</f>
        <v/>
      </c>
      <c r="S211" s="17" t="n"/>
    </row>
    <row r="212" ht="18" customHeight="1" s="43" thickBot="1">
      <c r="B212" s="60" t="n"/>
      <c r="C212" s="25" t="inlineStr">
        <is>
          <t>稼働棟数</t>
        </is>
      </c>
      <c r="D212" s="20" t="n"/>
      <c r="E212" s="20" t="n"/>
      <c r="F212" s="20" t="n"/>
      <c r="G212" s="20" t="n"/>
      <c r="H212" s="20" t="n"/>
      <c r="I212" s="28" t="n"/>
      <c r="J212" s="21">
        <f>I212</f>
        <v/>
      </c>
      <c r="K212" s="22" t="n"/>
      <c r="L212" s="20" t="n"/>
      <c r="M212" s="20" t="n"/>
      <c r="N212" s="20" t="n"/>
      <c r="O212" s="20" t="n"/>
      <c r="P212" s="28" t="n"/>
      <c r="Q212" s="21">
        <f>P212</f>
        <v/>
      </c>
      <c r="R212" s="21">
        <f>Q212</f>
        <v/>
      </c>
      <c r="S212" s="18" t="n"/>
    </row>
    <row r="213" ht="18" customHeight="1" s="43">
      <c r="B213" s="59" t="inlineStr">
        <is>
          <t>サンセイランディック/パプリカ</t>
        </is>
      </c>
      <c r="C213" s="31" t="inlineStr">
        <is>
          <t>58期</t>
        </is>
      </c>
      <c r="D213" s="8" t="n"/>
      <c r="E213" s="8" t="n"/>
      <c r="F213" s="8" t="n"/>
      <c r="G213" s="8" t="n"/>
      <c r="H213" s="8" t="n"/>
      <c r="I213" s="9" t="n"/>
      <c r="J213" s="10">
        <f>SUM(D213:I213)</f>
        <v/>
      </c>
      <c r="K213" s="11" t="n"/>
      <c r="L213" s="8" t="n"/>
      <c r="M213" s="8" t="n"/>
      <c r="N213" s="8" t="n"/>
      <c r="O213" s="8" t="n"/>
      <c r="P213" s="9" t="n"/>
      <c r="Q213" s="10">
        <f>SUM(K213:P213)</f>
        <v/>
      </c>
      <c r="R213" s="10">
        <f>J213+Q213</f>
        <v/>
      </c>
      <c r="S213" s="16" t="n"/>
    </row>
    <row r="214" ht="18" customHeight="1" s="43">
      <c r="B214" s="48" t="n"/>
      <c r="C214" s="7" t="inlineStr">
        <is>
          <t>59期</t>
        </is>
      </c>
      <c r="D214" s="12" t="n"/>
      <c r="E214" s="12" t="n"/>
      <c r="F214" s="12" t="n"/>
      <c r="G214" s="12" t="n"/>
      <c r="H214" s="12" t="n"/>
      <c r="I214" s="13" t="n"/>
      <c r="J214" s="14">
        <f>SUM(D214:I214)</f>
        <v/>
      </c>
      <c r="K214" s="15" t="n"/>
      <c r="L214" s="12" t="n"/>
      <c r="M214" s="12" t="n"/>
      <c r="N214" s="12" t="n"/>
      <c r="O214" s="12" t="n"/>
      <c r="P214" s="13" t="n"/>
      <c r="Q214" s="14">
        <f>SUM(K214:P214)</f>
        <v/>
      </c>
      <c r="R214" s="14">
        <f>J214+Q214</f>
        <v/>
      </c>
      <c r="S214" s="17" t="n"/>
    </row>
    <row r="215" ht="18" customHeight="1" s="43">
      <c r="B215" s="48" t="n"/>
      <c r="C215" s="23" t="inlineStr">
        <is>
          <t>増　減</t>
        </is>
      </c>
      <c r="D215" s="24">
        <f>D214-D213</f>
        <v/>
      </c>
      <c r="E215" s="24">
        <f>E214-E213</f>
        <v/>
      </c>
      <c r="F215" s="24">
        <f>F214-F213</f>
        <v/>
      </c>
      <c r="G215" s="24">
        <f>G214-G213</f>
        <v/>
      </c>
      <c r="H215" s="24">
        <f>H214-H213</f>
        <v/>
      </c>
      <c r="I215" s="27">
        <f>I214-I213</f>
        <v/>
      </c>
      <c r="J215" s="30">
        <f>SUM(D215:I215)</f>
        <v/>
      </c>
      <c r="K215" s="29">
        <f>K214-K213</f>
        <v/>
      </c>
      <c r="L215" s="24">
        <f>L214-L213</f>
        <v/>
      </c>
      <c r="M215" s="24">
        <f>M214-M213</f>
        <v/>
      </c>
      <c r="N215" s="24">
        <f>N214-N213</f>
        <v/>
      </c>
      <c r="O215" s="24">
        <f>O214-O213</f>
        <v/>
      </c>
      <c r="P215" s="27">
        <f>P214-P213</f>
        <v/>
      </c>
      <c r="Q215" s="30">
        <f>SUM(K215:P215)</f>
        <v/>
      </c>
      <c r="R215" s="30">
        <f>J215+Q215</f>
        <v/>
      </c>
      <c r="S215" s="17" t="n"/>
    </row>
    <row r="216" ht="18" customHeight="1" s="43" thickBot="1">
      <c r="B216" s="60" t="n"/>
      <c r="C216" s="25" t="inlineStr">
        <is>
          <t>稼働棟数</t>
        </is>
      </c>
      <c r="D216" s="20" t="n"/>
      <c r="E216" s="20" t="n"/>
      <c r="F216" s="20" t="n"/>
      <c r="G216" s="20" t="n"/>
      <c r="H216" s="20" t="n"/>
      <c r="I216" s="28" t="n"/>
      <c r="J216" s="21">
        <f>I216</f>
        <v/>
      </c>
      <c r="K216" s="22" t="n"/>
      <c r="L216" s="20" t="n"/>
      <c r="M216" s="20" t="n"/>
      <c r="N216" s="20" t="n"/>
      <c r="O216" s="20" t="n"/>
      <c r="P216" s="28" t="n"/>
      <c r="Q216" s="21">
        <f>P216</f>
        <v/>
      </c>
      <c r="R216" s="21">
        <f>Q216</f>
        <v/>
      </c>
      <c r="S216" s="18" t="n"/>
    </row>
    <row r="217" ht="18" customHeight="1" s="43">
      <c r="B217" s="59" t="inlineStr">
        <is>
          <t>サンセイランディック/ピーマン</t>
        </is>
      </c>
      <c r="C217" s="31" t="inlineStr">
        <is>
          <t>58期</t>
        </is>
      </c>
      <c r="D217" s="8" t="n"/>
      <c r="E217" s="8" t="n"/>
      <c r="F217" s="8" t="n"/>
      <c r="G217" s="8" t="n"/>
      <c r="H217" s="8" t="n"/>
      <c r="I217" s="9" t="n"/>
      <c r="J217" s="10">
        <f>SUM(D217:I217)</f>
        <v/>
      </c>
      <c r="K217" s="11" t="n"/>
      <c r="L217" s="8" t="n"/>
      <c r="M217" s="8" t="n"/>
      <c r="N217" s="8" t="n"/>
      <c r="O217" s="8" t="n"/>
      <c r="P217" s="9" t="n"/>
      <c r="Q217" s="10">
        <f>SUM(K217:P217)</f>
        <v/>
      </c>
      <c r="R217" s="10">
        <f>J217+Q217</f>
        <v/>
      </c>
      <c r="S217" s="16" t="n"/>
    </row>
    <row r="218" ht="18" customHeight="1" s="43">
      <c r="B218" s="48" t="n"/>
      <c r="C218" s="7" t="inlineStr">
        <is>
          <t>59期</t>
        </is>
      </c>
      <c r="D218" s="12" t="n"/>
      <c r="E218" s="12" t="n"/>
      <c r="F218" s="12" t="n"/>
      <c r="G218" s="12" t="n"/>
      <c r="H218" s="12" t="n"/>
      <c r="I218" s="13" t="n"/>
      <c r="J218" s="14">
        <f>SUM(D218:I218)</f>
        <v/>
      </c>
      <c r="K218" s="15" t="n"/>
      <c r="L218" s="12" t="n"/>
      <c r="M218" s="12" t="n"/>
      <c r="N218" s="12" t="n"/>
      <c r="O218" s="12" t="n"/>
      <c r="P218" s="13" t="n"/>
      <c r="Q218" s="14">
        <f>SUM(K218:P218)</f>
        <v/>
      </c>
      <c r="R218" s="14">
        <f>J218+Q218</f>
        <v/>
      </c>
      <c r="S218" s="17" t="n"/>
    </row>
    <row r="219" ht="18" customHeight="1" s="43">
      <c r="B219" s="48" t="n"/>
      <c r="C219" s="23" t="inlineStr">
        <is>
          <t>増　減</t>
        </is>
      </c>
      <c r="D219" s="24">
        <f>D218-D217</f>
        <v/>
      </c>
      <c r="E219" s="24">
        <f>E218-E217</f>
        <v/>
      </c>
      <c r="F219" s="24">
        <f>F218-F217</f>
        <v/>
      </c>
      <c r="G219" s="24">
        <f>G218-G217</f>
        <v/>
      </c>
      <c r="H219" s="24">
        <f>H218-H217</f>
        <v/>
      </c>
      <c r="I219" s="27">
        <f>I218-I217</f>
        <v/>
      </c>
      <c r="J219" s="30">
        <f>SUM(D219:I219)</f>
        <v/>
      </c>
      <c r="K219" s="29">
        <f>K218-K217</f>
        <v/>
      </c>
      <c r="L219" s="24">
        <f>L218-L217</f>
        <v/>
      </c>
      <c r="M219" s="24">
        <f>M218-M217</f>
        <v/>
      </c>
      <c r="N219" s="24">
        <f>N218-N217</f>
        <v/>
      </c>
      <c r="O219" s="24">
        <f>O218-O217</f>
        <v/>
      </c>
      <c r="P219" s="27">
        <f>P218-P217</f>
        <v/>
      </c>
      <c r="Q219" s="30">
        <f>SUM(K219:P219)</f>
        <v/>
      </c>
      <c r="R219" s="30">
        <f>J219+Q219</f>
        <v/>
      </c>
      <c r="S219" s="17" t="n"/>
    </row>
    <row r="220" ht="18" customHeight="1" s="43" thickBot="1">
      <c r="B220" s="60" t="n"/>
      <c r="C220" s="25" t="inlineStr">
        <is>
          <t>稼働棟数</t>
        </is>
      </c>
      <c r="D220" s="20" t="n"/>
      <c r="E220" s="20" t="n"/>
      <c r="F220" s="20" t="n"/>
      <c r="G220" s="20" t="n"/>
      <c r="H220" s="20" t="n"/>
      <c r="I220" s="28" t="n"/>
      <c r="J220" s="21">
        <f>I220</f>
        <v/>
      </c>
      <c r="K220" s="22" t="n"/>
      <c r="L220" s="20" t="n"/>
      <c r="M220" s="20" t="n"/>
      <c r="N220" s="20" t="n"/>
      <c r="O220" s="20" t="n"/>
      <c r="P220" s="28" t="n"/>
      <c r="Q220" s="21">
        <f>P220</f>
        <v/>
      </c>
      <c r="R220" s="21">
        <f>Q220</f>
        <v/>
      </c>
      <c r="S220" s="18" t="n"/>
    </row>
    <row r="221" ht="18" customHeight="1" s="43">
      <c r="B221" s="59" t="inlineStr">
        <is>
          <t>サンセイランディック/マイクロ</t>
        </is>
      </c>
      <c r="C221" s="31" t="inlineStr">
        <is>
          <t>58期</t>
        </is>
      </c>
      <c r="D221" s="8" t="n"/>
      <c r="E221" s="8" t="n"/>
      <c r="F221" s="8" t="n"/>
      <c r="G221" s="8" t="n"/>
      <c r="H221" s="8" t="n"/>
      <c r="I221" s="9" t="n"/>
      <c r="J221" s="10">
        <f>SUM(D221:I221)</f>
        <v/>
      </c>
      <c r="K221" s="11" t="n"/>
      <c r="L221" s="8" t="n"/>
      <c r="M221" s="8" t="n"/>
      <c r="N221" s="8" t="n"/>
      <c r="O221" s="8" t="n"/>
      <c r="P221" s="9" t="n"/>
      <c r="Q221" s="10">
        <f>SUM(K221:P221)</f>
        <v/>
      </c>
      <c r="R221" s="10">
        <f>J221+Q221</f>
        <v/>
      </c>
      <c r="S221" s="16" t="n"/>
    </row>
    <row r="222" ht="18" customHeight="1" s="43">
      <c r="B222" s="48" t="n"/>
      <c r="C222" s="7" t="inlineStr">
        <is>
          <t>59期</t>
        </is>
      </c>
      <c r="D222" s="12" t="n"/>
      <c r="E222" s="12" t="n"/>
      <c r="F222" s="12" t="n"/>
      <c r="G222" s="12" t="n"/>
      <c r="H222" s="12" t="n"/>
      <c r="I222" s="13" t="n"/>
      <c r="J222" s="14">
        <f>SUM(D222:I222)</f>
        <v/>
      </c>
      <c r="K222" s="15" t="n"/>
      <c r="L222" s="12" t="n"/>
      <c r="M222" s="12" t="n"/>
      <c r="N222" s="12" t="n"/>
      <c r="O222" s="12" t="n"/>
      <c r="P222" s="13" t="n"/>
      <c r="Q222" s="14">
        <f>SUM(K222:P222)</f>
        <v/>
      </c>
      <c r="R222" s="14">
        <f>J222+Q222</f>
        <v/>
      </c>
      <c r="S222" s="17" t="n"/>
    </row>
    <row r="223" ht="18" customHeight="1" s="43">
      <c r="B223" s="48" t="n"/>
      <c r="C223" s="23" t="inlineStr">
        <is>
          <t>増　減</t>
        </is>
      </c>
      <c r="D223" s="24">
        <f>D222-D221</f>
        <v/>
      </c>
      <c r="E223" s="24">
        <f>E222-E221</f>
        <v/>
      </c>
      <c r="F223" s="24">
        <f>F222-F221</f>
        <v/>
      </c>
      <c r="G223" s="24">
        <f>G222-G221</f>
        <v/>
      </c>
      <c r="H223" s="24">
        <f>H222-H221</f>
        <v/>
      </c>
      <c r="I223" s="27">
        <f>I222-I221</f>
        <v/>
      </c>
      <c r="J223" s="30">
        <f>SUM(D223:I223)</f>
        <v/>
      </c>
      <c r="K223" s="29">
        <f>K222-K221</f>
        <v/>
      </c>
      <c r="L223" s="24">
        <f>L222-L221</f>
        <v/>
      </c>
      <c r="M223" s="24">
        <f>M222-M221</f>
        <v/>
      </c>
      <c r="N223" s="24">
        <f>N222-N221</f>
        <v/>
      </c>
      <c r="O223" s="24">
        <f>O222-O221</f>
        <v/>
      </c>
      <c r="P223" s="27">
        <f>P222-P221</f>
        <v/>
      </c>
      <c r="Q223" s="30">
        <f>SUM(K223:P223)</f>
        <v/>
      </c>
      <c r="R223" s="30">
        <f>J223+Q223</f>
        <v/>
      </c>
      <c r="S223" s="17" t="n"/>
    </row>
    <row r="224" ht="18" customHeight="1" s="43" thickBot="1">
      <c r="B224" s="60" t="n"/>
      <c r="C224" s="25" t="inlineStr">
        <is>
          <t>稼働棟数</t>
        </is>
      </c>
      <c r="D224" s="20" t="n"/>
      <c r="E224" s="20" t="n"/>
      <c r="F224" s="20" t="n"/>
      <c r="G224" s="20" t="n"/>
      <c r="H224" s="20" t="n"/>
      <c r="I224" s="28" t="n"/>
      <c r="J224" s="21">
        <f>I224</f>
        <v/>
      </c>
      <c r="K224" s="22" t="n"/>
      <c r="L224" s="20" t="n"/>
      <c r="M224" s="20" t="n"/>
      <c r="N224" s="20" t="n"/>
      <c r="O224" s="20" t="n"/>
      <c r="P224" s="28" t="n"/>
      <c r="Q224" s="21">
        <f>P224</f>
        <v/>
      </c>
      <c r="R224" s="21">
        <f>Q224</f>
        <v/>
      </c>
      <c r="S224" s="18" t="n"/>
    </row>
    <row r="225" ht="18" customHeight="1" s="43">
      <c r="B225" s="59" t="inlineStr">
        <is>
          <t>サンセイランディック/ミニトマト</t>
        </is>
      </c>
      <c r="C225" s="31" t="inlineStr">
        <is>
          <t>58期</t>
        </is>
      </c>
      <c r="D225" s="8" t="n"/>
      <c r="E225" s="8" t="n"/>
      <c r="F225" s="8" t="n"/>
      <c r="G225" s="8" t="n"/>
      <c r="H225" s="8" t="n"/>
      <c r="I225" s="9" t="n"/>
      <c r="J225" s="10">
        <f>SUM(D225:I225)</f>
        <v/>
      </c>
      <c r="K225" s="11" t="n"/>
      <c r="L225" s="8" t="n"/>
      <c r="M225" s="8" t="n"/>
      <c r="N225" s="8" t="n"/>
      <c r="O225" s="8" t="n"/>
      <c r="P225" s="9" t="n"/>
      <c r="Q225" s="10">
        <f>SUM(K225:P225)</f>
        <v/>
      </c>
      <c r="R225" s="10">
        <f>J225+Q225</f>
        <v/>
      </c>
      <c r="S225" s="16" t="n"/>
    </row>
    <row r="226" ht="18" customHeight="1" s="43">
      <c r="B226" s="48" t="n"/>
      <c r="C226" s="7" t="inlineStr">
        <is>
          <t>59期</t>
        </is>
      </c>
      <c r="D226" s="12" t="n"/>
      <c r="E226" s="12" t="n"/>
      <c r="F226" s="12" t="n"/>
      <c r="G226" s="12" t="n"/>
      <c r="H226" s="12" t="n"/>
      <c r="I226" s="13" t="n"/>
      <c r="J226" s="14">
        <f>SUM(D226:I226)</f>
        <v/>
      </c>
      <c r="K226" s="15" t="n"/>
      <c r="L226" s="12" t="n"/>
      <c r="M226" s="12" t="n"/>
      <c r="N226" s="12" t="n"/>
      <c r="O226" s="12" t="n"/>
      <c r="P226" s="13" t="n"/>
      <c r="Q226" s="14">
        <f>SUM(K226:P226)</f>
        <v/>
      </c>
      <c r="R226" s="14">
        <f>J226+Q226</f>
        <v/>
      </c>
      <c r="S226" s="17" t="n"/>
    </row>
    <row r="227" ht="18" customHeight="1" s="43">
      <c r="B227" s="48" t="n"/>
      <c r="C227" s="23" t="inlineStr">
        <is>
          <t>増　減</t>
        </is>
      </c>
      <c r="D227" s="24">
        <f>D226-D225</f>
        <v/>
      </c>
      <c r="E227" s="24">
        <f>E226-E225</f>
        <v/>
      </c>
      <c r="F227" s="24">
        <f>F226-F225</f>
        <v/>
      </c>
      <c r="G227" s="24">
        <f>G226-G225</f>
        <v/>
      </c>
      <c r="H227" s="24">
        <f>H226-H225</f>
        <v/>
      </c>
      <c r="I227" s="27">
        <f>I226-I225</f>
        <v/>
      </c>
      <c r="J227" s="30">
        <f>SUM(D227:I227)</f>
        <v/>
      </c>
      <c r="K227" s="29">
        <f>K226-K225</f>
        <v/>
      </c>
      <c r="L227" s="24">
        <f>L226-L225</f>
        <v/>
      </c>
      <c r="M227" s="24">
        <f>M226-M225</f>
        <v/>
      </c>
      <c r="N227" s="24">
        <f>N226-N225</f>
        <v/>
      </c>
      <c r="O227" s="24">
        <f>O226-O225</f>
        <v/>
      </c>
      <c r="P227" s="27">
        <f>P226-P225</f>
        <v/>
      </c>
      <c r="Q227" s="30">
        <f>SUM(K227:P227)</f>
        <v/>
      </c>
      <c r="R227" s="30">
        <f>J227+Q227</f>
        <v/>
      </c>
      <c r="S227" s="17" t="n"/>
    </row>
    <row r="228" ht="18" customHeight="1" s="43" thickBot="1">
      <c r="B228" s="60" t="n"/>
      <c r="C228" s="25" t="inlineStr">
        <is>
          <t>稼働棟数</t>
        </is>
      </c>
      <c r="D228" s="20" t="n"/>
      <c r="E228" s="20" t="n"/>
      <c r="F228" s="20" t="n"/>
      <c r="G228" s="20" t="n"/>
      <c r="H228" s="20" t="n"/>
      <c r="I228" s="28" t="n"/>
      <c r="J228" s="21">
        <f>I228</f>
        <v/>
      </c>
      <c r="K228" s="22" t="n"/>
      <c r="L228" s="20" t="n"/>
      <c r="M228" s="20" t="n"/>
      <c r="N228" s="20" t="n"/>
      <c r="O228" s="20" t="n"/>
      <c r="P228" s="28" t="n"/>
      <c r="Q228" s="21">
        <f>P228</f>
        <v/>
      </c>
      <c r="R228" s="21">
        <f>Q228</f>
        <v/>
      </c>
      <c r="S228" s="18" t="n"/>
    </row>
    <row r="229" ht="18" customHeight="1" s="43">
      <c r="B229" s="59" t="inlineStr">
        <is>
          <t>サンセイランディック/根物野菜</t>
        </is>
      </c>
      <c r="C229" s="31" t="inlineStr">
        <is>
          <t>58期</t>
        </is>
      </c>
      <c r="D229" s="8" t="n"/>
      <c r="E229" s="8" t="n"/>
      <c r="F229" s="8" t="n"/>
      <c r="G229" s="8" t="n">
        <v>0.33</v>
      </c>
      <c r="H229" s="8" t="n"/>
      <c r="I229" s="9" t="n"/>
      <c r="J229" s="10" t="n">
        <v>0.33</v>
      </c>
      <c r="K229" s="11" t="n"/>
      <c r="L229" s="8" t="n"/>
      <c r="M229" s="8" t="n"/>
      <c r="N229" s="8" t="n"/>
      <c r="O229" s="8" t="n"/>
      <c r="P229" s="9" t="n"/>
      <c r="Q229" s="10" t="n">
        <v>0</v>
      </c>
      <c r="R229" s="10" t="n">
        <v>0.33</v>
      </c>
      <c r="S229" s="16" t="n"/>
    </row>
    <row r="230" ht="18" customHeight="1" s="43">
      <c r="B230" s="48" t="n"/>
      <c r="C230" s="7" t="inlineStr">
        <is>
          <t>59期</t>
        </is>
      </c>
      <c r="D230" s="12" t="n"/>
      <c r="E230" s="12" t="n"/>
      <c r="F230" s="12" t="n"/>
      <c r="G230" s="12" t="n"/>
      <c r="H230" s="12" t="n"/>
      <c r="I230" s="13" t="n"/>
      <c r="J230" s="14">
        <f>SUM(D230:I230)</f>
        <v/>
      </c>
      <c r="K230" s="15" t="n"/>
      <c r="L230" s="12" t="n"/>
      <c r="M230" s="12" t="n"/>
      <c r="N230" s="12" t="n"/>
      <c r="O230" s="12" t="n"/>
      <c r="P230" s="13" t="n"/>
      <c r="Q230" s="14">
        <f>SUM(K230:P230)</f>
        <v/>
      </c>
      <c r="R230" s="14">
        <f>J230+Q230</f>
        <v/>
      </c>
      <c r="S230" s="17" t="n"/>
    </row>
    <row r="231" ht="18" customHeight="1" s="43">
      <c r="B231" s="48" t="n"/>
      <c r="C231" s="23" t="inlineStr">
        <is>
          <t>増　減</t>
        </is>
      </c>
      <c r="D231" s="24">
        <f>D230-D229</f>
        <v/>
      </c>
      <c r="E231" s="24">
        <f>E230-E229</f>
        <v/>
      </c>
      <c r="F231" s="24">
        <f>F230-F229</f>
        <v/>
      </c>
      <c r="G231" s="24">
        <f>G230-G229</f>
        <v/>
      </c>
      <c r="H231" s="24">
        <f>H230-H229</f>
        <v/>
      </c>
      <c r="I231" s="27">
        <f>I230-I229</f>
        <v/>
      </c>
      <c r="J231" s="30">
        <f>SUM(D231:I231)</f>
        <v/>
      </c>
      <c r="K231" s="29">
        <f>K230-K229</f>
        <v/>
      </c>
      <c r="L231" s="24">
        <f>L230-L229</f>
        <v/>
      </c>
      <c r="M231" s="24">
        <f>M230-M229</f>
        <v/>
      </c>
      <c r="N231" s="24">
        <f>N230-N229</f>
        <v/>
      </c>
      <c r="O231" s="24">
        <f>O230-O229</f>
        <v/>
      </c>
      <c r="P231" s="27">
        <f>P230-P229</f>
        <v/>
      </c>
      <c r="Q231" s="30">
        <f>SUM(K231:P231)</f>
        <v/>
      </c>
      <c r="R231" s="30">
        <f>J231+Q231</f>
        <v/>
      </c>
      <c r="S231" s="17" t="n"/>
    </row>
    <row r="232" ht="18" customHeight="1" s="43" thickBot="1">
      <c r="B232" s="60" t="n"/>
      <c r="C232" s="25" t="inlineStr">
        <is>
          <t>稼働棟数</t>
        </is>
      </c>
      <c r="D232" s="20" t="n"/>
      <c r="E232" s="20" t="n"/>
      <c r="F232" s="20" t="n"/>
      <c r="G232" s="20" t="n"/>
      <c r="H232" s="20" t="n"/>
      <c r="I232" s="28" t="n"/>
      <c r="J232" s="21">
        <f>I232</f>
        <v/>
      </c>
      <c r="K232" s="22" t="n"/>
      <c r="L232" s="20" t="n"/>
      <c r="M232" s="20" t="n"/>
      <c r="N232" s="20" t="n"/>
      <c r="O232" s="20" t="n"/>
      <c r="P232" s="28" t="n"/>
      <c r="Q232" s="21">
        <f>P232</f>
        <v/>
      </c>
      <c r="R232" s="21">
        <f>Q232</f>
        <v/>
      </c>
      <c r="S232" s="18" t="n"/>
    </row>
    <row r="233" ht="18" customHeight="1" s="43">
      <c r="B233" s="59" t="inlineStr">
        <is>
          <t>サンセイランディック/実物野菜</t>
        </is>
      </c>
      <c r="C233" s="31" t="inlineStr">
        <is>
          <t>58期</t>
        </is>
      </c>
      <c r="D233" s="8" t="n"/>
      <c r="E233" s="8" t="n"/>
      <c r="F233" s="8" t="n"/>
      <c r="G233" s="8" t="n"/>
      <c r="H233" s="8" t="n"/>
      <c r="I233" s="9" t="n"/>
      <c r="J233" s="10">
        <f>SUM(D233:I233)</f>
        <v/>
      </c>
      <c r="K233" s="11" t="n"/>
      <c r="L233" s="8" t="n"/>
      <c r="M233" s="8" t="n"/>
      <c r="N233" s="8" t="n"/>
      <c r="O233" s="8" t="n"/>
      <c r="P233" s="9" t="n"/>
      <c r="Q233" s="10">
        <f>SUM(K233:P233)</f>
        <v/>
      </c>
      <c r="R233" s="10">
        <f>J233+Q233</f>
        <v/>
      </c>
      <c r="S233" s="16" t="n"/>
    </row>
    <row r="234" ht="18" customHeight="1" s="43">
      <c r="B234" s="48" t="n"/>
      <c r="C234" s="7" t="inlineStr">
        <is>
          <t>59期</t>
        </is>
      </c>
      <c r="D234" s="12" t="n"/>
      <c r="E234" s="12" t="n"/>
      <c r="F234" s="12" t="n"/>
      <c r="G234" s="12" t="n"/>
      <c r="H234" s="12" t="n"/>
      <c r="I234" s="13" t="n"/>
      <c r="J234" s="14">
        <f>SUM(D234:I234)</f>
        <v/>
      </c>
      <c r="K234" s="15" t="n"/>
      <c r="L234" s="12" t="n"/>
      <c r="M234" s="12" t="n"/>
      <c r="N234" s="12" t="n"/>
      <c r="O234" s="12" t="n"/>
      <c r="P234" s="13" t="n"/>
      <c r="Q234" s="14">
        <f>SUM(K234:P234)</f>
        <v/>
      </c>
      <c r="R234" s="14">
        <f>J234+Q234</f>
        <v/>
      </c>
      <c r="S234" s="17" t="n"/>
    </row>
    <row r="235" ht="18" customHeight="1" s="43">
      <c r="B235" s="48" t="n"/>
      <c r="C235" s="23" t="inlineStr">
        <is>
          <t>増　減</t>
        </is>
      </c>
      <c r="D235" s="24">
        <f>D234-D233</f>
        <v/>
      </c>
      <c r="E235" s="24">
        <f>E234-E233</f>
        <v/>
      </c>
      <c r="F235" s="24">
        <f>F234-F233</f>
        <v/>
      </c>
      <c r="G235" s="24">
        <f>G234-G233</f>
        <v/>
      </c>
      <c r="H235" s="24">
        <f>H234-H233</f>
        <v/>
      </c>
      <c r="I235" s="27">
        <f>I234-I233</f>
        <v/>
      </c>
      <c r="J235" s="30">
        <f>SUM(D235:I235)</f>
        <v/>
      </c>
      <c r="K235" s="29">
        <f>K234-K233</f>
        <v/>
      </c>
      <c r="L235" s="24">
        <f>L234-L233</f>
        <v/>
      </c>
      <c r="M235" s="24">
        <f>M234-M233</f>
        <v/>
      </c>
      <c r="N235" s="24">
        <f>N234-N233</f>
        <v/>
      </c>
      <c r="O235" s="24">
        <f>O234-O233</f>
        <v/>
      </c>
      <c r="P235" s="27">
        <f>P234-P233</f>
        <v/>
      </c>
      <c r="Q235" s="30">
        <f>SUM(K235:P235)</f>
        <v/>
      </c>
      <c r="R235" s="30">
        <f>J235+Q235</f>
        <v/>
      </c>
      <c r="S235" s="17" t="n"/>
    </row>
    <row r="236" ht="18" customHeight="1" s="43" thickBot="1">
      <c r="B236" s="60" t="n"/>
      <c r="C236" s="25" t="inlineStr">
        <is>
          <t>稼働棟数</t>
        </is>
      </c>
      <c r="D236" s="20" t="n"/>
      <c r="E236" s="20" t="n"/>
      <c r="F236" s="20" t="n"/>
      <c r="G236" s="20" t="n"/>
      <c r="H236" s="20" t="n"/>
      <c r="I236" s="28" t="n"/>
      <c r="J236" s="21">
        <f>I236</f>
        <v/>
      </c>
      <c r="K236" s="22" t="n"/>
      <c r="L236" s="20" t="n"/>
      <c r="M236" s="20" t="n"/>
      <c r="N236" s="20" t="n"/>
      <c r="O236" s="20" t="n"/>
      <c r="P236" s="28" t="n"/>
      <c r="Q236" s="21">
        <f>P236</f>
        <v/>
      </c>
      <c r="R236" s="21">
        <f>Q236</f>
        <v/>
      </c>
      <c r="S236" s="18" t="n"/>
    </row>
    <row r="237" ht="18" customHeight="1" s="43">
      <c r="B237" s="59" t="inlineStr">
        <is>
          <t>サンセイランディック/食用花</t>
        </is>
      </c>
      <c r="C237" s="31" t="inlineStr">
        <is>
          <t>58期</t>
        </is>
      </c>
      <c r="D237" s="8" t="n"/>
      <c r="E237" s="8" t="n"/>
      <c r="F237" s="8" t="n"/>
      <c r="G237" s="8" t="n"/>
      <c r="H237" s="8" t="n"/>
      <c r="I237" s="9" t="n"/>
      <c r="J237" s="10">
        <f>SUM(D237:I237)</f>
        <v/>
      </c>
      <c r="K237" s="11" t="n"/>
      <c r="L237" s="8" t="n"/>
      <c r="M237" s="8" t="n"/>
      <c r="N237" s="8" t="n"/>
      <c r="O237" s="8" t="n"/>
      <c r="P237" s="9" t="n"/>
      <c r="Q237" s="10">
        <f>SUM(K237:P237)</f>
        <v/>
      </c>
      <c r="R237" s="10">
        <f>J237+Q237</f>
        <v/>
      </c>
      <c r="S237" s="16" t="n"/>
    </row>
    <row r="238" ht="18" customHeight="1" s="43">
      <c r="B238" s="48" t="n"/>
      <c r="C238" s="7" t="inlineStr">
        <is>
          <t>59期</t>
        </is>
      </c>
      <c r="D238" s="12" t="n"/>
      <c r="E238" s="12" t="n"/>
      <c r="F238" s="12" t="n"/>
      <c r="G238" s="12" t="n"/>
      <c r="H238" s="12" t="n"/>
      <c r="I238" s="13" t="n"/>
      <c r="J238" s="14">
        <f>SUM(D238:I238)</f>
        <v/>
      </c>
      <c r="K238" s="15" t="n"/>
      <c r="L238" s="12" t="n"/>
      <c r="M238" s="12" t="n"/>
      <c r="N238" s="12" t="n"/>
      <c r="O238" s="12" t="n"/>
      <c r="P238" s="13" t="n"/>
      <c r="Q238" s="14">
        <f>SUM(K238:P238)</f>
        <v/>
      </c>
      <c r="R238" s="14">
        <f>J238+Q238</f>
        <v/>
      </c>
      <c r="S238" s="17" t="n"/>
    </row>
    <row r="239" ht="18" customHeight="1" s="43">
      <c r="B239" s="48" t="n"/>
      <c r="C239" s="23" t="inlineStr">
        <is>
          <t>増　減</t>
        </is>
      </c>
      <c r="D239" s="24">
        <f>D238-D237</f>
        <v/>
      </c>
      <c r="E239" s="24">
        <f>E238-E237</f>
        <v/>
      </c>
      <c r="F239" s="24">
        <f>F238-F237</f>
        <v/>
      </c>
      <c r="G239" s="24">
        <f>G238-G237</f>
        <v/>
      </c>
      <c r="H239" s="24">
        <f>H238-H237</f>
        <v/>
      </c>
      <c r="I239" s="27">
        <f>I238-I237</f>
        <v/>
      </c>
      <c r="J239" s="30">
        <f>SUM(D239:I239)</f>
        <v/>
      </c>
      <c r="K239" s="29">
        <f>K238-K237</f>
        <v/>
      </c>
      <c r="L239" s="24">
        <f>L238-L237</f>
        <v/>
      </c>
      <c r="M239" s="24">
        <f>M238-M237</f>
        <v/>
      </c>
      <c r="N239" s="24">
        <f>N238-N237</f>
        <v/>
      </c>
      <c r="O239" s="24">
        <f>O238-O237</f>
        <v/>
      </c>
      <c r="P239" s="27">
        <f>P238-P237</f>
        <v/>
      </c>
      <c r="Q239" s="30">
        <f>SUM(K239:P239)</f>
        <v/>
      </c>
      <c r="R239" s="30">
        <f>J239+Q239</f>
        <v/>
      </c>
      <c r="S239" s="17" t="n"/>
    </row>
    <row r="240" ht="18" customHeight="1" s="43" thickBot="1">
      <c r="B240" s="60" t="n"/>
      <c r="C240" s="25" t="inlineStr">
        <is>
          <t>稼働棟数</t>
        </is>
      </c>
      <c r="D240" s="20" t="n"/>
      <c r="E240" s="20" t="n"/>
      <c r="F240" s="20" t="n"/>
      <c r="G240" s="20" t="n"/>
      <c r="H240" s="20" t="n"/>
      <c r="I240" s="28" t="n"/>
      <c r="J240" s="21">
        <f>I240</f>
        <v/>
      </c>
      <c r="K240" s="22" t="n"/>
      <c r="L240" s="20" t="n"/>
      <c r="M240" s="20" t="n"/>
      <c r="N240" s="20" t="n"/>
      <c r="O240" s="20" t="n"/>
      <c r="P240" s="28" t="n"/>
      <c r="Q240" s="21">
        <f>P240</f>
        <v/>
      </c>
      <c r="R240" s="21">
        <f>Q240</f>
        <v/>
      </c>
      <c r="S240" s="18" t="n"/>
    </row>
    <row r="241" ht="18" customHeight="1" s="43">
      <c r="B241" s="59" t="inlineStr">
        <is>
          <t>サンセイランディック/葉物野菜</t>
        </is>
      </c>
      <c r="C241" s="31" t="inlineStr">
        <is>
          <t>58期</t>
        </is>
      </c>
      <c r="D241" s="8" t="n"/>
      <c r="E241" s="8" t="n"/>
      <c r="F241" s="8" t="n"/>
      <c r="G241" s="8" t="n"/>
      <c r="H241" s="8" t="n"/>
      <c r="I241" s="9" t="n"/>
      <c r="J241" s="10">
        <f>SUM(D241:I241)</f>
        <v/>
      </c>
      <c r="K241" s="11" t="n"/>
      <c r="L241" s="8" t="n"/>
      <c r="M241" s="8" t="n"/>
      <c r="N241" s="8" t="n"/>
      <c r="O241" s="8" t="n"/>
      <c r="P241" s="9" t="n"/>
      <c r="Q241" s="10">
        <f>SUM(K241:P241)</f>
        <v/>
      </c>
      <c r="R241" s="10">
        <f>J241+Q241</f>
        <v/>
      </c>
      <c r="S241" s="16" t="n"/>
    </row>
    <row r="242" ht="18" customHeight="1" s="43">
      <c r="B242" s="48" t="n"/>
      <c r="C242" s="7" t="inlineStr">
        <is>
          <t>59期</t>
        </is>
      </c>
      <c r="D242" s="12" t="n"/>
      <c r="E242" s="12" t="n"/>
      <c r="F242" s="12" t="n"/>
      <c r="G242" s="12" t="n"/>
      <c r="H242" s="12" t="n"/>
      <c r="I242" s="13" t="n"/>
      <c r="J242" s="14">
        <f>SUM(D242:I242)</f>
        <v/>
      </c>
      <c r="K242" s="15" t="n"/>
      <c r="L242" s="12" t="n"/>
      <c r="M242" s="12" t="n"/>
      <c r="N242" s="12" t="n"/>
      <c r="O242" s="12" t="n"/>
      <c r="P242" s="13" t="n"/>
      <c r="Q242" s="14">
        <f>SUM(K242:P242)</f>
        <v/>
      </c>
      <c r="R242" s="14">
        <f>J242+Q242</f>
        <v/>
      </c>
      <c r="S242" s="17" t="n"/>
    </row>
    <row r="243" ht="18" customHeight="1" s="43">
      <c r="B243" s="48" t="n"/>
      <c r="C243" s="23" t="inlineStr">
        <is>
          <t>増　減</t>
        </is>
      </c>
      <c r="D243" s="24">
        <f>D242-D241</f>
        <v/>
      </c>
      <c r="E243" s="24">
        <f>E242-E241</f>
        <v/>
      </c>
      <c r="F243" s="24">
        <f>F242-F241</f>
        <v/>
      </c>
      <c r="G243" s="24">
        <f>G242-G241</f>
        <v/>
      </c>
      <c r="H243" s="24">
        <f>H242-H241</f>
        <v/>
      </c>
      <c r="I243" s="27">
        <f>I242-I241</f>
        <v/>
      </c>
      <c r="J243" s="30">
        <f>SUM(D243:I243)</f>
        <v/>
      </c>
      <c r="K243" s="29">
        <f>K242-K241</f>
        <v/>
      </c>
      <c r="L243" s="24">
        <f>L242-L241</f>
        <v/>
      </c>
      <c r="M243" s="24">
        <f>M242-M241</f>
        <v/>
      </c>
      <c r="N243" s="24">
        <f>N242-N241</f>
        <v/>
      </c>
      <c r="O243" s="24">
        <f>O242-O241</f>
        <v/>
      </c>
      <c r="P243" s="27">
        <f>P242-P241</f>
        <v/>
      </c>
      <c r="Q243" s="30">
        <f>SUM(K243:P243)</f>
        <v/>
      </c>
      <c r="R243" s="30">
        <f>J243+Q243</f>
        <v/>
      </c>
      <c r="S243" s="17" t="n"/>
    </row>
    <row r="244" ht="18" customHeight="1" s="43" thickBot="1">
      <c r="B244" s="60" t="n"/>
      <c r="C244" s="25" t="inlineStr">
        <is>
          <t>稼働棟数</t>
        </is>
      </c>
      <c r="D244" s="20" t="n"/>
      <c r="E244" s="20" t="n"/>
      <c r="F244" s="20" t="n"/>
      <c r="G244" s="20" t="n"/>
      <c r="H244" s="20" t="n"/>
      <c r="I244" s="28" t="n"/>
      <c r="J244" s="21">
        <f>I244</f>
        <v/>
      </c>
      <c r="K244" s="22" t="n"/>
      <c r="L244" s="20" t="n"/>
      <c r="M244" s="20" t="n"/>
      <c r="N244" s="20" t="n"/>
      <c r="O244" s="20" t="n"/>
      <c r="P244" s="28" t="n"/>
      <c r="Q244" s="21">
        <f>P244</f>
        <v/>
      </c>
      <c r="R244" s="21">
        <f>Q244</f>
        <v/>
      </c>
      <c r="S244" s="18" t="n"/>
    </row>
    <row r="245" ht="18" customHeight="1" s="43">
      <c r="B245" s="59" t="inlineStr">
        <is>
          <t>昭和女子/イチゴ</t>
        </is>
      </c>
      <c r="C245" s="31" t="inlineStr">
        <is>
          <t>58期</t>
        </is>
      </c>
      <c r="D245" s="8" t="n"/>
      <c r="E245" s="8" t="n"/>
      <c r="F245" s="8" t="n"/>
      <c r="G245" s="8" t="n">
        <v>0.16</v>
      </c>
      <c r="H245" s="8" t="n"/>
      <c r="I245" s="9" t="n"/>
      <c r="J245" s="10" t="n">
        <v>0.16</v>
      </c>
      <c r="K245" s="11" t="n"/>
      <c r="L245" s="8" t="n"/>
      <c r="M245" s="8" t="n"/>
      <c r="N245" s="8" t="n"/>
      <c r="O245" s="8" t="n"/>
      <c r="P245" s="9" t="n"/>
      <c r="Q245" s="10" t="n">
        <v>0</v>
      </c>
      <c r="R245" s="10" t="n">
        <v>0.16</v>
      </c>
      <c r="S245" s="16" t="n"/>
    </row>
    <row r="246" ht="18" customHeight="1" s="43">
      <c r="B246" s="48" t="n"/>
      <c r="C246" s="7" t="inlineStr">
        <is>
          <t>59期</t>
        </is>
      </c>
      <c r="D246" s="12" t="n"/>
      <c r="E246" s="12" t="n"/>
      <c r="F246" s="12" t="n"/>
      <c r="G246" s="12" t="n"/>
      <c r="H246" s="12" t="n"/>
      <c r="I246" s="13" t="n"/>
      <c r="J246" s="14">
        <f>SUM(D246:I246)</f>
        <v/>
      </c>
      <c r="K246" s="15" t="n"/>
      <c r="L246" s="12" t="n"/>
      <c r="M246" s="12" t="n"/>
      <c r="N246" s="12" t="n"/>
      <c r="O246" s="12" t="n"/>
      <c r="P246" s="13" t="n"/>
      <c r="Q246" s="14">
        <f>SUM(K246:P246)</f>
        <v/>
      </c>
      <c r="R246" s="14">
        <f>J246+Q246</f>
        <v/>
      </c>
      <c r="S246" s="17" t="n"/>
    </row>
    <row r="247" ht="18" customHeight="1" s="43">
      <c r="B247" s="48" t="n"/>
      <c r="C247" s="23" t="inlineStr">
        <is>
          <t>増　減</t>
        </is>
      </c>
      <c r="D247" s="24">
        <f>D246-D245</f>
        <v/>
      </c>
      <c r="E247" s="24">
        <f>E246-E245</f>
        <v/>
      </c>
      <c r="F247" s="24">
        <f>F246-F245</f>
        <v/>
      </c>
      <c r="G247" s="24">
        <f>G246-G245</f>
        <v/>
      </c>
      <c r="H247" s="24">
        <f>H246-H245</f>
        <v/>
      </c>
      <c r="I247" s="27">
        <f>I246-I245</f>
        <v/>
      </c>
      <c r="J247" s="30">
        <f>SUM(D247:I247)</f>
        <v/>
      </c>
      <c r="K247" s="29">
        <f>K246-K245</f>
        <v/>
      </c>
      <c r="L247" s="24">
        <f>L246-L245</f>
        <v/>
      </c>
      <c r="M247" s="24">
        <f>M246-M245</f>
        <v/>
      </c>
      <c r="N247" s="24">
        <f>N246-N245</f>
        <v/>
      </c>
      <c r="O247" s="24">
        <f>O246-O245</f>
        <v/>
      </c>
      <c r="P247" s="27">
        <f>P246-P245</f>
        <v/>
      </c>
      <c r="Q247" s="30">
        <f>SUM(K247:P247)</f>
        <v/>
      </c>
      <c r="R247" s="30">
        <f>J247+Q247</f>
        <v/>
      </c>
      <c r="S247" s="17" t="n"/>
    </row>
    <row r="248" ht="18" customHeight="1" s="43" thickBot="1">
      <c r="B248" s="60" t="n"/>
      <c r="C248" s="25" t="inlineStr">
        <is>
          <t>稼働棟数</t>
        </is>
      </c>
      <c r="D248" s="20" t="n"/>
      <c r="E248" s="20" t="n"/>
      <c r="F248" s="20" t="n"/>
      <c r="G248" s="20" t="n"/>
      <c r="H248" s="20" t="n"/>
      <c r="I248" s="28" t="n"/>
      <c r="J248" s="21">
        <f>I248</f>
        <v/>
      </c>
      <c r="K248" s="22" t="n"/>
      <c r="L248" s="20" t="n"/>
      <c r="M248" s="20" t="n"/>
      <c r="N248" s="20" t="n"/>
      <c r="O248" s="20" t="n"/>
      <c r="P248" s="28" t="n"/>
      <c r="Q248" s="21">
        <f>P248</f>
        <v/>
      </c>
      <c r="R248" s="21">
        <f>Q248</f>
        <v/>
      </c>
      <c r="S248" s="18" t="n"/>
    </row>
    <row r="249" ht="18" customHeight="1" s="43">
      <c r="B249" s="59" t="inlineStr">
        <is>
          <t>昭和女子/トマト</t>
        </is>
      </c>
      <c r="C249" s="31" t="inlineStr">
        <is>
          <t>58期</t>
        </is>
      </c>
      <c r="D249" s="8" t="n"/>
      <c r="E249" s="8" t="n"/>
      <c r="F249" s="8" t="n"/>
      <c r="G249" s="8" t="n"/>
      <c r="H249" s="8" t="n"/>
      <c r="I249" s="9" t="n"/>
      <c r="J249" s="10">
        <f>SUM(D249:I249)</f>
        <v/>
      </c>
      <c r="K249" s="11" t="n"/>
      <c r="L249" s="8" t="n"/>
      <c r="M249" s="8" t="n"/>
      <c r="N249" s="8" t="n"/>
      <c r="O249" s="8" t="n"/>
      <c r="P249" s="9" t="n"/>
      <c r="Q249" s="10">
        <f>SUM(K249:P249)</f>
        <v/>
      </c>
      <c r="R249" s="10">
        <f>J249+Q249</f>
        <v/>
      </c>
      <c r="S249" s="16" t="n"/>
    </row>
    <row r="250" ht="18" customHeight="1" s="43">
      <c r="B250" s="48" t="n"/>
      <c r="C250" s="7" t="inlineStr">
        <is>
          <t>59期</t>
        </is>
      </c>
      <c r="D250" s="12" t="n"/>
      <c r="E250" s="12" t="n"/>
      <c r="F250" s="12" t="n"/>
      <c r="G250" s="12" t="n"/>
      <c r="H250" s="12" t="n"/>
      <c r="I250" s="13" t="n"/>
      <c r="J250" s="14">
        <f>SUM(D250:I250)</f>
        <v/>
      </c>
      <c r="K250" s="15" t="n"/>
      <c r="L250" s="12" t="n"/>
      <c r="M250" s="12" t="n"/>
      <c r="N250" s="12" t="n"/>
      <c r="O250" s="12" t="n"/>
      <c r="P250" s="13" t="n"/>
      <c r="Q250" s="14">
        <f>SUM(K250:P250)</f>
        <v/>
      </c>
      <c r="R250" s="14">
        <f>J250+Q250</f>
        <v/>
      </c>
      <c r="S250" s="17" t="n"/>
    </row>
    <row r="251" ht="18" customHeight="1" s="43">
      <c r="B251" s="48" t="n"/>
      <c r="C251" s="23" t="inlineStr">
        <is>
          <t>増　減</t>
        </is>
      </c>
      <c r="D251" s="24">
        <f>D250-D249</f>
        <v/>
      </c>
      <c r="E251" s="24">
        <f>E250-E249</f>
        <v/>
      </c>
      <c r="F251" s="24">
        <f>F250-F249</f>
        <v/>
      </c>
      <c r="G251" s="24">
        <f>G250-G249</f>
        <v/>
      </c>
      <c r="H251" s="24">
        <f>H250-H249</f>
        <v/>
      </c>
      <c r="I251" s="27">
        <f>I250-I249</f>
        <v/>
      </c>
      <c r="J251" s="30">
        <f>SUM(D251:I251)</f>
        <v/>
      </c>
      <c r="K251" s="29">
        <f>K250-K249</f>
        <v/>
      </c>
      <c r="L251" s="24">
        <f>L250-L249</f>
        <v/>
      </c>
      <c r="M251" s="24">
        <f>M250-M249</f>
        <v/>
      </c>
      <c r="N251" s="24">
        <f>N250-N249</f>
        <v/>
      </c>
      <c r="O251" s="24">
        <f>O250-O249</f>
        <v/>
      </c>
      <c r="P251" s="27">
        <f>P250-P249</f>
        <v/>
      </c>
      <c r="Q251" s="30">
        <f>SUM(K251:P251)</f>
        <v/>
      </c>
      <c r="R251" s="30">
        <f>J251+Q251</f>
        <v/>
      </c>
      <c r="S251" s="17" t="n"/>
    </row>
    <row r="252" ht="18" customHeight="1" s="43" thickBot="1">
      <c r="B252" s="60" t="n"/>
      <c r="C252" s="25" t="inlineStr">
        <is>
          <t>稼働棟数</t>
        </is>
      </c>
      <c r="D252" s="20" t="n"/>
      <c r="E252" s="20" t="n"/>
      <c r="F252" s="20" t="n"/>
      <c r="G252" s="20" t="n"/>
      <c r="H252" s="20" t="n"/>
      <c r="I252" s="28" t="n"/>
      <c r="J252" s="21">
        <f>I252</f>
        <v/>
      </c>
      <c r="K252" s="22" t="n"/>
      <c r="L252" s="20" t="n"/>
      <c r="M252" s="20" t="n"/>
      <c r="N252" s="20" t="n"/>
      <c r="O252" s="20" t="n"/>
      <c r="P252" s="28" t="n"/>
      <c r="Q252" s="21">
        <f>P252</f>
        <v/>
      </c>
      <c r="R252" s="21">
        <f>Q252</f>
        <v/>
      </c>
      <c r="S252" s="18" t="n"/>
    </row>
    <row r="253" ht="18" customHeight="1" s="43">
      <c r="B253" s="59" t="inlineStr">
        <is>
          <t>昭和女子/ナス</t>
        </is>
      </c>
      <c r="C253" s="31" t="inlineStr">
        <is>
          <t>58期</t>
        </is>
      </c>
      <c r="D253" s="8" t="n"/>
      <c r="E253" s="8" t="n"/>
      <c r="F253" s="8" t="n"/>
      <c r="G253" s="8" t="n"/>
      <c r="H253" s="8" t="n"/>
      <c r="I253" s="9" t="n"/>
      <c r="J253" s="10">
        <f>SUM(D253:I253)</f>
        <v/>
      </c>
      <c r="K253" s="11" t="n"/>
      <c r="L253" s="8" t="n"/>
      <c r="M253" s="8" t="n"/>
      <c r="N253" s="8" t="n"/>
      <c r="O253" s="8" t="n"/>
      <c r="P253" s="9" t="n"/>
      <c r="Q253" s="10">
        <f>SUM(K253:P253)</f>
        <v/>
      </c>
      <c r="R253" s="10">
        <f>J253+Q253</f>
        <v/>
      </c>
      <c r="S253" s="16" t="n"/>
    </row>
    <row r="254" ht="18" customHeight="1" s="43">
      <c r="B254" s="48" t="n"/>
      <c r="C254" s="7" t="inlineStr">
        <is>
          <t>59期</t>
        </is>
      </c>
      <c r="D254" s="12" t="n"/>
      <c r="E254" s="12" t="n"/>
      <c r="F254" s="12" t="n"/>
      <c r="G254" s="12" t="n"/>
      <c r="H254" s="12" t="n"/>
      <c r="I254" s="13" t="n"/>
      <c r="J254" s="14">
        <f>SUM(D254:I254)</f>
        <v/>
      </c>
      <c r="K254" s="15" t="n"/>
      <c r="L254" s="12" t="n"/>
      <c r="M254" s="12" t="n"/>
      <c r="N254" s="12" t="n"/>
      <c r="O254" s="12" t="n"/>
      <c r="P254" s="13" t="n"/>
      <c r="Q254" s="14">
        <f>SUM(K254:P254)</f>
        <v/>
      </c>
      <c r="R254" s="14">
        <f>J254+Q254</f>
        <v/>
      </c>
      <c r="S254" s="17" t="n"/>
    </row>
    <row r="255" ht="18" customHeight="1" s="43">
      <c r="B255" s="48" t="n"/>
      <c r="C255" s="23" t="inlineStr">
        <is>
          <t>増　減</t>
        </is>
      </c>
      <c r="D255" s="24">
        <f>D254-D253</f>
        <v/>
      </c>
      <c r="E255" s="24">
        <f>E254-E253</f>
        <v/>
      </c>
      <c r="F255" s="24">
        <f>F254-F253</f>
        <v/>
      </c>
      <c r="G255" s="24">
        <f>G254-G253</f>
        <v/>
      </c>
      <c r="H255" s="24">
        <f>H254-H253</f>
        <v/>
      </c>
      <c r="I255" s="27">
        <f>I254-I253</f>
        <v/>
      </c>
      <c r="J255" s="30">
        <f>SUM(D255:I255)</f>
        <v/>
      </c>
      <c r="K255" s="29">
        <f>K254-K253</f>
        <v/>
      </c>
      <c r="L255" s="24">
        <f>L254-L253</f>
        <v/>
      </c>
      <c r="M255" s="24">
        <f>M254-M253</f>
        <v/>
      </c>
      <c r="N255" s="24">
        <f>N254-N253</f>
        <v/>
      </c>
      <c r="O255" s="24">
        <f>O254-O253</f>
        <v/>
      </c>
      <c r="P255" s="27">
        <f>P254-P253</f>
        <v/>
      </c>
      <c r="Q255" s="30">
        <f>SUM(K255:P255)</f>
        <v/>
      </c>
      <c r="R255" s="30">
        <f>J255+Q255</f>
        <v/>
      </c>
      <c r="S255" s="17" t="n"/>
    </row>
    <row r="256" ht="18" customHeight="1" s="43" thickBot="1">
      <c r="B256" s="60" t="n"/>
      <c r="C256" s="25" t="inlineStr">
        <is>
          <t>稼働棟数</t>
        </is>
      </c>
      <c r="D256" s="20" t="n"/>
      <c r="E256" s="20" t="n"/>
      <c r="F256" s="20" t="n"/>
      <c r="G256" s="20" t="n"/>
      <c r="H256" s="20" t="n"/>
      <c r="I256" s="28" t="n"/>
      <c r="J256" s="21">
        <f>I256</f>
        <v/>
      </c>
      <c r="K256" s="22" t="n"/>
      <c r="L256" s="20" t="n"/>
      <c r="M256" s="20" t="n"/>
      <c r="N256" s="20" t="n"/>
      <c r="O256" s="20" t="n"/>
      <c r="P256" s="28" t="n"/>
      <c r="Q256" s="21">
        <f>P256</f>
        <v/>
      </c>
      <c r="R256" s="21">
        <f>Q256</f>
        <v/>
      </c>
      <c r="S256" s="18" t="n"/>
    </row>
    <row r="257" ht="18" customHeight="1" s="43">
      <c r="B257" s="59" t="inlineStr">
        <is>
          <t>昭和女子/ハーブ</t>
        </is>
      </c>
      <c r="C257" s="31" t="inlineStr">
        <is>
          <t>58期</t>
        </is>
      </c>
      <c r="D257" s="8" t="n"/>
      <c r="E257" s="8" t="n"/>
      <c r="F257" s="8" t="n"/>
      <c r="G257" s="8" t="n"/>
      <c r="H257" s="8" t="n"/>
      <c r="I257" s="9" t="n"/>
      <c r="J257" s="10">
        <f>SUM(D257:I257)</f>
        <v/>
      </c>
      <c r="K257" s="11" t="n"/>
      <c r="L257" s="8" t="n"/>
      <c r="M257" s="8" t="n"/>
      <c r="N257" s="8" t="n"/>
      <c r="O257" s="8" t="n"/>
      <c r="P257" s="9" t="n"/>
      <c r="Q257" s="10">
        <f>SUM(K257:P257)</f>
        <v/>
      </c>
      <c r="R257" s="10">
        <f>J257+Q257</f>
        <v/>
      </c>
      <c r="S257" s="16" t="n"/>
    </row>
    <row r="258" ht="18" customHeight="1" s="43">
      <c r="B258" s="48" t="n"/>
      <c r="C258" s="7" t="inlineStr">
        <is>
          <t>59期</t>
        </is>
      </c>
      <c r="D258" s="12" t="n"/>
      <c r="E258" s="12" t="n"/>
      <c r="F258" s="12" t="n"/>
      <c r="G258" s="12" t="n"/>
      <c r="H258" s="12" t="n"/>
      <c r="I258" s="13" t="n"/>
      <c r="J258" s="14">
        <f>SUM(D258:I258)</f>
        <v/>
      </c>
      <c r="K258" s="15" t="n"/>
      <c r="L258" s="12" t="n"/>
      <c r="M258" s="12" t="n"/>
      <c r="N258" s="12" t="n"/>
      <c r="O258" s="12" t="n"/>
      <c r="P258" s="13" t="n"/>
      <c r="Q258" s="14">
        <f>SUM(K258:P258)</f>
        <v/>
      </c>
      <c r="R258" s="14">
        <f>J258+Q258</f>
        <v/>
      </c>
      <c r="S258" s="17" t="n"/>
    </row>
    <row r="259" ht="18" customHeight="1" s="43">
      <c r="B259" s="48" t="n"/>
      <c r="C259" s="23" t="inlineStr">
        <is>
          <t>増　減</t>
        </is>
      </c>
      <c r="D259" s="24">
        <f>D258-D257</f>
        <v/>
      </c>
      <c r="E259" s="24">
        <f>E258-E257</f>
        <v/>
      </c>
      <c r="F259" s="24">
        <f>F258-F257</f>
        <v/>
      </c>
      <c r="G259" s="24">
        <f>G258-G257</f>
        <v/>
      </c>
      <c r="H259" s="24">
        <f>H258-H257</f>
        <v/>
      </c>
      <c r="I259" s="27">
        <f>I258-I257</f>
        <v/>
      </c>
      <c r="J259" s="30">
        <f>SUM(D259:I259)</f>
        <v/>
      </c>
      <c r="K259" s="29">
        <f>K258-K257</f>
        <v/>
      </c>
      <c r="L259" s="24">
        <f>L258-L257</f>
        <v/>
      </c>
      <c r="M259" s="24">
        <f>M258-M257</f>
        <v/>
      </c>
      <c r="N259" s="24">
        <f>N258-N257</f>
        <v/>
      </c>
      <c r="O259" s="24">
        <f>O258-O257</f>
        <v/>
      </c>
      <c r="P259" s="27">
        <f>P258-P257</f>
        <v/>
      </c>
      <c r="Q259" s="30">
        <f>SUM(K259:P259)</f>
        <v/>
      </c>
      <c r="R259" s="30">
        <f>J259+Q259</f>
        <v/>
      </c>
      <c r="S259" s="17" t="n"/>
    </row>
    <row r="260" ht="18" customHeight="1" s="43" thickBot="1">
      <c r="B260" s="60" t="n"/>
      <c r="C260" s="25" t="inlineStr">
        <is>
          <t>稼働棟数</t>
        </is>
      </c>
      <c r="D260" s="20" t="n"/>
      <c r="E260" s="20" t="n"/>
      <c r="F260" s="20" t="n"/>
      <c r="G260" s="20" t="n"/>
      <c r="H260" s="20" t="n"/>
      <c r="I260" s="28" t="n"/>
      <c r="J260" s="21">
        <f>I260</f>
        <v/>
      </c>
      <c r="K260" s="22" t="n"/>
      <c r="L260" s="20" t="n"/>
      <c r="M260" s="20" t="n"/>
      <c r="N260" s="20" t="n"/>
      <c r="O260" s="20" t="n"/>
      <c r="P260" s="28" t="n"/>
      <c r="Q260" s="21">
        <f>P260</f>
        <v/>
      </c>
      <c r="R260" s="21">
        <f>Q260</f>
        <v/>
      </c>
      <c r="S260" s="18" t="n"/>
    </row>
    <row r="261" ht="18" customHeight="1" s="43">
      <c r="B261" s="59" t="inlineStr">
        <is>
          <t>昭和女子/パプリカ</t>
        </is>
      </c>
      <c r="C261" s="31" t="inlineStr">
        <is>
          <t>58期</t>
        </is>
      </c>
      <c r="D261" s="8" t="n"/>
      <c r="E261" s="8" t="n"/>
      <c r="F261" s="8" t="n"/>
      <c r="G261" s="8" t="n"/>
      <c r="H261" s="8" t="n"/>
      <c r="I261" s="9" t="n"/>
      <c r="J261" s="10">
        <f>SUM(D261:I261)</f>
        <v/>
      </c>
      <c r="K261" s="11" t="n"/>
      <c r="L261" s="8" t="n"/>
      <c r="M261" s="8" t="n"/>
      <c r="N261" s="8" t="n"/>
      <c r="O261" s="8" t="n"/>
      <c r="P261" s="9" t="n"/>
      <c r="Q261" s="10">
        <f>SUM(K261:P261)</f>
        <v/>
      </c>
      <c r="R261" s="10">
        <f>J261+Q261</f>
        <v/>
      </c>
      <c r="S261" s="16" t="n"/>
    </row>
    <row r="262" ht="18" customHeight="1" s="43">
      <c r="B262" s="48" t="n"/>
      <c r="C262" s="7" t="inlineStr">
        <is>
          <t>59期</t>
        </is>
      </c>
      <c r="D262" s="12" t="n"/>
      <c r="E262" s="12" t="n"/>
      <c r="F262" s="12" t="n"/>
      <c r="G262" s="12" t="n"/>
      <c r="H262" s="12" t="n"/>
      <c r="I262" s="13" t="n"/>
      <c r="J262" s="14">
        <f>SUM(D262:I262)</f>
        <v/>
      </c>
      <c r="K262" s="15" t="n"/>
      <c r="L262" s="12" t="n"/>
      <c r="M262" s="12" t="n"/>
      <c r="N262" s="12" t="n"/>
      <c r="O262" s="12" t="n"/>
      <c r="P262" s="13" t="n"/>
      <c r="Q262" s="14">
        <f>SUM(K262:P262)</f>
        <v/>
      </c>
      <c r="R262" s="14">
        <f>J262+Q262</f>
        <v/>
      </c>
      <c r="S262" s="17" t="n"/>
    </row>
    <row r="263" ht="18" customHeight="1" s="43">
      <c r="B263" s="48" t="n"/>
      <c r="C263" s="23" t="inlineStr">
        <is>
          <t>増　減</t>
        </is>
      </c>
      <c r="D263" s="24">
        <f>D262-D261</f>
        <v/>
      </c>
      <c r="E263" s="24">
        <f>E262-E261</f>
        <v/>
      </c>
      <c r="F263" s="24">
        <f>F262-F261</f>
        <v/>
      </c>
      <c r="G263" s="24">
        <f>G262-G261</f>
        <v/>
      </c>
      <c r="H263" s="24">
        <f>H262-H261</f>
        <v/>
      </c>
      <c r="I263" s="27">
        <f>I262-I261</f>
        <v/>
      </c>
      <c r="J263" s="30">
        <f>SUM(D263:I263)</f>
        <v/>
      </c>
      <c r="K263" s="29">
        <f>K262-K261</f>
        <v/>
      </c>
      <c r="L263" s="24">
        <f>L262-L261</f>
        <v/>
      </c>
      <c r="M263" s="24">
        <f>M262-M261</f>
        <v/>
      </c>
      <c r="N263" s="24">
        <f>N262-N261</f>
        <v/>
      </c>
      <c r="O263" s="24">
        <f>O262-O261</f>
        <v/>
      </c>
      <c r="P263" s="27">
        <f>P262-P261</f>
        <v/>
      </c>
      <c r="Q263" s="30">
        <f>SUM(K263:P263)</f>
        <v/>
      </c>
      <c r="R263" s="30">
        <f>J263+Q263</f>
        <v/>
      </c>
      <c r="S263" s="17" t="n"/>
    </row>
    <row r="264" ht="18" customHeight="1" s="43" thickBot="1">
      <c r="B264" s="60" t="n"/>
      <c r="C264" s="25" t="inlineStr">
        <is>
          <t>稼働棟数</t>
        </is>
      </c>
      <c r="D264" s="20" t="n"/>
      <c r="E264" s="20" t="n"/>
      <c r="F264" s="20" t="n"/>
      <c r="G264" s="20" t="n"/>
      <c r="H264" s="20" t="n"/>
      <c r="I264" s="28" t="n"/>
      <c r="J264" s="21">
        <f>I264</f>
        <v/>
      </c>
      <c r="K264" s="22" t="n"/>
      <c r="L264" s="20" t="n"/>
      <c r="M264" s="20" t="n"/>
      <c r="N264" s="20" t="n"/>
      <c r="O264" s="20" t="n"/>
      <c r="P264" s="28" t="n"/>
      <c r="Q264" s="21">
        <f>P264</f>
        <v/>
      </c>
      <c r="R264" s="21">
        <f>Q264</f>
        <v/>
      </c>
      <c r="S264" s="18" t="n"/>
    </row>
    <row r="265" ht="18" customHeight="1" s="43">
      <c r="B265" s="59" t="inlineStr">
        <is>
          <t>昭和女子/ピーマン</t>
        </is>
      </c>
      <c r="C265" s="31" t="inlineStr">
        <is>
          <t>58期</t>
        </is>
      </c>
      <c r="D265" s="8" t="n"/>
      <c r="E265" s="8" t="n"/>
      <c r="F265" s="8" t="n"/>
      <c r="G265" s="8" t="n"/>
      <c r="H265" s="8" t="n"/>
      <c r="I265" s="9" t="n"/>
      <c r="J265" s="10">
        <f>SUM(D265:I265)</f>
        <v/>
      </c>
      <c r="K265" s="11" t="n"/>
      <c r="L265" s="8" t="n"/>
      <c r="M265" s="8" t="n"/>
      <c r="N265" s="8" t="n"/>
      <c r="O265" s="8" t="n"/>
      <c r="P265" s="9" t="n"/>
      <c r="Q265" s="10">
        <f>SUM(K265:P265)</f>
        <v/>
      </c>
      <c r="R265" s="10">
        <f>J265+Q265</f>
        <v/>
      </c>
      <c r="S265" s="16" t="n"/>
    </row>
    <row r="266" ht="18" customHeight="1" s="43">
      <c r="B266" s="48" t="n"/>
      <c r="C266" s="7" t="inlineStr">
        <is>
          <t>59期</t>
        </is>
      </c>
      <c r="D266" s="12" t="n"/>
      <c r="E266" s="12" t="n"/>
      <c r="F266" s="12" t="n"/>
      <c r="G266" s="12" t="n"/>
      <c r="H266" s="12" t="n"/>
      <c r="I266" s="13" t="n"/>
      <c r="J266" s="14">
        <f>SUM(D266:I266)</f>
        <v/>
      </c>
      <c r="K266" s="15" t="n"/>
      <c r="L266" s="12" t="n"/>
      <c r="M266" s="12" t="n"/>
      <c r="N266" s="12" t="n"/>
      <c r="O266" s="12" t="n"/>
      <c r="P266" s="13" t="n"/>
      <c r="Q266" s="14">
        <f>SUM(K266:P266)</f>
        <v/>
      </c>
      <c r="R266" s="14">
        <f>J266+Q266</f>
        <v/>
      </c>
      <c r="S266" s="17" t="n"/>
    </row>
    <row r="267" ht="18" customHeight="1" s="43">
      <c r="B267" s="48" t="n"/>
      <c r="C267" s="23" t="inlineStr">
        <is>
          <t>増　減</t>
        </is>
      </c>
      <c r="D267" s="24">
        <f>D266-D265</f>
        <v/>
      </c>
      <c r="E267" s="24">
        <f>E266-E265</f>
        <v/>
      </c>
      <c r="F267" s="24">
        <f>F266-F265</f>
        <v/>
      </c>
      <c r="G267" s="24">
        <f>G266-G265</f>
        <v/>
      </c>
      <c r="H267" s="24">
        <f>H266-H265</f>
        <v/>
      </c>
      <c r="I267" s="27">
        <f>I266-I265</f>
        <v/>
      </c>
      <c r="J267" s="30">
        <f>SUM(D267:I267)</f>
        <v/>
      </c>
      <c r="K267" s="29">
        <f>K266-K265</f>
        <v/>
      </c>
      <c r="L267" s="24">
        <f>L266-L265</f>
        <v/>
      </c>
      <c r="M267" s="24">
        <f>M266-M265</f>
        <v/>
      </c>
      <c r="N267" s="24">
        <f>N266-N265</f>
        <v/>
      </c>
      <c r="O267" s="24">
        <f>O266-O265</f>
        <v/>
      </c>
      <c r="P267" s="27">
        <f>P266-P265</f>
        <v/>
      </c>
      <c r="Q267" s="30">
        <f>SUM(K267:P267)</f>
        <v/>
      </c>
      <c r="R267" s="30">
        <f>J267+Q267</f>
        <v/>
      </c>
      <c r="S267" s="17" t="n"/>
    </row>
    <row r="268" ht="18" customHeight="1" s="43" thickBot="1">
      <c r="B268" s="60" t="n"/>
      <c r="C268" s="25" t="inlineStr">
        <is>
          <t>稼働棟数</t>
        </is>
      </c>
      <c r="D268" s="20" t="n"/>
      <c r="E268" s="20" t="n"/>
      <c r="F268" s="20" t="n"/>
      <c r="G268" s="20" t="n"/>
      <c r="H268" s="20" t="n"/>
      <c r="I268" s="28" t="n"/>
      <c r="J268" s="21">
        <f>I268</f>
        <v/>
      </c>
      <c r="K268" s="22" t="n"/>
      <c r="L268" s="20" t="n"/>
      <c r="M268" s="20" t="n"/>
      <c r="N268" s="20" t="n"/>
      <c r="O268" s="20" t="n"/>
      <c r="P268" s="28" t="n"/>
      <c r="Q268" s="21">
        <f>P268</f>
        <v/>
      </c>
      <c r="R268" s="21">
        <f>Q268</f>
        <v/>
      </c>
      <c r="S268" s="18" t="n"/>
    </row>
    <row r="269" ht="18" customHeight="1" s="43">
      <c r="B269" s="59" t="inlineStr">
        <is>
          <t>昭和女子/マイクロ</t>
        </is>
      </c>
      <c r="C269" s="31" t="inlineStr">
        <is>
          <t>58期</t>
        </is>
      </c>
      <c r="D269" s="8" t="n"/>
      <c r="E269" s="8" t="n"/>
      <c r="F269" s="8" t="n"/>
      <c r="G269" s="8" t="n"/>
      <c r="H269" s="8" t="n"/>
      <c r="I269" s="9" t="n"/>
      <c r="J269" s="10">
        <f>SUM(D269:I269)</f>
        <v/>
      </c>
      <c r="K269" s="11" t="n"/>
      <c r="L269" s="8" t="n"/>
      <c r="M269" s="8" t="n"/>
      <c r="N269" s="8" t="n"/>
      <c r="O269" s="8" t="n"/>
      <c r="P269" s="9" t="n"/>
      <c r="Q269" s="10">
        <f>SUM(K269:P269)</f>
        <v/>
      </c>
      <c r="R269" s="10">
        <f>J269+Q269</f>
        <v/>
      </c>
      <c r="S269" s="16" t="n"/>
    </row>
    <row r="270" ht="18" customHeight="1" s="43">
      <c r="B270" s="48" t="n"/>
      <c r="C270" s="7" t="inlineStr">
        <is>
          <t>59期</t>
        </is>
      </c>
      <c r="D270" s="12" t="n"/>
      <c r="E270" s="12" t="n"/>
      <c r="F270" s="12" t="n"/>
      <c r="G270" s="12" t="n"/>
      <c r="H270" s="12" t="n"/>
      <c r="I270" s="13" t="n"/>
      <c r="J270" s="14">
        <f>SUM(D270:I270)</f>
        <v/>
      </c>
      <c r="K270" s="15" t="n"/>
      <c r="L270" s="12" t="n"/>
      <c r="M270" s="12" t="n"/>
      <c r="N270" s="12" t="n"/>
      <c r="O270" s="12" t="n"/>
      <c r="P270" s="13" t="n"/>
      <c r="Q270" s="14">
        <f>SUM(K270:P270)</f>
        <v/>
      </c>
      <c r="R270" s="14">
        <f>J270+Q270</f>
        <v/>
      </c>
      <c r="S270" s="17" t="n"/>
    </row>
    <row r="271" ht="18" customHeight="1" s="43">
      <c r="B271" s="48" t="n"/>
      <c r="C271" s="23" t="inlineStr">
        <is>
          <t>増　減</t>
        </is>
      </c>
      <c r="D271" s="24">
        <f>D270-D269</f>
        <v/>
      </c>
      <c r="E271" s="24">
        <f>E270-E269</f>
        <v/>
      </c>
      <c r="F271" s="24">
        <f>F270-F269</f>
        <v/>
      </c>
      <c r="G271" s="24">
        <f>G270-G269</f>
        <v/>
      </c>
      <c r="H271" s="24">
        <f>H270-H269</f>
        <v/>
      </c>
      <c r="I271" s="27">
        <f>I270-I269</f>
        <v/>
      </c>
      <c r="J271" s="30">
        <f>SUM(D271:I271)</f>
        <v/>
      </c>
      <c r="K271" s="29">
        <f>K270-K269</f>
        <v/>
      </c>
      <c r="L271" s="24">
        <f>L270-L269</f>
        <v/>
      </c>
      <c r="M271" s="24">
        <f>M270-M269</f>
        <v/>
      </c>
      <c r="N271" s="24">
        <f>N270-N269</f>
        <v/>
      </c>
      <c r="O271" s="24">
        <f>O270-O269</f>
        <v/>
      </c>
      <c r="P271" s="27">
        <f>P270-P269</f>
        <v/>
      </c>
      <c r="Q271" s="30">
        <f>SUM(K271:P271)</f>
        <v/>
      </c>
      <c r="R271" s="30">
        <f>J271+Q271</f>
        <v/>
      </c>
      <c r="S271" s="17" t="n"/>
    </row>
    <row r="272" ht="18" customHeight="1" s="43" thickBot="1">
      <c r="B272" s="60" t="n"/>
      <c r="C272" s="25" t="inlineStr">
        <is>
          <t>稼働棟数</t>
        </is>
      </c>
      <c r="D272" s="20" t="n"/>
      <c r="E272" s="20" t="n"/>
      <c r="F272" s="20" t="n"/>
      <c r="G272" s="20" t="n"/>
      <c r="H272" s="20" t="n"/>
      <c r="I272" s="28" t="n"/>
      <c r="J272" s="21">
        <f>I272</f>
        <v/>
      </c>
      <c r="K272" s="22" t="n"/>
      <c r="L272" s="20" t="n"/>
      <c r="M272" s="20" t="n"/>
      <c r="N272" s="20" t="n"/>
      <c r="O272" s="20" t="n"/>
      <c r="P272" s="28" t="n"/>
      <c r="Q272" s="21">
        <f>P272</f>
        <v/>
      </c>
      <c r="R272" s="21">
        <f>Q272</f>
        <v/>
      </c>
      <c r="S272" s="18" t="n"/>
    </row>
    <row r="273" ht="18" customHeight="1" s="43">
      <c r="B273" s="59" t="inlineStr">
        <is>
          <t>昭和女子/ミニトマト</t>
        </is>
      </c>
      <c r="C273" s="31" t="inlineStr">
        <is>
          <t>58期</t>
        </is>
      </c>
      <c r="D273" s="8" t="n"/>
      <c r="E273" s="8" t="n"/>
      <c r="F273" s="8" t="n"/>
      <c r="G273" s="8" t="n"/>
      <c r="H273" s="8" t="n"/>
      <c r="I273" s="9" t="n"/>
      <c r="J273" s="10">
        <f>SUM(D273:I273)</f>
        <v/>
      </c>
      <c r="K273" s="11" t="n"/>
      <c r="L273" s="8" t="n"/>
      <c r="M273" s="8" t="n"/>
      <c r="N273" s="8" t="n"/>
      <c r="O273" s="8" t="n"/>
      <c r="P273" s="9" t="n"/>
      <c r="Q273" s="10">
        <f>SUM(K273:P273)</f>
        <v/>
      </c>
      <c r="R273" s="10">
        <f>J273+Q273</f>
        <v/>
      </c>
      <c r="S273" s="16" t="n"/>
    </row>
    <row r="274" ht="18" customHeight="1" s="43">
      <c r="B274" s="48" t="n"/>
      <c r="C274" s="7" t="inlineStr">
        <is>
          <t>59期</t>
        </is>
      </c>
      <c r="D274" s="12" t="n"/>
      <c r="E274" s="12" t="n"/>
      <c r="F274" s="12" t="n"/>
      <c r="G274" s="12" t="n"/>
      <c r="H274" s="12" t="n"/>
      <c r="I274" s="13" t="n"/>
      <c r="J274" s="14">
        <f>SUM(D274:I274)</f>
        <v/>
      </c>
      <c r="K274" s="15" t="n"/>
      <c r="L274" s="12" t="n"/>
      <c r="M274" s="12" t="n"/>
      <c r="N274" s="12" t="n"/>
      <c r="O274" s="12" t="n"/>
      <c r="P274" s="13" t="n"/>
      <c r="Q274" s="14">
        <f>SUM(K274:P274)</f>
        <v/>
      </c>
      <c r="R274" s="14">
        <f>J274+Q274</f>
        <v/>
      </c>
      <c r="S274" s="17" t="n"/>
    </row>
    <row r="275" ht="18" customHeight="1" s="43">
      <c r="B275" s="48" t="n"/>
      <c r="C275" s="23" t="inlineStr">
        <is>
          <t>増　減</t>
        </is>
      </c>
      <c r="D275" s="24">
        <f>D274-D273</f>
        <v/>
      </c>
      <c r="E275" s="24">
        <f>E274-E273</f>
        <v/>
      </c>
      <c r="F275" s="24">
        <f>F274-F273</f>
        <v/>
      </c>
      <c r="G275" s="24">
        <f>G274-G273</f>
        <v/>
      </c>
      <c r="H275" s="24">
        <f>H274-H273</f>
        <v/>
      </c>
      <c r="I275" s="27">
        <f>I274-I273</f>
        <v/>
      </c>
      <c r="J275" s="30">
        <f>SUM(D275:I275)</f>
        <v/>
      </c>
      <c r="K275" s="29">
        <f>K274-K273</f>
        <v/>
      </c>
      <c r="L275" s="24">
        <f>L274-L273</f>
        <v/>
      </c>
      <c r="M275" s="24">
        <f>M274-M273</f>
        <v/>
      </c>
      <c r="N275" s="24">
        <f>N274-N273</f>
        <v/>
      </c>
      <c r="O275" s="24">
        <f>O274-O273</f>
        <v/>
      </c>
      <c r="P275" s="27">
        <f>P274-P273</f>
        <v/>
      </c>
      <c r="Q275" s="30">
        <f>SUM(K275:P275)</f>
        <v/>
      </c>
      <c r="R275" s="30">
        <f>J275+Q275</f>
        <v/>
      </c>
      <c r="S275" s="17" t="n"/>
    </row>
    <row r="276" ht="18" customHeight="1" s="43" thickBot="1">
      <c r="B276" s="60" t="n"/>
      <c r="C276" s="25" t="inlineStr">
        <is>
          <t>稼働棟数</t>
        </is>
      </c>
      <c r="D276" s="20" t="n"/>
      <c r="E276" s="20" t="n"/>
      <c r="F276" s="20" t="n"/>
      <c r="G276" s="20" t="n"/>
      <c r="H276" s="20" t="n"/>
      <c r="I276" s="28" t="n"/>
      <c r="J276" s="21">
        <f>I276</f>
        <v/>
      </c>
      <c r="K276" s="22" t="n"/>
      <c r="L276" s="20" t="n"/>
      <c r="M276" s="20" t="n"/>
      <c r="N276" s="20" t="n"/>
      <c r="O276" s="20" t="n"/>
      <c r="P276" s="28" t="n"/>
      <c r="Q276" s="21">
        <f>P276</f>
        <v/>
      </c>
      <c r="R276" s="21">
        <f>Q276</f>
        <v/>
      </c>
      <c r="S276" s="18" t="n"/>
    </row>
    <row r="277" ht="18" customHeight="1" s="43">
      <c r="B277" s="59" t="inlineStr">
        <is>
          <t>昭和女子/根物野菜</t>
        </is>
      </c>
      <c r="C277" s="31" t="inlineStr">
        <is>
          <t>58期</t>
        </is>
      </c>
      <c r="D277" s="8" t="n"/>
      <c r="E277" s="8" t="n"/>
      <c r="F277" s="8" t="n"/>
      <c r="G277" s="8" t="n"/>
      <c r="H277" s="8" t="n"/>
      <c r="I277" s="9" t="n"/>
      <c r="J277" s="10">
        <f>SUM(D277:I277)</f>
        <v/>
      </c>
      <c r="K277" s="11" t="n"/>
      <c r="L277" s="8" t="n"/>
      <c r="M277" s="8" t="n"/>
      <c r="N277" s="8" t="n"/>
      <c r="O277" s="8" t="n"/>
      <c r="P277" s="9" t="n"/>
      <c r="Q277" s="10">
        <f>SUM(K277:P277)</f>
        <v/>
      </c>
      <c r="R277" s="10">
        <f>J277+Q277</f>
        <v/>
      </c>
      <c r="S277" s="16" t="n"/>
    </row>
    <row r="278" ht="18" customHeight="1" s="43">
      <c r="B278" s="48" t="n"/>
      <c r="C278" s="7" t="inlineStr">
        <is>
          <t>59期</t>
        </is>
      </c>
      <c r="D278" s="12" t="n"/>
      <c r="E278" s="12" t="n"/>
      <c r="F278" s="12" t="n"/>
      <c r="G278" s="12" t="n"/>
      <c r="H278" s="12" t="n"/>
      <c r="I278" s="13" t="n"/>
      <c r="J278" s="14">
        <f>SUM(D278:I278)</f>
        <v/>
      </c>
      <c r="K278" s="15" t="n"/>
      <c r="L278" s="12" t="n"/>
      <c r="M278" s="12" t="n"/>
      <c r="N278" s="12" t="n"/>
      <c r="O278" s="12" t="n"/>
      <c r="P278" s="13" t="n"/>
      <c r="Q278" s="14">
        <f>SUM(K278:P278)</f>
        <v/>
      </c>
      <c r="R278" s="14">
        <f>J278+Q278</f>
        <v/>
      </c>
      <c r="S278" s="17" t="n"/>
    </row>
    <row r="279" ht="18" customHeight="1" s="43">
      <c r="B279" s="48" t="n"/>
      <c r="C279" s="23" t="inlineStr">
        <is>
          <t>増　減</t>
        </is>
      </c>
      <c r="D279" s="24">
        <f>D278-D277</f>
        <v/>
      </c>
      <c r="E279" s="24">
        <f>E278-E277</f>
        <v/>
      </c>
      <c r="F279" s="24">
        <f>F278-F277</f>
        <v/>
      </c>
      <c r="G279" s="24">
        <f>G278-G277</f>
        <v/>
      </c>
      <c r="H279" s="24">
        <f>H278-H277</f>
        <v/>
      </c>
      <c r="I279" s="27">
        <f>I278-I277</f>
        <v/>
      </c>
      <c r="J279" s="30">
        <f>SUM(D279:I279)</f>
        <v/>
      </c>
      <c r="K279" s="29">
        <f>K278-K277</f>
        <v/>
      </c>
      <c r="L279" s="24">
        <f>L278-L277</f>
        <v/>
      </c>
      <c r="M279" s="24">
        <f>M278-M277</f>
        <v/>
      </c>
      <c r="N279" s="24">
        <f>N278-N277</f>
        <v/>
      </c>
      <c r="O279" s="24">
        <f>O278-O277</f>
        <v/>
      </c>
      <c r="P279" s="27">
        <f>P278-P277</f>
        <v/>
      </c>
      <c r="Q279" s="30">
        <f>SUM(K279:P279)</f>
        <v/>
      </c>
      <c r="R279" s="30">
        <f>J279+Q279</f>
        <v/>
      </c>
      <c r="S279" s="17" t="n"/>
    </row>
    <row r="280" ht="18" customHeight="1" s="43" thickBot="1">
      <c r="B280" s="60" t="n"/>
      <c r="C280" s="25" t="inlineStr">
        <is>
          <t>稼働棟数</t>
        </is>
      </c>
      <c r="D280" s="20" t="n"/>
      <c r="E280" s="20" t="n"/>
      <c r="F280" s="20" t="n"/>
      <c r="G280" s="20" t="n"/>
      <c r="H280" s="20" t="n"/>
      <c r="I280" s="28" t="n"/>
      <c r="J280" s="21">
        <f>I280</f>
        <v/>
      </c>
      <c r="K280" s="22" t="n"/>
      <c r="L280" s="20" t="n"/>
      <c r="M280" s="20" t="n"/>
      <c r="N280" s="20" t="n"/>
      <c r="O280" s="20" t="n"/>
      <c r="P280" s="28" t="n"/>
      <c r="Q280" s="21">
        <f>P280</f>
        <v/>
      </c>
      <c r="R280" s="21">
        <f>Q280</f>
        <v/>
      </c>
      <c r="S280" s="18" t="n"/>
    </row>
    <row r="281" ht="18" customHeight="1" s="43">
      <c r="B281" s="59" t="inlineStr">
        <is>
          <t>昭和女子/実物野菜</t>
        </is>
      </c>
      <c r="C281" s="31" t="inlineStr">
        <is>
          <t>58期</t>
        </is>
      </c>
      <c r="D281" s="8" t="n"/>
      <c r="E281" s="8" t="n"/>
      <c r="F281" s="8" t="n"/>
      <c r="G281" s="8" t="n"/>
      <c r="H281" s="8" t="n"/>
      <c r="I281" s="9" t="n"/>
      <c r="J281" s="10">
        <f>SUM(D281:I281)</f>
        <v/>
      </c>
      <c r="K281" s="11" t="n"/>
      <c r="L281" s="8" t="n"/>
      <c r="M281" s="8" t="n"/>
      <c r="N281" s="8" t="n"/>
      <c r="O281" s="8" t="n"/>
      <c r="P281" s="9" t="n"/>
      <c r="Q281" s="10">
        <f>SUM(K281:P281)</f>
        <v/>
      </c>
      <c r="R281" s="10">
        <f>J281+Q281</f>
        <v/>
      </c>
      <c r="S281" s="16" t="n"/>
    </row>
    <row r="282" ht="18" customHeight="1" s="43">
      <c r="B282" s="48" t="n"/>
      <c r="C282" s="7" t="inlineStr">
        <is>
          <t>59期</t>
        </is>
      </c>
      <c r="D282" s="12" t="n"/>
      <c r="E282" s="12" t="n"/>
      <c r="F282" s="12" t="n"/>
      <c r="G282" s="12" t="n"/>
      <c r="H282" s="12" t="n"/>
      <c r="I282" s="13" t="n"/>
      <c r="J282" s="14">
        <f>SUM(D282:I282)</f>
        <v/>
      </c>
      <c r="K282" s="15" t="n"/>
      <c r="L282" s="12" t="n"/>
      <c r="M282" s="12" t="n"/>
      <c r="N282" s="12" t="n"/>
      <c r="O282" s="12" t="n"/>
      <c r="P282" s="13" t="n"/>
      <c r="Q282" s="14">
        <f>SUM(K282:P282)</f>
        <v/>
      </c>
      <c r="R282" s="14">
        <f>J282+Q282</f>
        <v/>
      </c>
      <c r="S282" s="17" t="n"/>
    </row>
    <row r="283" ht="18" customHeight="1" s="43">
      <c r="B283" s="48" t="n"/>
      <c r="C283" s="23" t="inlineStr">
        <is>
          <t>増　減</t>
        </is>
      </c>
      <c r="D283" s="24">
        <f>D282-D281</f>
        <v/>
      </c>
      <c r="E283" s="24">
        <f>E282-E281</f>
        <v/>
      </c>
      <c r="F283" s="24">
        <f>F282-F281</f>
        <v/>
      </c>
      <c r="G283" s="24">
        <f>G282-G281</f>
        <v/>
      </c>
      <c r="H283" s="24">
        <f>H282-H281</f>
        <v/>
      </c>
      <c r="I283" s="27">
        <f>I282-I281</f>
        <v/>
      </c>
      <c r="J283" s="30">
        <f>SUM(D283:I283)</f>
        <v/>
      </c>
      <c r="K283" s="29">
        <f>K282-K281</f>
        <v/>
      </c>
      <c r="L283" s="24">
        <f>L282-L281</f>
        <v/>
      </c>
      <c r="M283" s="24">
        <f>M282-M281</f>
        <v/>
      </c>
      <c r="N283" s="24">
        <f>N282-N281</f>
        <v/>
      </c>
      <c r="O283" s="24">
        <f>O282-O281</f>
        <v/>
      </c>
      <c r="P283" s="27">
        <f>P282-P281</f>
        <v/>
      </c>
      <c r="Q283" s="30">
        <f>SUM(K283:P283)</f>
        <v/>
      </c>
      <c r="R283" s="30">
        <f>J283+Q283</f>
        <v/>
      </c>
      <c r="S283" s="17" t="n"/>
    </row>
    <row r="284" ht="18" customHeight="1" s="43" thickBot="1">
      <c r="B284" s="60" t="n"/>
      <c r="C284" s="25" t="inlineStr">
        <is>
          <t>稼働棟数</t>
        </is>
      </c>
      <c r="D284" s="20" t="n"/>
      <c r="E284" s="20" t="n"/>
      <c r="F284" s="20" t="n"/>
      <c r="G284" s="20" t="n"/>
      <c r="H284" s="20" t="n"/>
      <c r="I284" s="28" t="n"/>
      <c r="J284" s="21">
        <f>I284</f>
        <v/>
      </c>
      <c r="K284" s="22" t="n"/>
      <c r="L284" s="20" t="n"/>
      <c r="M284" s="20" t="n"/>
      <c r="N284" s="20" t="n"/>
      <c r="O284" s="20" t="n"/>
      <c r="P284" s="28" t="n"/>
      <c r="Q284" s="21">
        <f>P284</f>
        <v/>
      </c>
      <c r="R284" s="21">
        <f>Q284</f>
        <v/>
      </c>
      <c r="S284" s="18" t="n"/>
    </row>
    <row r="285" ht="18" customHeight="1" s="43">
      <c r="B285" s="59" t="inlineStr">
        <is>
          <t>昭和女子/食用花</t>
        </is>
      </c>
      <c r="C285" s="31" t="inlineStr">
        <is>
          <t>58期</t>
        </is>
      </c>
      <c r="D285" s="8" t="n"/>
      <c r="E285" s="8" t="n"/>
      <c r="F285" s="8" t="n"/>
      <c r="G285" s="8" t="n"/>
      <c r="H285" s="8" t="n"/>
      <c r="I285" s="9" t="n"/>
      <c r="J285" s="10">
        <f>SUM(D285:I285)</f>
        <v/>
      </c>
      <c r="K285" s="11" t="n"/>
      <c r="L285" s="8" t="n"/>
      <c r="M285" s="8" t="n"/>
      <c r="N285" s="8" t="n"/>
      <c r="O285" s="8" t="n"/>
      <c r="P285" s="9" t="n"/>
      <c r="Q285" s="10">
        <f>SUM(K285:P285)</f>
        <v/>
      </c>
      <c r="R285" s="10">
        <f>J285+Q285</f>
        <v/>
      </c>
      <c r="S285" s="16" t="n"/>
    </row>
    <row r="286" ht="18" customHeight="1" s="43">
      <c r="B286" s="48" t="n"/>
      <c r="C286" s="7" t="inlineStr">
        <is>
          <t>59期</t>
        </is>
      </c>
      <c r="D286" s="12" t="n"/>
      <c r="E286" s="12" t="n"/>
      <c r="F286" s="12" t="n"/>
      <c r="G286" s="12" t="n"/>
      <c r="H286" s="12" t="n"/>
      <c r="I286" s="13" t="n"/>
      <c r="J286" s="14">
        <f>SUM(D286:I286)</f>
        <v/>
      </c>
      <c r="K286" s="15" t="n"/>
      <c r="L286" s="12" t="n"/>
      <c r="M286" s="12" t="n"/>
      <c r="N286" s="12" t="n"/>
      <c r="O286" s="12" t="n"/>
      <c r="P286" s="13" t="n"/>
      <c r="Q286" s="14">
        <f>SUM(K286:P286)</f>
        <v/>
      </c>
      <c r="R286" s="14">
        <f>J286+Q286</f>
        <v/>
      </c>
      <c r="S286" s="17" t="n"/>
    </row>
    <row r="287" ht="18" customHeight="1" s="43">
      <c r="B287" s="48" t="n"/>
      <c r="C287" s="23" t="inlineStr">
        <is>
          <t>増　減</t>
        </is>
      </c>
      <c r="D287" s="24">
        <f>D286-D285</f>
        <v/>
      </c>
      <c r="E287" s="24">
        <f>E286-E285</f>
        <v/>
      </c>
      <c r="F287" s="24">
        <f>F286-F285</f>
        <v/>
      </c>
      <c r="G287" s="24">
        <f>G286-G285</f>
        <v/>
      </c>
      <c r="H287" s="24">
        <f>H286-H285</f>
        <v/>
      </c>
      <c r="I287" s="27">
        <f>I286-I285</f>
        <v/>
      </c>
      <c r="J287" s="30">
        <f>SUM(D287:I287)</f>
        <v/>
      </c>
      <c r="K287" s="29">
        <f>K286-K285</f>
        <v/>
      </c>
      <c r="L287" s="24">
        <f>L286-L285</f>
        <v/>
      </c>
      <c r="M287" s="24">
        <f>M286-M285</f>
        <v/>
      </c>
      <c r="N287" s="24">
        <f>N286-N285</f>
        <v/>
      </c>
      <c r="O287" s="24">
        <f>O286-O285</f>
        <v/>
      </c>
      <c r="P287" s="27">
        <f>P286-P285</f>
        <v/>
      </c>
      <c r="Q287" s="30">
        <f>SUM(K287:P287)</f>
        <v/>
      </c>
      <c r="R287" s="30">
        <f>J287+Q287</f>
        <v/>
      </c>
      <c r="S287" s="17" t="n"/>
    </row>
    <row r="288" ht="18" customHeight="1" s="43" thickBot="1">
      <c r="B288" s="60" t="n"/>
      <c r="C288" s="25" t="inlineStr">
        <is>
          <t>稼働棟数</t>
        </is>
      </c>
      <c r="D288" s="20" t="n"/>
      <c r="E288" s="20" t="n"/>
      <c r="F288" s="20" t="n"/>
      <c r="G288" s="20" t="n"/>
      <c r="H288" s="20" t="n"/>
      <c r="I288" s="28" t="n"/>
      <c r="J288" s="21">
        <f>I288</f>
        <v/>
      </c>
      <c r="K288" s="22" t="n"/>
      <c r="L288" s="20" t="n"/>
      <c r="M288" s="20" t="n"/>
      <c r="N288" s="20" t="n"/>
      <c r="O288" s="20" t="n"/>
      <c r="P288" s="28" t="n"/>
      <c r="Q288" s="21">
        <f>P288</f>
        <v/>
      </c>
      <c r="R288" s="21">
        <f>Q288</f>
        <v/>
      </c>
      <c r="S288" s="18" t="n"/>
    </row>
    <row r="289" ht="18" customHeight="1" s="43">
      <c r="B289" s="59" t="inlineStr">
        <is>
          <t>昭和女子/葉物野菜</t>
        </is>
      </c>
      <c r="C289" s="31" t="inlineStr">
        <is>
          <t>58期</t>
        </is>
      </c>
      <c r="D289" s="8" t="n"/>
      <c r="E289" s="8" t="n"/>
      <c r="F289" s="8" t="n"/>
      <c r="G289" s="8" t="n"/>
      <c r="H289" s="8" t="n"/>
      <c r="I289" s="9" t="n"/>
      <c r="J289" s="10">
        <f>SUM(D289:I289)</f>
        <v/>
      </c>
      <c r="K289" s="11" t="n"/>
      <c r="L289" s="8" t="n"/>
      <c r="M289" s="8" t="n"/>
      <c r="N289" s="8" t="n"/>
      <c r="O289" s="8" t="n"/>
      <c r="P289" s="9" t="n"/>
      <c r="Q289" s="10">
        <f>SUM(K289:P289)</f>
        <v/>
      </c>
      <c r="R289" s="10">
        <f>J289+Q289</f>
        <v/>
      </c>
      <c r="S289" s="16" t="n"/>
    </row>
    <row r="290" ht="18" customHeight="1" s="43">
      <c r="B290" s="48" t="n"/>
      <c r="C290" s="7" t="inlineStr">
        <is>
          <t>59期</t>
        </is>
      </c>
      <c r="D290" s="12" t="n"/>
      <c r="E290" s="12" t="n"/>
      <c r="F290" s="12" t="n"/>
      <c r="G290" s="12" t="n"/>
      <c r="H290" s="12" t="n"/>
      <c r="I290" s="13" t="n"/>
      <c r="J290" s="14">
        <f>SUM(D290:I290)</f>
        <v/>
      </c>
      <c r="K290" s="15" t="n"/>
      <c r="L290" s="12" t="n"/>
      <c r="M290" s="12" t="n"/>
      <c r="N290" s="12" t="n"/>
      <c r="O290" s="12" t="n"/>
      <c r="P290" s="13" t="n"/>
      <c r="Q290" s="14">
        <f>SUM(K290:P290)</f>
        <v/>
      </c>
      <c r="R290" s="14">
        <f>J290+Q290</f>
        <v/>
      </c>
      <c r="S290" s="17" t="n"/>
    </row>
    <row r="291" ht="18" customHeight="1" s="43">
      <c r="B291" s="48" t="n"/>
      <c r="C291" s="23" t="inlineStr">
        <is>
          <t>増　減</t>
        </is>
      </c>
      <c r="D291" s="24">
        <f>D290-D289</f>
        <v/>
      </c>
      <c r="E291" s="24">
        <f>E290-E289</f>
        <v/>
      </c>
      <c r="F291" s="24">
        <f>F290-F289</f>
        <v/>
      </c>
      <c r="G291" s="24">
        <f>G290-G289</f>
        <v/>
      </c>
      <c r="H291" s="24">
        <f>H290-H289</f>
        <v/>
      </c>
      <c r="I291" s="27">
        <f>I290-I289</f>
        <v/>
      </c>
      <c r="J291" s="30">
        <f>SUM(D291:I291)</f>
        <v/>
      </c>
      <c r="K291" s="29">
        <f>K290-K289</f>
        <v/>
      </c>
      <c r="L291" s="24">
        <f>L290-L289</f>
        <v/>
      </c>
      <c r="M291" s="24">
        <f>M290-M289</f>
        <v/>
      </c>
      <c r="N291" s="24">
        <f>N290-N289</f>
        <v/>
      </c>
      <c r="O291" s="24">
        <f>O290-O289</f>
        <v/>
      </c>
      <c r="P291" s="27">
        <f>P290-P289</f>
        <v/>
      </c>
      <c r="Q291" s="30">
        <f>SUM(K291:P291)</f>
        <v/>
      </c>
      <c r="R291" s="30">
        <f>J291+Q291</f>
        <v/>
      </c>
      <c r="S291" s="17" t="n"/>
    </row>
    <row r="292" ht="18" customHeight="1" s="43" thickBot="1">
      <c r="B292" s="60" t="n"/>
      <c r="C292" s="25" t="inlineStr">
        <is>
          <t>稼働棟数</t>
        </is>
      </c>
      <c r="D292" s="20" t="n"/>
      <c r="E292" s="20" t="n"/>
      <c r="F292" s="20" t="n"/>
      <c r="G292" s="20" t="n"/>
      <c r="H292" s="20" t="n"/>
      <c r="I292" s="28" t="n"/>
      <c r="J292" s="21">
        <f>I292</f>
        <v/>
      </c>
      <c r="K292" s="22" t="n"/>
      <c r="L292" s="20" t="n"/>
      <c r="M292" s="20" t="n"/>
      <c r="N292" s="20" t="n"/>
      <c r="O292" s="20" t="n"/>
      <c r="P292" s="28" t="n"/>
      <c r="Q292" s="21">
        <f>P292</f>
        <v/>
      </c>
      <c r="R292" s="21">
        <f>Q292</f>
        <v/>
      </c>
      <c r="S292" s="18" t="n"/>
    </row>
    <row r="293" ht="18" customHeight="1" s="43">
      <c r="B293" s="59" t="inlineStr">
        <is>
          <t>QB/イチゴ</t>
        </is>
      </c>
      <c r="C293" s="31" t="inlineStr">
        <is>
          <t>58期</t>
        </is>
      </c>
      <c r="D293" s="8" t="n"/>
      <c r="E293" s="8" t="n"/>
      <c r="F293" s="8" t="n"/>
      <c r="G293" s="8" t="n">
        <v>0.76</v>
      </c>
      <c r="H293" s="8" t="n"/>
      <c r="I293" s="9" t="n"/>
      <c r="J293" s="10" t="n">
        <v>0.76</v>
      </c>
      <c r="K293" s="11" t="n"/>
      <c r="L293" s="8" t="n"/>
      <c r="M293" s="8" t="n"/>
      <c r="N293" s="8" t="n"/>
      <c r="O293" s="8" t="n"/>
      <c r="P293" s="9" t="n"/>
      <c r="Q293" s="10" t="n">
        <v>0</v>
      </c>
      <c r="R293" s="10" t="n">
        <v>0.76</v>
      </c>
      <c r="S293" s="16" t="n"/>
    </row>
    <row r="294" ht="18" customHeight="1" s="43">
      <c r="B294" s="48" t="n"/>
      <c r="C294" s="7" t="inlineStr">
        <is>
          <t>59期</t>
        </is>
      </c>
      <c r="D294" s="12" t="n"/>
      <c r="E294" s="12" t="n"/>
      <c r="F294" s="12" t="n"/>
      <c r="G294" s="12" t="n"/>
      <c r="H294" s="12" t="n"/>
      <c r="I294" s="13" t="n"/>
      <c r="J294" s="14">
        <f>SUM(D294:I294)</f>
        <v/>
      </c>
      <c r="K294" s="15" t="n"/>
      <c r="L294" s="12" t="n"/>
      <c r="M294" s="12" t="n"/>
      <c r="N294" s="12" t="n"/>
      <c r="O294" s="12" t="n"/>
      <c r="P294" s="13" t="n"/>
      <c r="Q294" s="14">
        <f>SUM(K294:P294)</f>
        <v/>
      </c>
      <c r="R294" s="14">
        <f>J294+Q294</f>
        <v/>
      </c>
      <c r="S294" s="17" t="n"/>
    </row>
    <row r="295" ht="18" customHeight="1" s="43">
      <c r="B295" s="48" t="n"/>
      <c r="C295" s="23" t="inlineStr">
        <is>
          <t>増　減</t>
        </is>
      </c>
      <c r="D295" s="24">
        <f>D294-D293</f>
        <v/>
      </c>
      <c r="E295" s="24">
        <f>E294-E293</f>
        <v/>
      </c>
      <c r="F295" s="24">
        <f>F294-F293</f>
        <v/>
      </c>
      <c r="G295" s="24">
        <f>G294-G293</f>
        <v/>
      </c>
      <c r="H295" s="24">
        <f>H294-H293</f>
        <v/>
      </c>
      <c r="I295" s="27">
        <f>I294-I293</f>
        <v/>
      </c>
      <c r="J295" s="30">
        <f>SUM(D295:I295)</f>
        <v/>
      </c>
      <c r="K295" s="29">
        <f>K294-K293</f>
        <v/>
      </c>
      <c r="L295" s="24">
        <f>L294-L293</f>
        <v/>
      </c>
      <c r="M295" s="24">
        <f>M294-M293</f>
        <v/>
      </c>
      <c r="N295" s="24">
        <f>N294-N293</f>
        <v/>
      </c>
      <c r="O295" s="24">
        <f>O294-O293</f>
        <v/>
      </c>
      <c r="P295" s="27">
        <f>P294-P293</f>
        <v/>
      </c>
      <c r="Q295" s="30">
        <f>SUM(K295:P295)</f>
        <v/>
      </c>
      <c r="R295" s="30">
        <f>J295+Q295</f>
        <v/>
      </c>
      <c r="S295" s="17" t="n"/>
    </row>
    <row r="296" ht="18" customHeight="1" s="43" thickBot="1">
      <c r="B296" s="60" t="n"/>
      <c r="C296" s="25" t="inlineStr">
        <is>
          <t>稼働棟数</t>
        </is>
      </c>
      <c r="D296" s="20" t="n"/>
      <c r="E296" s="20" t="n"/>
      <c r="F296" s="20" t="n"/>
      <c r="G296" s="20" t="n"/>
      <c r="H296" s="20" t="n"/>
      <c r="I296" s="28" t="n"/>
      <c r="J296" s="21">
        <f>I296</f>
        <v/>
      </c>
      <c r="K296" s="22" t="n"/>
      <c r="L296" s="20" t="n"/>
      <c r="M296" s="20" t="n"/>
      <c r="N296" s="20" t="n"/>
      <c r="O296" s="20" t="n"/>
      <c r="P296" s="28" t="n"/>
      <c r="Q296" s="21">
        <f>P296</f>
        <v/>
      </c>
      <c r="R296" s="21">
        <f>Q296</f>
        <v/>
      </c>
      <c r="S296" s="18" t="n"/>
    </row>
    <row r="297" ht="18" customHeight="1" s="43">
      <c r="B297" s="59" t="inlineStr">
        <is>
          <t>QB/トマト</t>
        </is>
      </c>
      <c r="C297" s="31" t="inlineStr">
        <is>
          <t>58期</t>
        </is>
      </c>
      <c r="D297" s="8" t="n"/>
      <c r="E297" s="8" t="n"/>
      <c r="F297" s="8" t="n"/>
      <c r="G297" s="8" t="n"/>
      <c r="H297" s="8" t="n"/>
      <c r="I297" s="9" t="n"/>
      <c r="J297" s="10">
        <f>SUM(D297:I297)</f>
        <v/>
      </c>
      <c r="K297" s="11" t="n"/>
      <c r="L297" s="8" t="n"/>
      <c r="M297" s="8" t="n"/>
      <c r="N297" s="8" t="n"/>
      <c r="O297" s="8" t="n"/>
      <c r="P297" s="9" t="n"/>
      <c r="Q297" s="10">
        <f>SUM(K297:P297)</f>
        <v/>
      </c>
      <c r="R297" s="10">
        <f>J297+Q297</f>
        <v/>
      </c>
      <c r="S297" s="16" t="n"/>
    </row>
    <row r="298" ht="18" customHeight="1" s="43">
      <c r="B298" s="48" t="n"/>
      <c r="C298" s="7" t="inlineStr">
        <is>
          <t>59期</t>
        </is>
      </c>
      <c r="D298" s="12" t="n"/>
      <c r="E298" s="12" t="n"/>
      <c r="F298" s="12" t="n"/>
      <c r="G298" s="12" t="n"/>
      <c r="H298" s="12" t="n"/>
      <c r="I298" s="13" t="n"/>
      <c r="J298" s="14">
        <f>SUM(D298:I298)</f>
        <v/>
      </c>
      <c r="K298" s="15" t="n"/>
      <c r="L298" s="12" t="n"/>
      <c r="M298" s="12" t="n"/>
      <c r="N298" s="12" t="n"/>
      <c r="O298" s="12" t="n"/>
      <c r="P298" s="13" t="n"/>
      <c r="Q298" s="14">
        <f>SUM(K298:P298)</f>
        <v/>
      </c>
      <c r="R298" s="14">
        <f>J298+Q298</f>
        <v/>
      </c>
      <c r="S298" s="17" t="n"/>
    </row>
    <row r="299" ht="18" customHeight="1" s="43">
      <c r="B299" s="48" t="n"/>
      <c r="C299" s="23" t="inlineStr">
        <is>
          <t>増　減</t>
        </is>
      </c>
      <c r="D299" s="24">
        <f>D298-D297</f>
        <v/>
      </c>
      <c r="E299" s="24">
        <f>E298-E297</f>
        <v/>
      </c>
      <c r="F299" s="24">
        <f>F298-F297</f>
        <v/>
      </c>
      <c r="G299" s="24">
        <f>G298-G297</f>
        <v/>
      </c>
      <c r="H299" s="24">
        <f>H298-H297</f>
        <v/>
      </c>
      <c r="I299" s="27">
        <f>I298-I297</f>
        <v/>
      </c>
      <c r="J299" s="30">
        <f>SUM(D299:I299)</f>
        <v/>
      </c>
      <c r="K299" s="29">
        <f>K298-K297</f>
        <v/>
      </c>
      <c r="L299" s="24">
        <f>L298-L297</f>
        <v/>
      </c>
      <c r="M299" s="24">
        <f>M298-M297</f>
        <v/>
      </c>
      <c r="N299" s="24">
        <f>N298-N297</f>
        <v/>
      </c>
      <c r="O299" s="24">
        <f>O298-O297</f>
        <v/>
      </c>
      <c r="P299" s="27">
        <f>P298-P297</f>
        <v/>
      </c>
      <c r="Q299" s="30">
        <f>SUM(K299:P299)</f>
        <v/>
      </c>
      <c r="R299" s="30">
        <f>J299+Q299</f>
        <v/>
      </c>
      <c r="S299" s="17" t="n"/>
    </row>
    <row r="300" ht="18" customHeight="1" s="43" thickBot="1">
      <c r="B300" s="60" t="n"/>
      <c r="C300" s="25" t="inlineStr">
        <is>
          <t>稼働棟数</t>
        </is>
      </c>
      <c r="D300" s="20" t="n"/>
      <c r="E300" s="20" t="n"/>
      <c r="F300" s="20" t="n"/>
      <c r="G300" s="20" t="n"/>
      <c r="H300" s="20" t="n"/>
      <c r="I300" s="28" t="n"/>
      <c r="J300" s="21">
        <f>I300</f>
        <v/>
      </c>
      <c r="K300" s="22" t="n"/>
      <c r="L300" s="20" t="n"/>
      <c r="M300" s="20" t="n"/>
      <c r="N300" s="20" t="n"/>
      <c r="O300" s="20" t="n"/>
      <c r="P300" s="28" t="n"/>
      <c r="Q300" s="21">
        <f>P300</f>
        <v/>
      </c>
      <c r="R300" s="21">
        <f>Q300</f>
        <v/>
      </c>
      <c r="S300" s="18" t="n"/>
    </row>
    <row r="301" ht="18" customHeight="1" s="43">
      <c r="B301" s="59" t="inlineStr">
        <is>
          <t>QB/ナス</t>
        </is>
      </c>
      <c r="C301" s="31" t="inlineStr">
        <is>
          <t>58期</t>
        </is>
      </c>
      <c r="D301" s="8" t="n"/>
      <c r="E301" s="8" t="n"/>
      <c r="F301" s="8" t="n"/>
      <c r="G301" s="8" t="n"/>
      <c r="H301" s="8" t="n"/>
      <c r="I301" s="9" t="n"/>
      <c r="J301" s="10">
        <f>SUM(D301:I301)</f>
        <v/>
      </c>
      <c r="K301" s="11" t="n"/>
      <c r="L301" s="8" t="n"/>
      <c r="M301" s="8" t="n"/>
      <c r="N301" s="8" t="n"/>
      <c r="O301" s="8" t="n"/>
      <c r="P301" s="9" t="n"/>
      <c r="Q301" s="10">
        <f>SUM(K301:P301)</f>
        <v/>
      </c>
      <c r="R301" s="10">
        <f>J301+Q301</f>
        <v/>
      </c>
      <c r="S301" s="16" t="n"/>
    </row>
    <row r="302" ht="18" customHeight="1" s="43">
      <c r="B302" s="48" t="n"/>
      <c r="C302" s="7" t="inlineStr">
        <is>
          <t>59期</t>
        </is>
      </c>
      <c r="D302" s="12" t="n"/>
      <c r="E302" s="12" t="n"/>
      <c r="F302" s="12" t="n"/>
      <c r="G302" s="12" t="n"/>
      <c r="H302" s="12" t="n"/>
      <c r="I302" s="13" t="n"/>
      <c r="J302" s="14">
        <f>SUM(D302:I302)</f>
        <v/>
      </c>
      <c r="K302" s="15" t="n"/>
      <c r="L302" s="12" t="n"/>
      <c r="M302" s="12" t="n"/>
      <c r="N302" s="12" t="n"/>
      <c r="O302" s="12" t="n"/>
      <c r="P302" s="13" t="n"/>
      <c r="Q302" s="14">
        <f>SUM(K302:P302)</f>
        <v/>
      </c>
      <c r="R302" s="14">
        <f>J302+Q302</f>
        <v/>
      </c>
      <c r="S302" s="17" t="n"/>
    </row>
    <row r="303" ht="18" customHeight="1" s="43">
      <c r="B303" s="48" t="n"/>
      <c r="C303" s="23" t="inlineStr">
        <is>
          <t>増　減</t>
        </is>
      </c>
      <c r="D303" s="24">
        <f>D302-D301</f>
        <v/>
      </c>
      <c r="E303" s="24">
        <f>E302-E301</f>
        <v/>
      </c>
      <c r="F303" s="24">
        <f>F302-F301</f>
        <v/>
      </c>
      <c r="G303" s="24">
        <f>G302-G301</f>
        <v/>
      </c>
      <c r="H303" s="24">
        <f>H302-H301</f>
        <v/>
      </c>
      <c r="I303" s="27">
        <f>I302-I301</f>
        <v/>
      </c>
      <c r="J303" s="30">
        <f>SUM(D303:I303)</f>
        <v/>
      </c>
      <c r="K303" s="29">
        <f>K302-K301</f>
        <v/>
      </c>
      <c r="L303" s="24">
        <f>L302-L301</f>
        <v/>
      </c>
      <c r="M303" s="24">
        <f>M302-M301</f>
        <v/>
      </c>
      <c r="N303" s="24">
        <f>N302-N301</f>
        <v/>
      </c>
      <c r="O303" s="24">
        <f>O302-O301</f>
        <v/>
      </c>
      <c r="P303" s="27">
        <f>P302-P301</f>
        <v/>
      </c>
      <c r="Q303" s="30">
        <f>SUM(K303:P303)</f>
        <v/>
      </c>
      <c r="R303" s="30">
        <f>J303+Q303</f>
        <v/>
      </c>
      <c r="S303" s="17" t="n"/>
    </row>
    <row r="304" ht="18" customHeight="1" s="43" thickBot="1">
      <c r="B304" s="60" t="n"/>
      <c r="C304" s="25" t="inlineStr">
        <is>
          <t>稼働棟数</t>
        </is>
      </c>
      <c r="D304" s="20" t="n"/>
      <c r="E304" s="20" t="n"/>
      <c r="F304" s="20" t="n"/>
      <c r="G304" s="20" t="n"/>
      <c r="H304" s="20" t="n"/>
      <c r="I304" s="28" t="n"/>
      <c r="J304" s="21">
        <f>I304</f>
        <v/>
      </c>
      <c r="K304" s="22" t="n"/>
      <c r="L304" s="20" t="n"/>
      <c r="M304" s="20" t="n"/>
      <c r="N304" s="20" t="n"/>
      <c r="O304" s="20" t="n"/>
      <c r="P304" s="28" t="n"/>
      <c r="Q304" s="21">
        <f>P304</f>
        <v/>
      </c>
      <c r="R304" s="21">
        <f>Q304</f>
        <v/>
      </c>
      <c r="S304" s="18" t="n"/>
    </row>
    <row r="305" ht="18" customHeight="1" s="43">
      <c r="B305" s="59" t="inlineStr">
        <is>
          <t>QB/ハーブ</t>
        </is>
      </c>
      <c r="C305" s="31" t="inlineStr">
        <is>
          <t>58期</t>
        </is>
      </c>
      <c r="D305" s="8" t="n"/>
      <c r="E305" s="8" t="n"/>
      <c r="F305" s="8" t="n"/>
      <c r="G305" s="8" t="n"/>
      <c r="H305" s="8" t="n"/>
      <c r="I305" s="9" t="n"/>
      <c r="J305" s="10">
        <f>SUM(D305:I305)</f>
        <v/>
      </c>
      <c r="K305" s="11" t="n"/>
      <c r="L305" s="8" t="n"/>
      <c r="M305" s="8" t="n"/>
      <c r="N305" s="8" t="n"/>
      <c r="O305" s="8" t="n"/>
      <c r="P305" s="9" t="n"/>
      <c r="Q305" s="10">
        <f>SUM(K305:P305)</f>
        <v/>
      </c>
      <c r="R305" s="10">
        <f>J305+Q305</f>
        <v/>
      </c>
      <c r="S305" s="16" t="n"/>
    </row>
    <row r="306" ht="18" customHeight="1" s="43">
      <c r="B306" s="48" t="n"/>
      <c r="C306" s="7" t="inlineStr">
        <is>
          <t>59期</t>
        </is>
      </c>
      <c r="D306" s="12" t="n"/>
      <c r="E306" s="12" t="n"/>
      <c r="F306" s="12" t="n"/>
      <c r="G306" s="12" t="n"/>
      <c r="H306" s="12" t="n"/>
      <c r="I306" s="13" t="n"/>
      <c r="J306" s="14">
        <f>SUM(D306:I306)</f>
        <v/>
      </c>
      <c r="K306" s="15" t="n"/>
      <c r="L306" s="12" t="n"/>
      <c r="M306" s="12" t="n"/>
      <c r="N306" s="12" t="n"/>
      <c r="O306" s="12" t="n"/>
      <c r="P306" s="13" t="n"/>
      <c r="Q306" s="14">
        <f>SUM(K306:P306)</f>
        <v/>
      </c>
      <c r="R306" s="14">
        <f>J306+Q306</f>
        <v/>
      </c>
      <c r="S306" s="17" t="n"/>
    </row>
    <row r="307" ht="18" customHeight="1" s="43">
      <c r="B307" s="48" t="n"/>
      <c r="C307" s="23" t="inlineStr">
        <is>
          <t>増　減</t>
        </is>
      </c>
      <c r="D307" s="24">
        <f>D306-D305</f>
        <v/>
      </c>
      <c r="E307" s="24">
        <f>E306-E305</f>
        <v/>
      </c>
      <c r="F307" s="24">
        <f>F306-F305</f>
        <v/>
      </c>
      <c r="G307" s="24">
        <f>G306-G305</f>
        <v/>
      </c>
      <c r="H307" s="24">
        <f>H306-H305</f>
        <v/>
      </c>
      <c r="I307" s="27">
        <f>I306-I305</f>
        <v/>
      </c>
      <c r="J307" s="30">
        <f>SUM(D307:I307)</f>
        <v/>
      </c>
      <c r="K307" s="29">
        <f>K306-K305</f>
        <v/>
      </c>
      <c r="L307" s="24">
        <f>L306-L305</f>
        <v/>
      </c>
      <c r="M307" s="24">
        <f>M306-M305</f>
        <v/>
      </c>
      <c r="N307" s="24">
        <f>N306-N305</f>
        <v/>
      </c>
      <c r="O307" s="24">
        <f>O306-O305</f>
        <v/>
      </c>
      <c r="P307" s="27">
        <f>P306-P305</f>
        <v/>
      </c>
      <c r="Q307" s="30">
        <f>SUM(K307:P307)</f>
        <v/>
      </c>
      <c r="R307" s="30">
        <f>J307+Q307</f>
        <v/>
      </c>
      <c r="S307" s="17" t="n"/>
    </row>
    <row r="308" ht="18" customHeight="1" s="43" thickBot="1">
      <c r="B308" s="60" t="n"/>
      <c r="C308" s="25" t="inlineStr">
        <is>
          <t>稼働棟数</t>
        </is>
      </c>
      <c r="D308" s="20" t="n"/>
      <c r="E308" s="20" t="n"/>
      <c r="F308" s="20" t="n"/>
      <c r="G308" s="20" t="n"/>
      <c r="H308" s="20" t="n"/>
      <c r="I308" s="28" t="n"/>
      <c r="J308" s="21">
        <f>I308</f>
        <v/>
      </c>
      <c r="K308" s="22" t="n"/>
      <c r="L308" s="20" t="n"/>
      <c r="M308" s="20" t="n"/>
      <c r="N308" s="20" t="n"/>
      <c r="O308" s="20" t="n"/>
      <c r="P308" s="28" t="n"/>
      <c r="Q308" s="21">
        <f>P308</f>
        <v/>
      </c>
      <c r="R308" s="21">
        <f>Q308</f>
        <v/>
      </c>
      <c r="S308" s="18" t="n"/>
    </row>
    <row r="309" ht="18" customHeight="1" s="43">
      <c r="B309" s="59" t="inlineStr">
        <is>
          <t>QB/パプリカ</t>
        </is>
      </c>
      <c r="C309" s="31" t="inlineStr">
        <is>
          <t>58期</t>
        </is>
      </c>
      <c r="D309" s="8" t="n"/>
      <c r="E309" s="8" t="n"/>
      <c r="F309" s="8" t="n"/>
      <c r="G309" s="8" t="n"/>
      <c r="H309" s="8" t="n"/>
      <c r="I309" s="9" t="n"/>
      <c r="J309" s="10">
        <f>SUM(D309:I309)</f>
        <v/>
      </c>
      <c r="K309" s="11" t="n"/>
      <c r="L309" s="8" t="n"/>
      <c r="M309" s="8" t="n"/>
      <c r="N309" s="8" t="n"/>
      <c r="O309" s="8" t="n"/>
      <c r="P309" s="9" t="n"/>
      <c r="Q309" s="10">
        <f>SUM(K309:P309)</f>
        <v/>
      </c>
      <c r="R309" s="10">
        <f>J309+Q309</f>
        <v/>
      </c>
      <c r="S309" s="16" t="n"/>
    </row>
    <row r="310" ht="18" customHeight="1" s="43">
      <c r="B310" s="48" t="n"/>
      <c r="C310" s="7" t="inlineStr">
        <is>
          <t>59期</t>
        </is>
      </c>
      <c r="D310" s="12" t="n"/>
      <c r="E310" s="12" t="n"/>
      <c r="F310" s="12" t="n"/>
      <c r="G310" s="12" t="n"/>
      <c r="H310" s="12" t="n"/>
      <c r="I310" s="13" t="n"/>
      <c r="J310" s="14">
        <f>SUM(D310:I310)</f>
        <v/>
      </c>
      <c r="K310" s="15" t="n"/>
      <c r="L310" s="12" t="n"/>
      <c r="M310" s="12" t="n"/>
      <c r="N310" s="12" t="n"/>
      <c r="O310" s="12" t="n"/>
      <c r="P310" s="13" t="n"/>
      <c r="Q310" s="14">
        <f>SUM(K310:P310)</f>
        <v/>
      </c>
      <c r="R310" s="14">
        <f>J310+Q310</f>
        <v/>
      </c>
      <c r="S310" s="17" t="n"/>
    </row>
    <row r="311" ht="18" customHeight="1" s="43">
      <c r="B311" s="48" t="n"/>
      <c r="C311" s="23" t="inlineStr">
        <is>
          <t>増　減</t>
        </is>
      </c>
      <c r="D311" s="24">
        <f>D310-D309</f>
        <v/>
      </c>
      <c r="E311" s="24">
        <f>E310-E309</f>
        <v/>
      </c>
      <c r="F311" s="24">
        <f>F310-F309</f>
        <v/>
      </c>
      <c r="G311" s="24">
        <f>G310-G309</f>
        <v/>
      </c>
      <c r="H311" s="24">
        <f>H310-H309</f>
        <v/>
      </c>
      <c r="I311" s="27">
        <f>I310-I309</f>
        <v/>
      </c>
      <c r="J311" s="30">
        <f>SUM(D311:I311)</f>
        <v/>
      </c>
      <c r="K311" s="29">
        <f>K310-K309</f>
        <v/>
      </c>
      <c r="L311" s="24">
        <f>L310-L309</f>
        <v/>
      </c>
      <c r="M311" s="24">
        <f>M310-M309</f>
        <v/>
      </c>
      <c r="N311" s="24">
        <f>N310-N309</f>
        <v/>
      </c>
      <c r="O311" s="24">
        <f>O310-O309</f>
        <v/>
      </c>
      <c r="P311" s="27">
        <f>P310-P309</f>
        <v/>
      </c>
      <c r="Q311" s="30">
        <f>SUM(K311:P311)</f>
        <v/>
      </c>
      <c r="R311" s="30">
        <f>J311+Q311</f>
        <v/>
      </c>
      <c r="S311" s="17" t="n"/>
    </row>
    <row r="312" ht="18" customHeight="1" s="43" thickBot="1">
      <c r="B312" s="60" t="n"/>
      <c r="C312" s="25" t="inlineStr">
        <is>
          <t>稼働棟数</t>
        </is>
      </c>
      <c r="D312" s="20" t="n"/>
      <c r="E312" s="20" t="n"/>
      <c r="F312" s="20" t="n"/>
      <c r="G312" s="20" t="n"/>
      <c r="H312" s="20" t="n"/>
      <c r="I312" s="28" t="n"/>
      <c r="J312" s="21">
        <f>I312</f>
        <v/>
      </c>
      <c r="K312" s="22" t="n"/>
      <c r="L312" s="20" t="n"/>
      <c r="M312" s="20" t="n"/>
      <c r="N312" s="20" t="n"/>
      <c r="O312" s="20" t="n"/>
      <c r="P312" s="28" t="n"/>
      <c r="Q312" s="21">
        <f>P312</f>
        <v/>
      </c>
      <c r="R312" s="21">
        <f>Q312</f>
        <v/>
      </c>
      <c r="S312" s="18" t="n"/>
    </row>
    <row r="313" ht="18" customHeight="1" s="43">
      <c r="B313" s="59" t="inlineStr">
        <is>
          <t>QB/ピーマン</t>
        </is>
      </c>
      <c r="C313" s="31" t="inlineStr">
        <is>
          <t>58期</t>
        </is>
      </c>
      <c r="D313" s="8" t="n"/>
      <c r="E313" s="8" t="n"/>
      <c r="F313" s="8" t="n"/>
      <c r="G313" s="8" t="n"/>
      <c r="H313" s="8" t="n"/>
      <c r="I313" s="9" t="n"/>
      <c r="J313" s="10">
        <f>SUM(D313:I313)</f>
        <v/>
      </c>
      <c r="K313" s="11" t="n"/>
      <c r="L313" s="8" t="n"/>
      <c r="M313" s="8" t="n"/>
      <c r="N313" s="8" t="n"/>
      <c r="O313" s="8" t="n"/>
      <c r="P313" s="9" t="n"/>
      <c r="Q313" s="10">
        <f>SUM(K313:P313)</f>
        <v/>
      </c>
      <c r="R313" s="10">
        <f>J313+Q313</f>
        <v/>
      </c>
      <c r="S313" s="16" t="n"/>
    </row>
    <row r="314" ht="18" customHeight="1" s="43">
      <c r="B314" s="48" t="n"/>
      <c r="C314" s="7" t="inlineStr">
        <is>
          <t>59期</t>
        </is>
      </c>
      <c r="D314" s="12" t="n"/>
      <c r="E314" s="12" t="n"/>
      <c r="F314" s="12" t="n"/>
      <c r="G314" s="12" t="n"/>
      <c r="H314" s="12" t="n"/>
      <c r="I314" s="13" t="n"/>
      <c r="J314" s="14">
        <f>SUM(D314:I314)</f>
        <v/>
      </c>
      <c r="K314" s="15" t="n"/>
      <c r="L314" s="12" t="n"/>
      <c r="M314" s="12" t="n"/>
      <c r="N314" s="12" t="n"/>
      <c r="O314" s="12" t="n"/>
      <c r="P314" s="13" t="n"/>
      <c r="Q314" s="14">
        <f>SUM(K314:P314)</f>
        <v/>
      </c>
      <c r="R314" s="14">
        <f>J314+Q314</f>
        <v/>
      </c>
      <c r="S314" s="17" t="n"/>
    </row>
    <row r="315" ht="18" customHeight="1" s="43">
      <c r="B315" s="48" t="n"/>
      <c r="C315" s="23" t="inlineStr">
        <is>
          <t>増　減</t>
        </is>
      </c>
      <c r="D315" s="24">
        <f>D314-D313</f>
        <v/>
      </c>
      <c r="E315" s="24">
        <f>E314-E313</f>
        <v/>
      </c>
      <c r="F315" s="24">
        <f>F314-F313</f>
        <v/>
      </c>
      <c r="G315" s="24">
        <f>G314-G313</f>
        <v/>
      </c>
      <c r="H315" s="24">
        <f>H314-H313</f>
        <v/>
      </c>
      <c r="I315" s="27">
        <f>I314-I313</f>
        <v/>
      </c>
      <c r="J315" s="30">
        <f>SUM(D315:I315)</f>
        <v/>
      </c>
      <c r="K315" s="29">
        <f>K314-K313</f>
        <v/>
      </c>
      <c r="L315" s="24">
        <f>L314-L313</f>
        <v/>
      </c>
      <c r="M315" s="24">
        <f>M314-M313</f>
        <v/>
      </c>
      <c r="N315" s="24">
        <f>N314-N313</f>
        <v/>
      </c>
      <c r="O315" s="24">
        <f>O314-O313</f>
        <v/>
      </c>
      <c r="P315" s="27">
        <f>P314-P313</f>
        <v/>
      </c>
      <c r="Q315" s="30">
        <f>SUM(K315:P315)</f>
        <v/>
      </c>
      <c r="R315" s="30">
        <f>J315+Q315</f>
        <v/>
      </c>
      <c r="S315" s="17" t="n"/>
    </row>
    <row r="316" ht="18" customHeight="1" s="43" thickBot="1">
      <c r="B316" s="60" t="n"/>
      <c r="C316" s="25" t="inlineStr">
        <is>
          <t>稼働棟数</t>
        </is>
      </c>
      <c r="D316" s="20" t="n"/>
      <c r="E316" s="20" t="n"/>
      <c r="F316" s="20" t="n"/>
      <c r="G316" s="20" t="n"/>
      <c r="H316" s="20" t="n"/>
      <c r="I316" s="28" t="n"/>
      <c r="J316" s="21">
        <f>I316</f>
        <v/>
      </c>
      <c r="K316" s="22" t="n"/>
      <c r="L316" s="20" t="n"/>
      <c r="M316" s="20" t="n"/>
      <c r="N316" s="20" t="n"/>
      <c r="O316" s="20" t="n"/>
      <c r="P316" s="28" t="n"/>
      <c r="Q316" s="21">
        <f>P316</f>
        <v/>
      </c>
      <c r="R316" s="21">
        <f>Q316</f>
        <v/>
      </c>
      <c r="S316" s="18" t="n"/>
    </row>
    <row r="317" ht="18" customHeight="1" s="43">
      <c r="B317" s="59" t="inlineStr">
        <is>
          <t>QB/マイクロ</t>
        </is>
      </c>
      <c r="C317" s="31" t="inlineStr">
        <is>
          <t>58期</t>
        </is>
      </c>
      <c r="D317" s="8" t="n"/>
      <c r="E317" s="8" t="n"/>
      <c r="F317" s="8" t="n"/>
      <c r="G317" s="8" t="n"/>
      <c r="H317" s="8" t="n"/>
      <c r="I317" s="9" t="n"/>
      <c r="J317" s="10">
        <f>SUM(D317:I317)</f>
        <v/>
      </c>
      <c r="K317" s="11" t="n"/>
      <c r="L317" s="8" t="n"/>
      <c r="M317" s="8" t="n"/>
      <c r="N317" s="8" t="n"/>
      <c r="O317" s="8" t="n"/>
      <c r="P317" s="9" t="n"/>
      <c r="Q317" s="10">
        <f>SUM(K317:P317)</f>
        <v/>
      </c>
      <c r="R317" s="10">
        <f>J317+Q317</f>
        <v/>
      </c>
      <c r="S317" s="16" t="n"/>
    </row>
    <row r="318" ht="18" customHeight="1" s="43">
      <c r="B318" s="48" t="n"/>
      <c r="C318" s="7" t="inlineStr">
        <is>
          <t>59期</t>
        </is>
      </c>
      <c r="D318" s="12" t="n"/>
      <c r="E318" s="12" t="n"/>
      <c r="F318" s="12" t="n"/>
      <c r="G318" s="12" t="n"/>
      <c r="H318" s="12" t="n"/>
      <c r="I318" s="13" t="n"/>
      <c r="J318" s="14">
        <f>SUM(D318:I318)</f>
        <v/>
      </c>
      <c r="K318" s="15" t="n"/>
      <c r="L318" s="12" t="n"/>
      <c r="M318" s="12" t="n"/>
      <c r="N318" s="12" t="n"/>
      <c r="O318" s="12" t="n"/>
      <c r="P318" s="13" t="n"/>
      <c r="Q318" s="14">
        <f>SUM(K318:P318)</f>
        <v/>
      </c>
      <c r="R318" s="14">
        <f>J318+Q318</f>
        <v/>
      </c>
      <c r="S318" s="17" t="n"/>
    </row>
    <row r="319" ht="18" customHeight="1" s="43">
      <c r="B319" s="48" t="n"/>
      <c r="C319" s="23" t="inlineStr">
        <is>
          <t>増　減</t>
        </is>
      </c>
      <c r="D319" s="24">
        <f>D318-D317</f>
        <v/>
      </c>
      <c r="E319" s="24">
        <f>E318-E317</f>
        <v/>
      </c>
      <c r="F319" s="24">
        <f>F318-F317</f>
        <v/>
      </c>
      <c r="G319" s="24">
        <f>G318-G317</f>
        <v/>
      </c>
      <c r="H319" s="24">
        <f>H318-H317</f>
        <v/>
      </c>
      <c r="I319" s="27">
        <f>I318-I317</f>
        <v/>
      </c>
      <c r="J319" s="30">
        <f>SUM(D319:I319)</f>
        <v/>
      </c>
      <c r="K319" s="29">
        <f>K318-K317</f>
        <v/>
      </c>
      <c r="L319" s="24">
        <f>L318-L317</f>
        <v/>
      </c>
      <c r="M319" s="24">
        <f>M318-M317</f>
        <v/>
      </c>
      <c r="N319" s="24">
        <f>N318-N317</f>
        <v/>
      </c>
      <c r="O319" s="24">
        <f>O318-O317</f>
        <v/>
      </c>
      <c r="P319" s="27">
        <f>P318-P317</f>
        <v/>
      </c>
      <c r="Q319" s="30">
        <f>SUM(K319:P319)</f>
        <v/>
      </c>
      <c r="R319" s="30">
        <f>J319+Q319</f>
        <v/>
      </c>
      <c r="S319" s="17" t="n"/>
    </row>
    <row r="320" ht="18" customHeight="1" s="43" thickBot="1">
      <c r="B320" s="60" t="n"/>
      <c r="C320" s="25" t="inlineStr">
        <is>
          <t>稼働棟数</t>
        </is>
      </c>
      <c r="D320" s="20" t="n"/>
      <c r="E320" s="20" t="n"/>
      <c r="F320" s="20" t="n"/>
      <c r="G320" s="20" t="n"/>
      <c r="H320" s="20" t="n"/>
      <c r="I320" s="28" t="n"/>
      <c r="J320" s="21">
        <f>I320</f>
        <v/>
      </c>
      <c r="K320" s="22" t="n"/>
      <c r="L320" s="20" t="n"/>
      <c r="M320" s="20" t="n"/>
      <c r="N320" s="20" t="n"/>
      <c r="O320" s="20" t="n"/>
      <c r="P320" s="28" t="n"/>
      <c r="Q320" s="21">
        <f>P320</f>
        <v/>
      </c>
      <c r="R320" s="21">
        <f>Q320</f>
        <v/>
      </c>
      <c r="S320" s="18" t="n"/>
    </row>
    <row r="321" ht="18" customHeight="1" s="43">
      <c r="B321" s="59" t="inlineStr">
        <is>
          <t>QB/ミニトマト</t>
        </is>
      </c>
      <c r="C321" s="31" t="inlineStr">
        <is>
          <t>58期</t>
        </is>
      </c>
      <c r="D321" s="8" t="n"/>
      <c r="E321" s="8" t="n"/>
      <c r="F321" s="8" t="n"/>
      <c r="G321" s="8" t="n"/>
      <c r="H321" s="8" t="n"/>
      <c r="I321" s="9" t="n"/>
      <c r="J321" s="10">
        <f>SUM(D321:I321)</f>
        <v/>
      </c>
      <c r="K321" s="11" t="n"/>
      <c r="L321" s="8" t="n"/>
      <c r="M321" s="8" t="n"/>
      <c r="N321" s="8" t="n"/>
      <c r="O321" s="8" t="n"/>
      <c r="P321" s="9" t="n"/>
      <c r="Q321" s="10">
        <f>SUM(K321:P321)</f>
        <v/>
      </c>
      <c r="R321" s="10">
        <f>J321+Q321</f>
        <v/>
      </c>
      <c r="S321" s="16" t="n"/>
    </row>
    <row r="322" ht="18" customHeight="1" s="43">
      <c r="B322" s="48" t="n"/>
      <c r="C322" s="7" t="inlineStr">
        <is>
          <t>59期</t>
        </is>
      </c>
      <c r="D322" s="12" t="n"/>
      <c r="E322" s="12" t="n"/>
      <c r="F322" s="12" t="n"/>
      <c r="G322" s="12" t="n"/>
      <c r="H322" s="12" t="n"/>
      <c r="I322" s="13" t="n"/>
      <c r="J322" s="14">
        <f>SUM(D322:I322)</f>
        <v/>
      </c>
      <c r="K322" s="15" t="n"/>
      <c r="L322" s="12" t="n"/>
      <c r="M322" s="12" t="n"/>
      <c r="N322" s="12" t="n"/>
      <c r="O322" s="12" t="n"/>
      <c r="P322" s="13" t="n"/>
      <c r="Q322" s="14">
        <f>SUM(K322:P322)</f>
        <v/>
      </c>
      <c r="R322" s="14">
        <f>J322+Q322</f>
        <v/>
      </c>
      <c r="S322" s="17" t="n"/>
    </row>
    <row r="323" ht="18" customHeight="1" s="43">
      <c r="B323" s="48" t="n"/>
      <c r="C323" s="23" t="inlineStr">
        <is>
          <t>増　減</t>
        </is>
      </c>
      <c r="D323" s="24">
        <f>D322-D321</f>
        <v/>
      </c>
      <c r="E323" s="24">
        <f>E322-E321</f>
        <v/>
      </c>
      <c r="F323" s="24">
        <f>F322-F321</f>
        <v/>
      </c>
      <c r="G323" s="24">
        <f>G322-G321</f>
        <v/>
      </c>
      <c r="H323" s="24">
        <f>H322-H321</f>
        <v/>
      </c>
      <c r="I323" s="27">
        <f>I322-I321</f>
        <v/>
      </c>
      <c r="J323" s="30">
        <f>SUM(D323:I323)</f>
        <v/>
      </c>
      <c r="K323" s="29">
        <f>K322-K321</f>
        <v/>
      </c>
      <c r="L323" s="24">
        <f>L322-L321</f>
        <v/>
      </c>
      <c r="M323" s="24">
        <f>M322-M321</f>
        <v/>
      </c>
      <c r="N323" s="24">
        <f>N322-N321</f>
        <v/>
      </c>
      <c r="O323" s="24">
        <f>O322-O321</f>
        <v/>
      </c>
      <c r="P323" s="27">
        <f>P322-P321</f>
        <v/>
      </c>
      <c r="Q323" s="30">
        <f>SUM(K323:P323)</f>
        <v/>
      </c>
      <c r="R323" s="30">
        <f>J323+Q323</f>
        <v/>
      </c>
      <c r="S323" s="17" t="n"/>
    </row>
    <row r="324" ht="18" customHeight="1" s="43" thickBot="1">
      <c r="B324" s="60" t="n"/>
      <c r="C324" s="25" t="inlineStr">
        <is>
          <t>稼働棟数</t>
        </is>
      </c>
      <c r="D324" s="20" t="n"/>
      <c r="E324" s="20" t="n"/>
      <c r="F324" s="20" t="n"/>
      <c r="G324" s="20" t="n"/>
      <c r="H324" s="20" t="n"/>
      <c r="I324" s="28" t="n"/>
      <c r="J324" s="21">
        <f>I324</f>
        <v/>
      </c>
      <c r="K324" s="22" t="n"/>
      <c r="L324" s="20" t="n"/>
      <c r="M324" s="20" t="n"/>
      <c r="N324" s="20" t="n"/>
      <c r="O324" s="20" t="n"/>
      <c r="P324" s="28" t="n"/>
      <c r="Q324" s="21">
        <f>P324</f>
        <v/>
      </c>
      <c r="R324" s="21">
        <f>Q324</f>
        <v/>
      </c>
      <c r="S324" s="18" t="n"/>
    </row>
    <row r="325" ht="18" customHeight="1" s="43">
      <c r="B325" s="59" t="inlineStr">
        <is>
          <t>QB/根物野菜</t>
        </is>
      </c>
      <c r="C325" s="31" t="inlineStr">
        <is>
          <t>58期</t>
        </is>
      </c>
      <c r="D325" s="8" t="n"/>
      <c r="E325" s="8" t="n"/>
      <c r="F325" s="8" t="n"/>
      <c r="G325" s="8" t="n"/>
      <c r="H325" s="8" t="n"/>
      <c r="I325" s="9" t="n"/>
      <c r="J325" s="10">
        <f>SUM(D325:I325)</f>
        <v/>
      </c>
      <c r="K325" s="11" t="n"/>
      <c r="L325" s="8" t="n"/>
      <c r="M325" s="8" t="n"/>
      <c r="N325" s="8" t="n"/>
      <c r="O325" s="8" t="n"/>
      <c r="P325" s="9" t="n"/>
      <c r="Q325" s="10">
        <f>SUM(K325:P325)</f>
        <v/>
      </c>
      <c r="R325" s="10">
        <f>J325+Q325</f>
        <v/>
      </c>
      <c r="S325" s="16" t="n"/>
    </row>
    <row r="326" ht="18" customHeight="1" s="43">
      <c r="B326" s="48" t="n"/>
      <c r="C326" s="7" t="inlineStr">
        <is>
          <t>59期</t>
        </is>
      </c>
      <c r="D326" s="12" t="n"/>
      <c r="E326" s="12" t="n"/>
      <c r="F326" s="12" t="n"/>
      <c r="G326" s="12" t="n"/>
      <c r="H326" s="12" t="n"/>
      <c r="I326" s="13" t="n"/>
      <c r="J326" s="14">
        <f>SUM(D326:I326)</f>
        <v/>
      </c>
      <c r="K326" s="15" t="n"/>
      <c r="L326" s="12" t="n"/>
      <c r="M326" s="12" t="n"/>
      <c r="N326" s="12" t="n"/>
      <c r="O326" s="12" t="n"/>
      <c r="P326" s="13" t="n"/>
      <c r="Q326" s="14">
        <f>SUM(K326:P326)</f>
        <v/>
      </c>
      <c r="R326" s="14">
        <f>J326+Q326</f>
        <v/>
      </c>
      <c r="S326" s="17" t="n"/>
    </row>
    <row r="327" ht="18" customHeight="1" s="43">
      <c r="B327" s="48" t="n"/>
      <c r="C327" s="23" t="inlineStr">
        <is>
          <t>増　減</t>
        </is>
      </c>
      <c r="D327" s="24">
        <f>D326-D325</f>
        <v/>
      </c>
      <c r="E327" s="24">
        <f>E326-E325</f>
        <v/>
      </c>
      <c r="F327" s="24">
        <f>F326-F325</f>
        <v/>
      </c>
      <c r="G327" s="24">
        <f>G326-G325</f>
        <v/>
      </c>
      <c r="H327" s="24">
        <f>H326-H325</f>
        <v/>
      </c>
      <c r="I327" s="27">
        <f>I326-I325</f>
        <v/>
      </c>
      <c r="J327" s="30">
        <f>SUM(D327:I327)</f>
        <v/>
      </c>
      <c r="K327" s="29">
        <f>K326-K325</f>
        <v/>
      </c>
      <c r="L327" s="24">
        <f>L326-L325</f>
        <v/>
      </c>
      <c r="M327" s="24">
        <f>M326-M325</f>
        <v/>
      </c>
      <c r="N327" s="24">
        <f>N326-N325</f>
        <v/>
      </c>
      <c r="O327" s="24">
        <f>O326-O325</f>
        <v/>
      </c>
      <c r="P327" s="27">
        <f>P326-P325</f>
        <v/>
      </c>
      <c r="Q327" s="30">
        <f>SUM(K327:P327)</f>
        <v/>
      </c>
      <c r="R327" s="30">
        <f>J327+Q327</f>
        <v/>
      </c>
      <c r="S327" s="17" t="n"/>
    </row>
    <row r="328" ht="18" customHeight="1" s="43" thickBot="1">
      <c r="B328" s="60" t="n"/>
      <c r="C328" s="25" t="inlineStr">
        <is>
          <t>稼働棟数</t>
        </is>
      </c>
      <c r="D328" s="20" t="n"/>
      <c r="E328" s="20" t="n"/>
      <c r="F328" s="20" t="n"/>
      <c r="G328" s="20" t="n"/>
      <c r="H328" s="20" t="n"/>
      <c r="I328" s="28" t="n"/>
      <c r="J328" s="21">
        <f>I328</f>
        <v/>
      </c>
      <c r="K328" s="22" t="n"/>
      <c r="L328" s="20" t="n"/>
      <c r="M328" s="20" t="n"/>
      <c r="N328" s="20" t="n"/>
      <c r="O328" s="20" t="n"/>
      <c r="P328" s="28" t="n"/>
      <c r="Q328" s="21">
        <f>P328</f>
        <v/>
      </c>
      <c r="R328" s="21">
        <f>Q328</f>
        <v/>
      </c>
      <c r="S328" s="18" t="n"/>
    </row>
    <row r="329" ht="18" customHeight="1" s="43">
      <c r="B329" s="59" t="inlineStr">
        <is>
          <t>QB/実物野菜</t>
        </is>
      </c>
      <c r="C329" s="31" t="inlineStr">
        <is>
          <t>58期</t>
        </is>
      </c>
      <c r="D329" s="8" t="n"/>
      <c r="E329" s="8" t="n"/>
      <c r="F329" s="8" t="n"/>
      <c r="G329" s="8" t="n"/>
      <c r="H329" s="8" t="n"/>
      <c r="I329" s="9" t="n"/>
      <c r="J329" s="10">
        <f>SUM(D329:I329)</f>
        <v/>
      </c>
      <c r="K329" s="11" t="n"/>
      <c r="L329" s="8" t="n"/>
      <c r="M329" s="8" t="n"/>
      <c r="N329" s="8" t="n"/>
      <c r="O329" s="8" t="n"/>
      <c r="P329" s="9" t="n"/>
      <c r="Q329" s="10">
        <f>SUM(K329:P329)</f>
        <v/>
      </c>
      <c r="R329" s="10">
        <f>J329+Q329</f>
        <v/>
      </c>
      <c r="S329" s="16" t="n"/>
    </row>
    <row r="330" ht="18" customHeight="1" s="43">
      <c r="B330" s="48" t="n"/>
      <c r="C330" s="7" t="inlineStr">
        <is>
          <t>59期</t>
        </is>
      </c>
      <c r="D330" s="12" t="n"/>
      <c r="E330" s="12" t="n"/>
      <c r="F330" s="12" t="n"/>
      <c r="G330" s="12" t="n"/>
      <c r="H330" s="12" t="n"/>
      <c r="I330" s="13" t="n"/>
      <c r="J330" s="14">
        <f>SUM(D330:I330)</f>
        <v/>
      </c>
      <c r="K330" s="15" t="n"/>
      <c r="L330" s="12" t="n"/>
      <c r="M330" s="12" t="n"/>
      <c r="N330" s="12" t="n"/>
      <c r="O330" s="12" t="n"/>
      <c r="P330" s="13" t="n"/>
      <c r="Q330" s="14">
        <f>SUM(K330:P330)</f>
        <v/>
      </c>
      <c r="R330" s="14">
        <f>J330+Q330</f>
        <v/>
      </c>
      <c r="S330" s="17" t="n"/>
    </row>
    <row r="331" ht="18" customHeight="1" s="43">
      <c r="B331" s="48" t="n"/>
      <c r="C331" s="23" t="inlineStr">
        <is>
          <t>増　減</t>
        </is>
      </c>
      <c r="D331" s="24">
        <f>D330-D329</f>
        <v/>
      </c>
      <c r="E331" s="24">
        <f>E330-E329</f>
        <v/>
      </c>
      <c r="F331" s="24">
        <f>F330-F329</f>
        <v/>
      </c>
      <c r="G331" s="24">
        <f>G330-G329</f>
        <v/>
      </c>
      <c r="H331" s="24">
        <f>H330-H329</f>
        <v/>
      </c>
      <c r="I331" s="27">
        <f>I330-I329</f>
        <v/>
      </c>
      <c r="J331" s="30">
        <f>SUM(D331:I331)</f>
        <v/>
      </c>
      <c r="K331" s="29">
        <f>K330-K329</f>
        <v/>
      </c>
      <c r="L331" s="24">
        <f>L330-L329</f>
        <v/>
      </c>
      <c r="M331" s="24">
        <f>M330-M329</f>
        <v/>
      </c>
      <c r="N331" s="24">
        <f>N330-N329</f>
        <v/>
      </c>
      <c r="O331" s="24">
        <f>O330-O329</f>
        <v/>
      </c>
      <c r="P331" s="27">
        <f>P330-P329</f>
        <v/>
      </c>
      <c r="Q331" s="30">
        <f>SUM(K331:P331)</f>
        <v/>
      </c>
      <c r="R331" s="30">
        <f>J331+Q331</f>
        <v/>
      </c>
      <c r="S331" s="17" t="n"/>
    </row>
    <row r="332" ht="18" customHeight="1" s="43" thickBot="1">
      <c r="B332" s="60" t="n"/>
      <c r="C332" s="25" t="inlineStr">
        <is>
          <t>稼働棟数</t>
        </is>
      </c>
      <c r="D332" s="20" t="n"/>
      <c r="E332" s="20" t="n"/>
      <c r="F332" s="20" t="n"/>
      <c r="G332" s="20" t="n"/>
      <c r="H332" s="20" t="n"/>
      <c r="I332" s="28" t="n"/>
      <c r="J332" s="21">
        <f>I332</f>
        <v/>
      </c>
      <c r="K332" s="22" t="n"/>
      <c r="L332" s="20" t="n"/>
      <c r="M332" s="20" t="n"/>
      <c r="N332" s="20" t="n"/>
      <c r="O332" s="20" t="n"/>
      <c r="P332" s="28" t="n"/>
      <c r="Q332" s="21">
        <f>P332</f>
        <v/>
      </c>
      <c r="R332" s="21">
        <f>Q332</f>
        <v/>
      </c>
      <c r="S332" s="18" t="n"/>
    </row>
    <row r="333" ht="18" customHeight="1" s="43">
      <c r="B333" s="59" t="inlineStr">
        <is>
          <t>QB/食用花</t>
        </is>
      </c>
      <c r="C333" s="31" t="inlineStr">
        <is>
          <t>58期</t>
        </is>
      </c>
      <c r="D333" s="8" t="n"/>
      <c r="E333" s="8" t="n"/>
      <c r="F333" s="8" t="n"/>
      <c r="G333" s="8" t="n"/>
      <c r="H333" s="8" t="n"/>
      <c r="I333" s="9" t="n"/>
      <c r="J333" s="10">
        <f>SUM(D333:I333)</f>
        <v/>
      </c>
      <c r="K333" s="11" t="n"/>
      <c r="L333" s="8" t="n"/>
      <c r="M333" s="8" t="n"/>
      <c r="N333" s="8" t="n"/>
      <c r="O333" s="8" t="n"/>
      <c r="P333" s="9" t="n"/>
      <c r="Q333" s="10">
        <f>SUM(K333:P333)</f>
        <v/>
      </c>
      <c r="R333" s="10">
        <f>J333+Q333</f>
        <v/>
      </c>
      <c r="S333" s="16" t="n"/>
    </row>
    <row r="334" ht="18" customHeight="1" s="43">
      <c r="B334" s="48" t="n"/>
      <c r="C334" s="7" t="inlineStr">
        <is>
          <t>59期</t>
        </is>
      </c>
      <c r="D334" s="12" t="n"/>
      <c r="E334" s="12" t="n"/>
      <c r="F334" s="12" t="n"/>
      <c r="G334" s="12" t="n"/>
      <c r="H334" s="12" t="n"/>
      <c r="I334" s="13" t="n"/>
      <c r="J334" s="14">
        <f>SUM(D334:I334)</f>
        <v/>
      </c>
      <c r="K334" s="15" t="n"/>
      <c r="L334" s="12" t="n"/>
      <c r="M334" s="12" t="n"/>
      <c r="N334" s="12" t="n"/>
      <c r="O334" s="12" t="n"/>
      <c r="P334" s="13" t="n"/>
      <c r="Q334" s="14">
        <f>SUM(K334:P334)</f>
        <v/>
      </c>
      <c r="R334" s="14">
        <f>J334+Q334</f>
        <v/>
      </c>
      <c r="S334" s="17" t="n"/>
    </row>
    <row r="335" ht="18" customHeight="1" s="43">
      <c r="B335" s="48" t="n"/>
      <c r="C335" s="23" t="inlineStr">
        <is>
          <t>増　減</t>
        </is>
      </c>
      <c r="D335" s="24">
        <f>D334-D333</f>
        <v/>
      </c>
      <c r="E335" s="24">
        <f>E334-E333</f>
        <v/>
      </c>
      <c r="F335" s="24">
        <f>F334-F333</f>
        <v/>
      </c>
      <c r="G335" s="24">
        <f>G334-G333</f>
        <v/>
      </c>
      <c r="H335" s="24">
        <f>H334-H333</f>
        <v/>
      </c>
      <c r="I335" s="27">
        <f>I334-I333</f>
        <v/>
      </c>
      <c r="J335" s="30">
        <f>SUM(D335:I335)</f>
        <v/>
      </c>
      <c r="K335" s="29">
        <f>K334-K333</f>
        <v/>
      </c>
      <c r="L335" s="24">
        <f>L334-L333</f>
        <v/>
      </c>
      <c r="M335" s="24">
        <f>M334-M333</f>
        <v/>
      </c>
      <c r="N335" s="24">
        <f>N334-N333</f>
        <v/>
      </c>
      <c r="O335" s="24">
        <f>O334-O333</f>
        <v/>
      </c>
      <c r="P335" s="27">
        <f>P334-P333</f>
        <v/>
      </c>
      <c r="Q335" s="30">
        <f>SUM(K335:P335)</f>
        <v/>
      </c>
      <c r="R335" s="30">
        <f>J335+Q335</f>
        <v/>
      </c>
      <c r="S335" s="17" t="n"/>
    </row>
    <row r="336" ht="18" customHeight="1" s="43" thickBot="1">
      <c r="B336" s="60" t="n"/>
      <c r="C336" s="25" t="inlineStr">
        <is>
          <t>稼働棟数</t>
        </is>
      </c>
      <c r="D336" s="20" t="n"/>
      <c r="E336" s="20" t="n"/>
      <c r="F336" s="20" t="n"/>
      <c r="G336" s="20" t="n"/>
      <c r="H336" s="20" t="n"/>
      <c r="I336" s="28" t="n"/>
      <c r="J336" s="21">
        <f>I336</f>
        <v/>
      </c>
      <c r="K336" s="22" t="n"/>
      <c r="L336" s="20" t="n"/>
      <c r="M336" s="20" t="n"/>
      <c r="N336" s="20" t="n"/>
      <c r="O336" s="20" t="n"/>
      <c r="P336" s="28" t="n"/>
      <c r="Q336" s="21">
        <f>P336</f>
        <v/>
      </c>
      <c r="R336" s="21">
        <f>Q336</f>
        <v/>
      </c>
      <c r="S336" s="18" t="n"/>
    </row>
    <row r="337" ht="18" customHeight="1" s="43">
      <c r="B337" s="59" t="inlineStr">
        <is>
          <t>QB/葉物野菜</t>
        </is>
      </c>
      <c r="C337" s="31" t="inlineStr">
        <is>
          <t>58期</t>
        </is>
      </c>
      <c r="D337" s="8" t="n"/>
      <c r="E337" s="8" t="n"/>
      <c r="F337" s="8" t="n"/>
      <c r="G337" s="8" t="n"/>
      <c r="H337" s="8" t="n"/>
      <c r="I337" s="9" t="n"/>
      <c r="J337" s="10">
        <f>SUM(D337:I337)</f>
        <v/>
      </c>
      <c r="K337" s="11" t="n"/>
      <c r="L337" s="8" t="n"/>
      <c r="M337" s="8" t="n"/>
      <c r="N337" s="8" t="n"/>
      <c r="O337" s="8" t="n"/>
      <c r="P337" s="9" t="n"/>
      <c r="Q337" s="10">
        <f>SUM(K337:P337)</f>
        <v/>
      </c>
      <c r="R337" s="10">
        <f>J337+Q337</f>
        <v/>
      </c>
      <c r="S337" s="16" t="n"/>
    </row>
    <row r="338" ht="18" customHeight="1" s="43">
      <c r="B338" s="48" t="n"/>
      <c r="C338" s="7" t="inlineStr">
        <is>
          <t>59期</t>
        </is>
      </c>
      <c r="D338" s="12" t="n"/>
      <c r="E338" s="12" t="n"/>
      <c r="F338" s="12" t="n"/>
      <c r="G338" s="12" t="n"/>
      <c r="H338" s="12" t="n"/>
      <c r="I338" s="13" t="n"/>
      <c r="J338" s="14">
        <f>SUM(D338:I338)</f>
        <v/>
      </c>
      <c r="K338" s="15" t="n"/>
      <c r="L338" s="12" t="n"/>
      <c r="M338" s="12" t="n"/>
      <c r="N338" s="12" t="n"/>
      <c r="O338" s="12" t="n"/>
      <c r="P338" s="13" t="n"/>
      <c r="Q338" s="14">
        <f>SUM(K338:P338)</f>
        <v/>
      </c>
      <c r="R338" s="14">
        <f>J338+Q338</f>
        <v/>
      </c>
      <c r="S338" s="17" t="n"/>
    </row>
    <row r="339" ht="18" customHeight="1" s="43">
      <c r="B339" s="48" t="n"/>
      <c r="C339" s="23" t="inlineStr">
        <is>
          <t>増　減</t>
        </is>
      </c>
      <c r="D339" s="24">
        <f>D338-D337</f>
        <v/>
      </c>
      <c r="E339" s="24">
        <f>E338-E337</f>
        <v/>
      </c>
      <c r="F339" s="24">
        <f>F338-F337</f>
        <v/>
      </c>
      <c r="G339" s="24">
        <f>G338-G337</f>
        <v/>
      </c>
      <c r="H339" s="24">
        <f>H338-H337</f>
        <v/>
      </c>
      <c r="I339" s="27">
        <f>I338-I337</f>
        <v/>
      </c>
      <c r="J339" s="30">
        <f>SUM(D339:I339)</f>
        <v/>
      </c>
      <c r="K339" s="29">
        <f>K338-K337</f>
        <v/>
      </c>
      <c r="L339" s="24">
        <f>L338-L337</f>
        <v/>
      </c>
      <c r="M339" s="24">
        <f>M338-M337</f>
        <v/>
      </c>
      <c r="N339" s="24">
        <f>N338-N337</f>
        <v/>
      </c>
      <c r="O339" s="24">
        <f>O338-O337</f>
        <v/>
      </c>
      <c r="P339" s="27">
        <f>P338-P337</f>
        <v/>
      </c>
      <c r="Q339" s="30">
        <f>SUM(K339:P339)</f>
        <v/>
      </c>
      <c r="R339" s="30">
        <f>J339+Q339</f>
        <v/>
      </c>
      <c r="S339" s="17" t="n"/>
    </row>
    <row r="340" ht="18" customHeight="1" s="43" thickBot="1">
      <c r="B340" s="60" t="n"/>
      <c r="C340" s="25" t="inlineStr">
        <is>
          <t>稼働棟数</t>
        </is>
      </c>
      <c r="D340" s="20" t="n"/>
      <c r="E340" s="20" t="n"/>
      <c r="F340" s="20" t="n"/>
      <c r="G340" s="20" t="n"/>
      <c r="H340" s="20" t="n"/>
      <c r="I340" s="28" t="n"/>
      <c r="J340" s="21">
        <f>I340</f>
        <v/>
      </c>
      <c r="K340" s="22" t="n"/>
      <c r="L340" s="20" t="n"/>
      <c r="M340" s="20" t="n"/>
      <c r="N340" s="20" t="n"/>
      <c r="O340" s="20" t="n"/>
      <c r="P340" s="28" t="n"/>
      <c r="Q340" s="21">
        <f>P340</f>
        <v/>
      </c>
      <c r="R340" s="21">
        <f>Q340</f>
        <v/>
      </c>
      <c r="S340" s="18" t="n"/>
    </row>
    <row r="341" ht="18" customHeight="1" s="43">
      <c r="B341" s="59" t="inlineStr">
        <is>
          <t>NaITO/イチゴ</t>
        </is>
      </c>
      <c r="C341" s="31" t="inlineStr">
        <is>
          <t>58期</t>
        </is>
      </c>
      <c r="D341" s="8" t="n"/>
      <c r="E341" s="8" t="n"/>
      <c r="F341" s="8" t="n"/>
      <c r="G341" s="8" t="n"/>
      <c r="H341" s="8" t="n"/>
      <c r="I341" s="9" t="n"/>
      <c r="J341" s="10">
        <f>SUM(D341:I341)</f>
        <v/>
      </c>
      <c r="K341" s="11" t="n"/>
      <c r="L341" s="8" t="n"/>
      <c r="M341" s="8" t="n"/>
      <c r="N341" s="8" t="n"/>
      <c r="O341" s="8" t="n"/>
      <c r="P341" s="9" t="n"/>
      <c r="Q341" s="10">
        <f>SUM(K341:P341)</f>
        <v/>
      </c>
      <c r="R341" s="10">
        <f>J341+Q341</f>
        <v/>
      </c>
      <c r="S341" s="16" t="n"/>
    </row>
    <row r="342" ht="18" customHeight="1" s="43">
      <c r="B342" s="48" t="n"/>
      <c r="C342" s="7" t="inlineStr">
        <is>
          <t>59期</t>
        </is>
      </c>
      <c r="D342" s="12" t="n"/>
      <c r="E342" s="12" t="n"/>
      <c r="F342" s="12" t="n"/>
      <c r="G342" s="12" t="n"/>
      <c r="H342" s="12" t="n"/>
      <c r="I342" s="13" t="n"/>
      <c r="J342" s="14">
        <f>SUM(D342:I342)</f>
        <v/>
      </c>
      <c r="K342" s="15" t="n"/>
      <c r="L342" s="12" t="n"/>
      <c r="M342" s="12" t="n"/>
      <c r="N342" s="12" t="n"/>
      <c r="O342" s="12" t="n"/>
      <c r="P342" s="13" t="n"/>
      <c r="Q342" s="14">
        <f>SUM(K342:P342)</f>
        <v/>
      </c>
      <c r="R342" s="14">
        <f>J342+Q342</f>
        <v/>
      </c>
      <c r="S342" s="17" t="n"/>
    </row>
    <row r="343" ht="18" customHeight="1" s="43">
      <c r="B343" s="48" t="n"/>
      <c r="C343" s="23" t="inlineStr">
        <is>
          <t>増　減</t>
        </is>
      </c>
      <c r="D343" s="24">
        <f>D342-D341</f>
        <v/>
      </c>
      <c r="E343" s="24">
        <f>E342-E341</f>
        <v/>
      </c>
      <c r="F343" s="24">
        <f>F342-F341</f>
        <v/>
      </c>
      <c r="G343" s="24">
        <f>G342-G341</f>
        <v/>
      </c>
      <c r="H343" s="24">
        <f>H342-H341</f>
        <v/>
      </c>
      <c r="I343" s="27">
        <f>I342-I341</f>
        <v/>
      </c>
      <c r="J343" s="30">
        <f>SUM(D343:I343)</f>
        <v/>
      </c>
      <c r="K343" s="29">
        <f>K342-K341</f>
        <v/>
      </c>
      <c r="L343" s="24">
        <f>L342-L341</f>
        <v/>
      </c>
      <c r="M343" s="24">
        <f>M342-M341</f>
        <v/>
      </c>
      <c r="N343" s="24">
        <f>N342-N341</f>
        <v/>
      </c>
      <c r="O343" s="24">
        <f>O342-O341</f>
        <v/>
      </c>
      <c r="P343" s="27">
        <f>P342-P341</f>
        <v/>
      </c>
      <c r="Q343" s="30">
        <f>SUM(K343:P343)</f>
        <v/>
      </c>
      <c r="R343" s="30">
        <f>J343+Q343</f>
        <v/>
      </c>
      <c r="S343" s="17" t="n"/>
    </row>
    <row r="344" ht="18" customHeight="1" s="43" thickBot="1">
      <c r="B344" s="60" t="n"/>
      <c r="C344" s="25" t="inlineStr">
        <is>
          <t>稼働棟数</t>
        </is>
      </c>
      <c r="D344" s="20" t="n"/>
      <c r="E344" s="20" t="n"/>
      <c r="F344" s="20" t="n"/>
      <c r="G344" s="20" t="n"/>
      <c r="H344" s="20" t="n"/>
      <c r="I344" s="28" t="n"/>
      <c r="J344" s="21">
        <f>I344</f>
        <v/>
      </c>
      <c r="K344" s="22" t="n"/>
      <c r="L344" s="20" t="n"/>
      <c r="M344" s="20" t="n"/>
      <c r="N344" s="20" t="n"/>
      <c r="O344" s="20" t="n"/>
      <c r="P344" s="28" t="n"/>
      <c r="Q344" s="21">
        <f>P344</f>
        <v/>
      </c>
      <c r="R344" s="21">
        <f>Q344</f>
        <v/>
      </c>
      <c r="S344" s="18" t="n"/>
    </row>
    <row r="345" ht="18" customHeight="1" s="43">
      <c r="B345" s="59" t="inlineStr">
        <is>
          <t>NaITO/トマト</t>
        </is>
      </c>
      <c r="C345" s="31" t="inlineStr">
        <is>
          <t>58期</t>
        </is>
      </c>
      <c r="D345" s="8" t="n"/>
      <c r="E345" s="8" t="n"/>
      <c r="F345" s="8" t="n"/>
      <c r="G345" s="8" t="n"/>
      <c r="H345" s="8" t="n"/>
      <c r="I345" s="9" t="n"/>
      <c r="J345" s="10">
        <f>SUM(D345:I345)</f>
        <v/>
      </c>
      <c r="K345" s="11" t="n"/>
      <c r="L345" s="8" t="n"/>
      <c r="M345" s="8" t="n"/>
      <c r="N345" s="8" t="n"/>
      <c r="O345" s="8" t="n"/>
      <c r="P345" s="9" t="n"/>
      <c r="Q345" s="10">
        <f>SUM(K345:P345)</f>
        <v/>
      </c>
      <c r="R345" s="10">
        <f>J345+Q345</f>
        <v/>
      </c>
      <c r="S345" s="16" t="n"/>
    </row>
    <row r="346" ht="18" customHeight="1" s="43">
      <c r="B346" s="48" t="n"/>
      <c r="C346" s="7" t="inlineStr">
        <is>
          <t>59期</t>
        </is>
      </c>
      <c r="D346" s="12" t="n"/>
      <c r="E346" s="12" t="n"/>
      <c r="F346" s="12" t="n"/>
      <c r="G346" s="12" t="n"/>
      <c r="H346" s="12" t="n"/>
      <c r="I346" s="13" t="n"/>
      <c r="J346" s="14">
        <f>SUM(D346:I346)</f>
        <v/>
      </c>
      <c r="K346" s="15" t="n"/>
      <c r="L346" s="12" t="n"/>
      <c r="M346" s="12" t="n"/>
      <c r="N346" s="12" t="n"/>
      <c r="O346" s="12" t="n"/>
      <c r="P346" s="13" t="n"/>
      <c r="Q346" s="14">
        <f>SUM(K346:P346)</f>
        <v/>
      </c>
      <c r="R346" s="14">
        <f>J346+Q346</f>
        <v/>
      </c>
      <c r="S346" s="17" t="n"/>
    </row>
    <row r="347" ht="18" customHeight="1" s="43">
      <c r="B347" s="48" t="n"/>
      <c r="C347" s="23" t="inlineStr">
        <is>
          <t>増　減</t>
        </is>
      </c>
      <c r="D347" s="24">
        <f>D346-D345</f>
        <v/>
      </c>
      <c r="E347" s="24">
        <f>E346-E345</f>
        <v/>
      </c>
      <c r="F347" s="24">
        <f>F346-F345</f>
        <v/>
      </c>
      <c r="G347" s="24">
        <f>G346-G345</f>
        <v/>
      </c>
      <c r="H347" s="24">
        <f>H346-H345</f>
        <v/>
      </c>
      <c r="I347" s="27">
        <f>I346-I345</f>
        <v/>
      </c>
      <c r="J347" s="30">
        <f>SUM(D347:I347)</f>
        <v/>
      </c>
      <c r="K347" s="29">
        <f>K346-K345</f>
        <v/>
      </c>
      <c r="L347" s="24">
        <f>L346-L345</f>
        <v/>
      </c>
      <c r="M347" s="24">
        <f>M346-M345</f>
        <v/>
      </c>
      <c r="N347" s="24">
        <f>N346-N345</f>
        <v/>
      </c>
      <c r="O347" s="24">
        <f>O346-O345</f>
        <v/>
      </c>
      <c r="P347" s="27">
        <f>P346-P345</f>
        <v/>
      </c>
      <c r="Q347" s="30">
        <f>SUM(K347:P347)</f>
        <v/>
      </c>
      <c r="R347" s="30">
        <f>J347+Q347</f>
        <v/>
      </c>
      <c r="S347" s="17" t="n"/>
    </row>
    <row r="348" ht="18" customHeight="1" s="43" thickBot="1">
      <c r="B348" s="60" t="n"/>
      <c r="C348" s="25" t="inlineStr">
        <is>
          <t>稼働棟数</t>
        </is>
      </c>
      <c r="D348" s="20" t="n"/>
      <c r="E348" s="20" t="n"/>
      <c r="F348" s="20" t="n"/>
      <c r="G348" s="20" t="n"/>
      <c r="H348" s="20" t="n"/>
      <c r="I348" s="28" t="n"/>
      <c r="J348" s="21">
        <f>I348</f>
        <v/>
      </c>
      <c r="K348" s="22" t="n"/>
      <c r="L348" s="20" t="n"/>
      <c r="M348" s="20" t="n"/>
      <c r="N348" s="20" t="n"/>
      <c r="O348" s="20" t="n"/>
      <c r="P348" s="28" t="n"/>
      <c r="Q348" s="21">
        <f>P348</f>
        <v/>
      </c>
      <c r="R348" s="21">
        <f>Q348</f>
        <v/>
      </c>
      <c r="S348" s="18" t="n"/>
    </row>
    <row r="349" ht="18" customHeight="1" s="43">
      <c r="B349" s="59" t="inlineStr">
        <is>
          <t>NaITO/ナス</t>
        </is>
      </c>
      <c r="C349" s="31" t="inlineStr">
        <is>
          <t>58期</t>
        </is>
      </c>
      <c r="D349" s="8" t="n"/>
      <c r="E349" s="8" t="n"/>
      <c r="F349" s="8" t="n"/>
      <c r="G349" s="8" t="n"/>
      <c r="H349" s="8" t="n"/>
      <c r="I349" s="9" t="n"/>
      <c r="J349" s="10">
        <f>SUM(D349:I349)</f>
        <v/>
      </c>
      <c r="K349" s="11" t="n"/>
      <c r="L349" s="8" t="n"/>
      <c r="M349" s="8" t="n"/>
      <c r="N349" s="8" t="n"/>
      <c r="O349" s="8" t="n"/>
      <c r="P349" s="9" t="n"/>
      <c r="Q349" s="10">
        <f>SUM(K349:P349)</f>
        <v/>
      </c>
      <c r="R349" s="10">
        <f>J349+Q349</f>
        <v/>
      </c>
      <c r="S349" s="16" t="n"/>
    </row>
    <row r="350" ht="18" customHeight="1" s="43">
      <c r="B350" s="48" t="n"/>
      <c r="C350" s="7" t="inlineStr">
        <is>
          <t>59期</t>
        </is>
      </c>
      <c r="D350" s="12" t="n"/>
      <c r="E350" s="12" t="n"/>
      <c r="F350" s="12" t="n"/>
      <c r="G350" s="12" t="n"/>
      <c r="H350" s="12" t="n"/>
      <c r="I350" s="13" t="n"/>
      <c r="J350" s="14">
        <f>SUM(D350:I350)</f>
        <v/>
      </c>
      <c r="K350" s="15" t="n"/>
      <c r="L350" s="12" t="n"/>
      <c r="M350" s="12" t="n"/>
      <c r="N350" s="12" t="n"/>
      <c r="O350" s="12" t="n"/>
      <c r="P350" s="13" t="n"/>
      <c r="Q350" s="14">
        <f>SUM(K350:P350)</f>
        <v/>
      </c>
      <c r="R350" s="14">
        <f>J350+Q350</f>
        <v/>
      </c>
      <c r="S350" s="17" t="n"/>
    </row>
    <row r="351" ht="18" customHeight="1" s="43">
      <c r="B351" s="48" t="n"/>
      <c r="C351" s="23" t="inlineStr">
        <is>
          <t>増　減</t>
        </is>
      </c>
      <c r="D351" s="24">
        <f>D350-D349</f>
        <v/>
      </c>
      <c r="E351" s="24">
        <f>E350-E349</f>
        <v/>
      </c>
      <c r="F351" s="24">
        <f>F350-F349</f>
        <v/>
      </c>
      <c r="G351" s="24">
        <f>G350-G349</f>
        <v/>
      </c>
      <c r="H351" s="24">
        <f>H350-H349</f>
        <v/>
      </c>
      <c r="I351" s="27">
        <f>I350-I349</f>
        <v/>
      </c>
      <c r="J351" s="30">
        <f>SUM(D351:I351)</f>
        <v/>
      </c>
      <c r="K351" s="29">
        <f>K350-K349</f>
        <v/>
      </c>
      <c r="L351" s="24">
        <f>L350-L349</f>
        <v/>
      </c>
      <c r="M351" s="24">
        <f>M350-M349</f>
        <v/>
      </c>
      <c r="N351" s="24">
        <f>N350-N349</f>
        <v/>
      </c>
      <c r="O351" s="24">
        <f>O350-O349</f>
        <v/>
      </c>
      <c r="P351" s="27">
        <f>P350-P349</f>
        <v/>
      </c>
      <c r="Q351" s="30">
        <f>SUM(K351:P351)</f>
        <v/>
      </c>
      <c r="R351" s="30">
        <f>J351+Q351</f>
        <v/>
      </c>
      <c r="S351" s="17" t="n"/>
    </row>
    <row r="352" ht="18" customHeight="1" s="43" thickBot="1">
      <c r="B352" s="60" t="n"/>
      <c r="C352" s="25" t="inlineStr">
        <is>
          <t>稼働棟数</t>
        </is>
      </c>
      <c r="D352" s="20" t="n"/>
      <c r="E352" s="20" t="n"/>
      <c r="F352" s="20" t="n"/>
      <c r="G352" s="20" t="n"/>
      <c r="H352" s="20" t="n"/>
      <c r="I352" s="28" t="n"/>
      <c r="J352" s="21">
        <f>I352</f>
        <v/>
      </c>
      <c r="K352" s="22" t="n"/>
      <c r="L352" s="20" t="n"/>
      <c r="M352" s="20" t="n"/>
      <c r="N352" s="20" t="n"/>
      <c r="O352" s="20" t="n"/>
      <c r="P352" s="28" t="n"/>
      <c r="Q352" s="21">
        <f>P352</f>
        <v/>
      </c>
      <c r="R352" s="21">
        <f>Q352</f>
        <v/>
      </c>
      <c r="S352" s="18" t="n"/>
    </row>
    <row r="353" ht="18" customHeight="1" s="43">
      <c r="B353" s="59" t="inlineStr">
        <is>
          <t>NaITO/ハーブ</t>
        </is>
      </c>
      <c r="C353" s="31" t="inlineStr">
        <is>
          <t>58期</t>
        </is>
      </c>
      <c r="D353" s="8" t="n"/>
      <c r="E353" s="8" t="n"/>
      <c r="F353" s="8" t="n"/>
      <c r="G353" s="8" t="n"/>
      <c r="H353" s="8" t="n"/>
      <c r="I353" s="9" t="n"/>
      <c r="J353" s="10">
        <f>SUM(D353:I353)</f>
        <v/>
      </c>
      <c r="K353" s="11" t="n"/>
      <c r="L353" s="8" t="n"/>
      <c r="M353" s="8" t="n"/>
      <c r="N353" s="8" t="n"/>
      <c r="O353" s="8" t="n"/>
      <c r="P353" s="9" t="n"/>
      <c r="Q353" s="10">
        <f>SUM(K353:P353)</f>
        <v/>
      </c>
      <c r="R353" s="10">
        <f>J353+Q353</f>
        <v/>
      </c>
      <c r="S353" s="16" t="n"/>
    </row>
    <row r="354" ht="18" customHeight="1" s="43">
      <c r="B354" s="48" t="n"/>
      <c r="C354" s="7" t="inlineStr">
        <is>
          <t>59期</t>
        </is>
      </c>
      <c r="D354" s="12" t="n"/>
      <c r="E354" s="12" t="n"/>
      <c r="F354" s="12" t="n"/>
      <c r="G354" s="12" t="n"/>
      <c r="H354" s="12" t="n"/>
      <c r="I354" s="13" t="n"/>
      <c r="J354" s="14">
        <f>SUM(D354:I354)</f>
        <v/>
      </c>
      <c r="K354" s="15" t="n"/>
      <c r="L354" s="12" t="n"/>
      <c r="M354" s="12" t="n"/>
      <c r="N354" s="12" t="n"/>
      <c r="O354" s="12" t="n"/>
      <c r="P354" s="13" t="n"/>
      <c r="Q354" s="14">
        <f>SUM(K354:P354)</f>
        <v/>
      </c>
      <c r="R354" s="14">
        <f>J354+Q354</f>
        <v/>
      </c>
      <c r="S354" s="17" t="n"/>
    </row>
    <row r="355" ht="18" customHeight="1" s="43">
      <c r="B355" s="48" t="n"/>
      <c r="C355" s="23" t="inlineStr">
        <is>
          <t>増　減</t>
        </is>
      </c>
      <c r="D355" s="24">
        <f>D354-D353</f>
        <v/>
      </c>
      <c r="E355" s="24">
        <f>E354-E353</f>
        <v/>
      </c>
      <c r="F355" s="24">
        <f>F354-F353</f>
        <v/>
      </c>
      <c r="G355" s="24">
        <f>G354-G353</f>
        <v/>
      </c>
      <c r="H355" s="24">
        <f>H354-H353</f>
        <v/>
      </c>
      <c r="I355" s="27">
        <f>I354-I353</f>
        <v/>
      </c>
      <c r="J355" s="30">
        <f>SUM(D355:I355)</f>
        <v/>
      </c>
      <c r="K355" s="29">
        <f>K354-K353</f>
        <v/>
      </c>
      <c r="L355" s="24">
        <f>L354-L353</f>
        <v/>
      </c>
      <c r="M355" s="24">
        <f>M354-M353</f>
        <v/>
      </c>
      <c r="N355" s="24">
        <f>N354-N353</f>
        <v/>
      </c>
      <c r="O355" s="24">
        <f>O354-O353</f>
        <v/>
      </c>
      <c r="P355" s="27">
        <f>P354-P353</f>
        <v/>
      </c>
      <c r="Q355" s="30">
        <f>SUM(K355:P355)</f>
        <v/>
      </c>
      <c r="R355" s="30">
        <f>J355+Q355</f>
        <v/>
      </c>
      <c r="S355" s="17" t="n"/>
    </row>
    <row r="356" ht="18" customHeight="1" s="43" thickBot="1">
      <c r="B356" s="60" t="n"/>
      <c r="C356" s="25" t="inlineStr">
        <is>
          <t>稼働棟数</t>
        </is>
      </c>
      <c r="D356" s="20" t="n"/>
      <c r="E356" s="20" t="n"/>
      <c r="F356" s="20" t="n"/>
      <c r="G356" s="20" t="n"/>
      <c r="H356" s="20" t="n"/>
      <c r="I356" s="28" t="n"/>
      <c r="J356" s="21">
        <f>I356</f>
        <v/>
      </c>
      <c r="K356" s="22" t="n"/>
      <c r="L356" s="20" t="n"/>
      <c r="M356" s="20" t="n"/>
      <c r="N356" s="20" t="n"/>
      <c r="O356" s="20" t="n"/>
      <c r="P356" s="28" t="n"/>
      <c r="Q356" s="21">
        <f>P356</f>
        <v/>
      </c>
      <c r="R356" s="21">
        <f>Q356</f>
        <v/>
      </c>
      <c r="S356" s="18" t="n"/>
    </row>
    <row r="357" ht="18" customHeight="1" s="43">
      <c r="B357" s="59" t="inlineStr">
        <is>
          <t>NaITO/パプリカ</t>
        </is>
      </c>
      <c r="C357" s="31" t="inlineStr">
        <is>
          <t>58期</t>
        </is>
      </c>
      <c r="D357" s="8" t="n"/>
      <c r="E357" s="8" t="n"/>
      <c r="F357" s="8" t="n"/>
      <c r="G357" s="8" t="n"/>
      <c r="H357" s="8" t="n"/>
      <c r="I357" s="9" t="n"/>
      <c r="J357" s="10">
        <f>SUM(D357:I357)</f>
        <v/>
      </c>
      <c r="K357" s="11" t="n"/>
      <c r="L357" s="8" t="n"/>
      <c r="M357" s="8" t="n"/>
      <c r="N357" s="8" t="n"/>
      <c r="O357" s="8" t="n"/>
      <c r="P357" s="9" t="n"/>
      <c r="Q357" s="10">
        <f>SUM(K357:P357)</f>
        <v/>
      </c>
      <c r="R357" s="10">
        <f>J357+Q357</f>
        <v/>
      </c>
      <c r="S357" s="16" t="n"/>
    </row>
    <row r="358" ht="18" customHeight="1" s="43">
      <c r="B358" s="48" t="n"/>
      <c r="C358" s="7" t="inlineStr">
        <is>
          <t>59期</t>
        </is>
      </c>
      <c r="D358" s="12" t="n"/>
      <c r="E358" s="12" t="n"/>
      <c r="F358" s="12" t="n"/>
      <c r="G358" s="12" t="n"/>
      <c r="H358" s="12" t="n"/>
      <c r="I358" s="13" t="n"/>
      <c r="J358" s="14">
        <f>SUM(D358:I358)</f>
        <v/>
      </c>
      <c r="K358" s="15" t="n"/>
      <c r="L358" s="12" t="n"/>
      <c r="M358" s="12" t="n"/>
      <c r="N358" s="12" t="n"/>
      <c r="O358" s="12" t="n"/>
      <c r="P358" s="13" t="n"/>
      <c r="Q358" s="14">
        <f>SUM(K358:P358)</f>
        <v/>
      </c>
      <c r="R358" s="14">
        <f>J358+Q358</f>
        <v/>
      </c>
      <c r="S358" s="17" t="n"/>
    </row>
    <row r="359" ht="18" customHeight="1" s="43">
      <c r="B359" s="48" t="n"/>
      <c r="C359" s="23" t="inlineStr">
        <is>
          <t>増　減</t>
        </is>
      </c>
      <c r="D359" s="24">
        <f>D358-D357</f>
        <v/>
      </c>
      <c r="E359" s="24">
        <f>E358-E357</f>
        <v/>
      </c>
      <c r="F359" s="24">
        <f>F358-F357</f>
        <v/>
      </c>
      <c r="G359" s="24">
        <f>G358-G357</f>
        <v/>
      </c>
      <c r="H359" s="24">
        <f>H358-H357</f>
        <v/>
      </c>
      <c r="I359" s="27">
        <f>I358-I357</f>
        <v/>
      </c>
      <c r="J359" s="30">
        <f>SUM(D359:I359)</f>
        <v/>
      </c>
      <c r="K359" s="29">
        <f>K358-K357</f>
        <v/>
      </c>
      <c r="L359" s="24">
        <f>L358-L357</f>
        <v/>
      </c>
      <c r="M359" s="24">
        <f>M358-M357</f>
        <v/>
      </c>
      <c r="N359" s="24">
        <f>N358-N357</f>
        <v/>
      </c>
      <c r="O359" s="24">
        <f>O358-O357</f>
        <v/>
      </c>
      <c r="P359" s="27">
        <f>P358-P357</f>
        <v/>
      </c>
      <c r="Q359" s="30">
        <f>SUM(K359:P359)</f>
        <v/>
      </c>
      <c r="R359" s="30">
        <f>J359+Q359</f>
        <v/>
      </c>
      <c r="S359" s="17" t="n"/>
    </row>
    <row r="360" ht="18" customHeight="1" s="43" thickBot="1">
      <c r="B360" s="60" t="n"/>
      <c r="C360" s="25" t="inlineStr">
        <is>
          <t>稼働棟数</t>
        </is>
      </c>
      <c r="D360" s="20" t="n"/>
      <c r="E360" s="20" t="n"/>
      <c r="F360" s="20" t="n"/>
      <c r="G360" s="20" t="n"/>
      <c r="H360" s="20" t="n"/>
      <c r="I360" s="28" t="n"/>
      <c r="J360" s="21">
        <f>I360</f>
        <v/>
      </c>
      <c r="K360" s="22" t="n"/>
      <c r="L360" s="20" t="n"/>
      <c r="M360" s="20" t="n"/>
      <c r="N360" s="20" t="n"/>
      <c r="O360" s="20" t="n"/>
      <c r="P360" s="28" t="n"/>
      <c r="Q360" s="21">
        <f>P360</f>
        <v/>
      </c>
      <c r="R360" s="21">
        <f>Q360</f>
        <v/>
      </c>
      <c r="S360" s="18" t="n"/>
    </row>
    <row r="361" ht="18" customHeight="1" s="43">
      <c r="B361" s="59" t="inlineStr">
        <is>
          <t>NaITO/ピーマン</t>
        </is>
      </c>
      <c r="C361" s="31" t="inlineStr">
        <is>
          <t>58期</t>
        </is>
      </c>
      <c r="D361" s="8" t="n"/>
      <c r="E361" s="8" t="n"/>
      <c r="F361" s="8" t="n"/>
      <c r="G361" s="8" t="n"/>
      <c r="H361" s="8" t="n"/>
      <c r="I361" s="9" t="n"/>
      <c r="J361" s="10">
        <f>SUM(D361:I361)</f>
        <v/>
      </c>
      <c r="K361" s="11" t="n"/>
      <c r="L361" s="8" t="n"/>
      <c r="M361" s="8" t="n"/>
      <c r="N361" s="8" t="n"/>
      <c r="O361" s="8" t="n"/>
      <c r="P361" s="9" t="n"/>
      <c r="Q361" s="10">
        <f>SUM(K361:P361)</f>
        <v/>
      </c>
      <c r="R361" s="10">
        <f>J361+Q361</f>
        <v/>
      </c>
      <c r="S361" s="16" t="n"/>
    </row>
    <row r="362" ht="18" customHeight="1" s="43">
      <c r="B362" s="48" t="n"/>
      <c r="C362" s="7" t="inlineStr">
        <is>
          <t>59期</t>
        </is>
      </c>
      <c r="D362" s="12" t="n"/>
      <c r="E362" s="12" t="n"/>
      <c r="F362" s="12" t="n"/>
      <c r="G362" s="12" t="n"/>
      <c r="H362" s="12" t="n"/>
      <c r="I362" s="13" t="n"/>
      <c r="J362" s="14">
        <f>SUM(D362:I362)</f>
        <v/>
      </c>
      <c r="K362" s="15" t="n"/>
      <c r="L362" s="12" t="n"/>
      <c r="M362" s="12" t="n"/>
      <c r="N362" s="12" t="n"/>
      <c r="O362" s="12" t="n"/>
      <c r="P362" s="13" t="n"/>
      <c r="Q362" s="14">
        <f>SUM(K362:P362)</f>
        <v/>
      </c>
      <c r="R362" s="14">
        <f>J362+Q362</f>
        <v/>
      </c>
      <c r="S362" s="17" t="n"/>
    </row>
    <row r="363" ht="18" customHeight="1" s="43">
      <c r="B363" s="48" t="n"/>
      <c r="C363" s="23" t="inlineStr">
        <is>
          <t>増　減</t>
        </is>
      </c>
      <c r="D363" s="24">
        <f>D362-D361</f>
        <v/>
      </c>
      <c r="E363" s="24">
        <f>E362-E361</f>
        <v/>
      </c>
      <c r="F363" s="24">
        <f>F362-F361</f>
        <v/>
      </c>
      <c r="G363" s="24">
        <f>G362-G361</f>
        <v/>
      </c>
      <c r="H363" s="24">
        <f>H362-H361</f>
        <v/>
      </c>
      <c r="I363" s="27">
        <f>I362-I361</f>
        <v/>
      </c>
      <c r="J363" s="30">
        <f>SUM(D363:I363)</f>
        <v/>
      </c>
      <c r="K363" s="29">
        <f>K362-K361</f>
        <v/>
      </c>
      <c r="L363" s="24">
        <f>L362-L361</f>
        <v/>
      </c>
      <c r="M363" s="24">
        <f>M362-M361</f>
        <v/>
      </c>
      <c r="N363" s="24">
        <f>N362-N361</f>
        <v/>
      </c>
      <c r="O363" s="24">
        <f>O362-O361</f>
        <v/>
      </c>
      <c r="P363" s="27">
        <f>P362-P361</f>
        <v/>
      </c>
      <c r="Q363" s="30">
        <f>SUM(K363:P363)</f>
        <v/>
      </c>
      <c r="R363" s="30">
        <f>J363+Q363</f>
        <v/>
      </c>
      <c r="S363" s="17" t="n"/>
    </row>
    <row r="364" ht="18" customHeight="1" s="43" thickBot="1">
      <c r="B364" s="60" t="n"/>
      <c r="C364" s="25" t="inlineStr">
        <is>
          <t>稼働棟数</t>
        </is>
      </c>
      <c r="D364" s="20" t="n"/>
      <c r="E364" s="20" t="n"/>
      <c r="F364" s="20" t="n"/>
      <c r="G364" s="20" t="n"/>
      <c r="H364" s="20" t="n"/>
      <c r="I364" s="28" t="n"/>
      <c r="J364" s="21">
        <f>I364</f>
        <v/>
      </c>
      <c r="K364" s="22" t="n"/>
      <c r="L364" s="20" t="n"/>
      <c r="M364" s="20" t="n"/>
      <c r="N364" s="20" t="n"/>
      <c r="O364" s="20" t="n"/>
      <c r="P364" s="28" t="n"/>
      <c r="Q364" s="21">
        <f>P364</f>
        <v/>
      </c>
      <c r="R364" s="21">
        <f>Q364</f>
        <v/>
      </c>
      <c r="S364" s="18" t="n"/>
    </row>
    <row r="365" ht="18" customHeight="1" s="43">
      <c r="B365" s="59" t="inlineStr">
        <is>
          <t>NaITO/マイクロ</t>
        </is>
      </c>
      <c r="C365" s="31" t="inlineStr">
        <is>
          <t>58期</t>
        </is>
      </c>
      <c r="D365" s="8" t="n"/>
      <c r="E365" s="8" t="n"/>
      <c r="F365" s="8" t="n"/>
      <c r="G365" s="8" t="n"/>
      <c r="H365" s="8" t="n"/>
      <c r="I365" s="9" t="n"/>
      <c r="J365" s="10">
        <f>SUM(D365:I365)</f>
        <v/>
      </c>
      <c r="K365" s="11" t="n"/>
      <c r="L365" s="8" t="n"/>
      <c r="M365" s="8" t="n"/>
      <c r="N365" s="8" t="n"/>
      <c r="O365" s="8" t="n"/>
      <c r="P365" s="9" t="n"/>
      <c r="Q365" s="10">
        <f>SUM(K365:P365)</f>
        <v/>
      </c>
      <c r="R365" s="10">
        <f>J365+Q365</f>
        <v/>
      </c>
      <c r="S365" s="16" t="n"/>
    </row>
    <row r="366" ht="18" customHeight="1" s="43">
      <c r="B366" s="48" t="n"/>
      <c r="C366" s="7" t="inlineStr">
        <is>
          <t>59期</t>
        </is>
      </c>
      <c r="D366" s="12" t="n"/>
      <c r="E366" s="12" t="n"/>
      <c r="F366" s="12" t="n"/>
      <c r="G366" s="12" t="n"/>
      <c r="H366" s="12" t="n"/>
      <c r="I366" s="13" t="n"/>
      <c r="J366" s="14">
        <f>SUM(D366:I366)</f>
        <v/>
      </c>
      <c r="K366" s="15" t="n"/>
      <c r="L366" s="12" t="n"/>
      <c r="M366" s="12" t="n"/>
      <c r="N366" s="12" t="n"/>
      <c r="O366" s="12" t="n"/>
      <c r="P366" s="13" t="n"/>
      <c r="Q366" s="14">
        <f>SUM(K366:P366)</f>
        <v/>
      </c>
      <c r="R366" s="14">
        <f>J366+Q366</f>
        <v/>
      </c>
      <c r="S366" s="17" t="n"/>
    </row>
    <row r="367" ht="18" customHeight="1" s="43">
      <c r="B367" s="48" t="n"/>
      <c r="C367" s="23" t="inlineStr">
        <is>
          <t>増　減</t>
        </is>
      </c>
      <c r="D367" s="24">
        <f>D366-D365</f>
        <v/>
      </c>
      <c r="E367" s="24">
        <f>E366-E365</f>
        <v/>
      </c>
      <c r="F367" s="24">
        <f>F366-F365</f>
        <v/>
      </c>
      <c r="G367" s="24">
        <f>G366-G365</f>
        <v/>
      </c>
      <c r="H367" s="24">
        <f>H366-H365</f>
        <v/>
      </c>
      <c r="I367" s="27">
        <f>I366-I365</f>
        <v/>
      </c>
      <c r="J367" s="30">
        <f>SUM(D367:I367)</f>
        <v/>
      </c>
      <c r="K367" s="29">
        <f>K366-K365</f>
        <v/>
      </c>
      <c r="L367" s="24">
        <f>L366-L365</f>
        <v/>
      </c>
      <c r="M367" s="24">
        <f>M366-M365</f>
        <v/>
      </c>
      <c r="N367" s="24">
        <f>N366-N365</f>
        <v/>
      </c>
      <c r="O367" s="24">
        <f>O366-O365</f>
        <v/>
      </c>
      <c r="P367" s="27">
        <f>P366-P365</f>
        <v/>
      </c>
      <c r="Q367" s="30">
        <f>SUM(K367:P367)</f>
        <v/>
      </c>
      <c r="R367" s="30">
        <f>J367+Q367</f>
        <v/>
      </c>
      <c r="S367" s="17" t="n"/>
    </row>
    <row r="368" ht="18" customHeight="1" s="43" thickBot="1">
      <c r="B368" s="60" t="n"/>
      <c r="C368" s="25" t="inlineStr">
        <is>
          <t>稼働棟数</t>
        </is>
      </c>
      <c r="D368" s="20" t="n"/>
      <c r="E368" s="20" t="n"/>
      <c r="F368" s="20" t="n"/>
      <c r="G368" s="20" t="n"/>
      <c r="H368" s="20" t="n"/>
      <c r="I368" s="28" t="n"/>
      <c r="J368" s="21">
        <f>I368</f>
        <v/>
      </c>
      <c r="K368" s="22" t="n"/>
      <c r="L368" s="20" t="n"/>
      <c r="M368" s="20" t="n"/>
      <c r="N368" s="20" t="n"/>
      <c r="O368" s="20" t="n"/>
      <c r="P368" s="28" t="n"/>
      <c r="Q368" s="21">
        <f>P368</f>
        <v/>
      </c>
      <c r="R368" s="21">
        <f>Q368</f>
        <v/>
      </c>
      <c r="S368" s="18" t="n"/>
    </row>
    <row r="369" ht="18" customHeight="1" s="43">
      <c r="B369" s="59" t="inlineStr">
        <is>
          <t>NaITO/ミニトマト</t>
        </is>
      </c>
      <c r="C369" s="31" t="inlineStr">
        <is>
          <t>58期</t>
        </is>
      </c>
      <c r="D369" s="8" t="n"/>
      <c r="E369" s="8" t="n"/>
      <c r="F369" s="8" t="n"/>
      <c r="G369" s="8" t="n"/>
      <c r="H369" s="8" t="n"/>
      <c r="I369" s="9" t="n"/>
      <c r="J369" s="10">
        <f>SUM(D369:I369)</f>
        <v/>
      </c>
      <c r="K369" s="11" t="n"/>
      <c r="L369" s="8" t="n"/>
      <c r="M369" s="8" t="n"/>
      <c r="N369" s="8" t="n"/>
      <c r="O369" s="8" t="n"/>
      <c r="P369" s="9" t="n"/>
      <c r="Q369" s="10">
        <f>SUM(K369:P369)</f>
        <v/>
      </c>
      <c r="R369" s="10">
        <f>J369+Q369</f>
        <v/>
      </c>
      <c r="S369" s="16" t="n"/>
    </row>
    <row r="370" ht="18" customHeight="1" s="43">
      <c r="B370" s="48" t="n"/>
      <c r="C370" s="7" t="inlineStr">
        <is>
          <t>59期</t>
        </is>
      </c>
      <c r="D370" s="12" t="n"/>
      <c r="E370" s="12" t="n"/>
      <c r="F370" s="12" t="n"/>
      <c r="G370" s="12" t="n"/>
      <c r="H370" s="12" t="n"/>
      <c r="I370" s="13" t="n"/>
      <c r="J370" s="14">
        <f>SUM(D370:I370)</f>
        <v/>
      </c>
      <c r="K370" s="15" t="n"/>
      <c r="L370" s="12" t="n"/>
      <c r="M370" s="12" t="n"/>
      <c r="N370" s="12" t="n"/>
      <c r="O370" s="12" t="n"/>
      <c r="P370" s="13" t="n"/>
      <c r="Q370" s="14">
        <f>SUM(K370:P370)</f>
        <v/>
      </c>
      <c r="R370" s="14">
        <f>J370+Q370</f>
        <v/>
      </c>
      <c r="S370" s="17" t="n"/>
    </row>
    <row r="371" ht="18" customHeight="1" s="43">
      <c r="B371" s="48" t="n"/>
      <c r="C371" s="23" t="inlineStr">
        <is>
          <t>増　減</t>
        </is>
      </c>
      <c r="D371" s="24">
        <f>D370-D369</f>
        <v/>
      </c>
      <c r="E371" s="24">
        <f>E370-E369</f>
        <v/>
      </c>
      <c r="F371" s="24">
        <f>F370-F369</f>
        <v/>
      </c>
      <c r="G371" s="24">
        <f>G370-G369</f>
        <v/>
      </c>
      <c r="H371" s="24">
        <f>H370-H369</f>
        <v/>
      </c>
      <c r="I371" s="27">
        <f>I370-I369</f>
        <v/>
      </c>
      <c r="J371" s="30">
        <f>SUM(D371:I371)</f>
        <v/>
      </c>
      <c r="K371" s="29">
        <f>K370-K369</f>
        <v/>
      </c>
      <c r="L371" s="24">
        <f>L370-L369</f>
        <v/>
      </c>
      <c r="M371" s="24">
        <f>M370-M369</f>
        <v/>
      </c>
      <c r="N371" s="24">
        <f>N370-N369</f>
        <v/>
      </c>
      <c r="O371" s="24">
        <f>O370-O369</f>
        <v/>
      </c>
      <c r="P371" s="27">
        <f>P370-P369</f>
        <v/>
      </c>
      <c r="Q371" s="30">
        <f>SUM(K371:P371)</f>
        <v/>
      </c>
      <c r="R371" s="30">
        <f>J371+Q371</f>
        <v/>
      </c>
      <c r="S371" s="17" t="n"/>
    </row>
    <row r="372" ht="18" customHeight="1" s="43" thickBot="1">
      <c r="B372" s="60" t="n"/>
      <c r="C372" s="25" t="inlineStr">
        <is>
          <t>稼働棟数</t>
        </is>
      </c>
      <c r="D372" s="20" t="n"/>
      <c r="E372" s="20" t="n"/>
      <c r="F372" s="20" t="n"/>
      <c r="G372" s="20" t="n"/>
      <c r="H372" s="20" t="n"/>
      <c r="I372" s="28" t="n"/>
      <c r="J372" s="21">
        <f>I372</f>
        <v/>
      </c>
      <c r="K372" s="22" t="n"/>
      <c r="L372" s="20" t="n"/>
      <c r="M372" s="20" t="n"/>
      <c r="N372" s="20" t="n"/>
      <c r="O372" s="20" t="n"/>
      <c r="P372" s="28" t="n"/>
      <c r="Q372" s="21">
        <f>P372</f>
        <v/>
      </c>
      <c r="R372" s="21">
        <f>Q372</f>
        <v/>
      </c>
      <c r="S372" s="18" t="n"/>
    </row>
    <row r="373" ht="18" customHeight="1" s="43">
      <c r="B373" s="59" t="inlineStr">
        <is>
          <t>NaITO/根物野菜</t>
        </is>
      </c>
      <c r="C373" s="31" t="inlineStr">
        <is>
          <t>58期</t>
        </is>
      </c>
      <c r="D373" s="8" t="n"/>
      <c r="E373" s="8" t="n"/>
      <c r="F373" s="8" t="n"/>
      <c r="G373" s="8" t="n">
        <v>0.96</v>
      </c>
      <c r="H373" s="8" t="n"/>
      <c r="I373" s="9" t="n"/>
      <c r="J373" s="10" t="n">
        <v>0.96</v>
      </c>
      <c r="K373" s="11" t="n"/>
      <c r="L373" s="8" t="n"/>
      <c r="M373" s="8" t="n"/>
      <c r="N373" s="8" t="n"/>
      <c r="O373" s="8" t="n"/>
      <c r="P373" s="9" t="n"/>
      <c r="Q373" s="10" t="n">
        <v>0</v>
      </c>
      <c r="R373" s="10" t="n">
        <v>0.96</v>
      </c>
      <c r="S373" s="16" t="n"/>
    </row>
    <row r="374" ht="18" customHeight="1" s="43">
      <c r="B374" s="48" t="n"/>
      <c r="C374" s="7" t="inlineStr">
        <is>
          <t>59期</t>
        </is>
      </c>
      <c r="D374" s="12" t="n"/>
      <c r="E374" s="12" t="n"/>
      <c r="F374" s="12" t="n"/>
      <c r="G374" s="12" t="n"/>
      <c r="H374" s="12" t="n"/>
      <c r="I374" s="13" t="n"/>
      <c r="J374" s="14">
        <f>SUM(D374:I374)</f>
        <v/>
      </c>
      <c r="K374" s="15" t="n"/>
      <c r="L374" s="12" t="n"/>
      <c r="M374" s="12" t="n"/>
      <c r="N374" s="12" t="n"/>
      <c r="O374" s="12" t="n"/>
      <c r="P374" s="13" t="n"/>
      <c r="Q374" s="14">
        <f>SUM(K374:P374)</f>
        <v/>
      </c>
      <c r="R374" s="14">
        <f>J374+Q374</f>
        <v/>
      </c>
      <c r="S374" s="17" t="n"/>
    </row>
    <row r="375" ht="18" customHeight="1" s="43">
      <c r="B375" s="48" t="n"/>
      <c r="C375" s="23" t="inlineStr">
        <is>
          <t>増　減</t>
        </is>
      </c>
      <c r="D375" s="24">
        <f>D374-D373</f>
        <v/>
      </c>
      <c r="E375" s="24">
        <f>E374-E373</f>
        <v/>
      </c>
      <c r="F375" s="24">
        <f>F374-F373</f>
        <v/>
      </c>
      <c r="G375" s="24">
        <f>G374-G373</f>
        <v/>
      </c>
      <c r="H375" s="24">
        <f>H374-H373</f>
        <v/>
      </c>
      <c r="I375" s="27">
        <f>I374-I373</f>
        <v/>
      </c>
      <c r="J375" s="30">
        <f>SUM(D375:I375)</f>
        <v/>
      </c>
      <c r="K375" s="29">
        <f>K374-K373</f>
        <v/>
      </c>
      <c r="L375" s="24">
        <f>L374-L373</f>
        <v/>
      </c>
      <c r="M375" s="24">
        <f>M374-M373</f>
        <v/>
      </c>
      <c r="N375" s="24">
        <f>N374-N373</f>
        <v/>
      </c>
      <c r="O375" s="24">
        <f>O374-O373</f>
        <v/>
      </c>
      <c r="P375" s="27">
        <f>P374-P373</f>
        <v/>
      </c>
      <c r="Q375" s="30">
        <f>SUM(K375:P375)</f>
        <v/>
      </c>
      <c r="R375" s="30">
        <f>J375+Q375</f>
        <v/>
      </c>
      <c r="S375" s="17" t="n"/>
    </row>
    <row r="376" ht="18" customHeight="1" s="43" thickBot="1">
      <c r="B376" s="60" t="n"/>
      <c r="C376" s="25" t="inlineStr">
        <is>
          <t>稼働棟数</t>
        </is>
      </c>
      <c r="D376" s="20" t="n"/>
      <c r="E376" s="20" t="n"/>
      <c r="F376" s="20" t="n"/>
      <c r="G376" s="20" t="n"/>
      <c r="H376" s="20" t="n"/>
      <c r="I376" s="28" t="n"/>
      <c r="J376" s="21">
        <f>I376</f>
        <v/>
      </c>
      <c r="K376" s="22" t="n"/>
      <c r="L376" s="20" t="n"/>
      <c r="M376" s="20" t="n"/>
      <c r="N376" s="20" t="n"/>
      <c r="O376" s="20" t="n"/>
      <c r="P376" s="28" t="n"/>
      <c r="Q376" s="21">
        <f>P376</f>
        <v/>
      </c>
      <c r="R376" s="21">
        <f>Q376</f>
        <v/>
      </c>
      <c r="S376" s="18" t="n"/>
    </row>
    <row r="377" ht="18" customHeight="1" s="43">
      <c r="B377" s="59" t="inlineStr">
        <is>
          <t>NaITO/実物野菜</t>
        </is>
      </c>
      <c r="C377" s="31" t="inlineStr">
        <is>
          <t>58期</t>
        </is>
      </c>
      <c r="D377" s="8" t="n"/>
      <c r="E377" s="8" t="n"/>
      <c r="F377" s="8" t="n"/>
      <c r="G377" s="8" t="n"/>
      <c r="H377" s="8" t="n"/>
      <c r="I377" s="9" t="n"/>
      <c r="J377" s="10">
        <f>SUM(D377:I377)</f>
        <v/>
      </c>
      <c r="K377" s="11" t="n"/>
      <c r="L377" s="8" t="n"/>
      <c r="M377" s="8" t="n"/>
      <c r="N377" s="8" t="n"/>
      <c r="O377" s="8" t="n"/>
      <c r="P377" s="9" t="n"/>
      <c r="Q377" s="10">
        <f>SUM(K377:P377)</f>
        <v/>
      </c>
      <c r="R377" s="10">
        <f>J377+Q377</f>
        <v/>
      </c>
      <c r="S377" s="16" t="n"/>
    </row>
    <row r="378" ht="18" customHeight="1" s="43">
      <c r="B378" s="48" t="n"/>
      <c r="C378" s="7" t="inlineStr">
        <is>
          <t>59期</t>
        </is>
      </c>
      <c r="D378" s="12" t="n"/>
      <c r="E378" s="12" t="n"/>
      <c r="F378" s="12" t="n"/>
      <c r="G378" s="12" t="n"/>
      <c r="H378" s="12" t="n"/>
      <c r="I378" s="13" t="n"/>
      <c r="J378" s="14">
        <f>SUM(D378:I378)</f>
        <v/>
      </c>
      <c r="K378" s="15" t="n"/>
      <c r="L378" s="12" t="n"/>
      <c r="M378" s="12" t="n"/>
      <c r="N378" s="12" t="n"/>
      <c r="O378" s="12" t="n"/>
      <c r="P378" s="13" t="n"/>
      <c r="Q378" s="14">
        <f>SUM(K378:P378)</f>
        <v/>
      </c>
      <c r="R378" s="14">
        <f>J378+Q378</f>
        <v/>
      </c>
      <c r="S378" s="17" t="n"/>
    </row>
    <row r="379" ht="18" customHeight="1" s="43">
      <c r="B379" s="48" t="n"/>
      <c r="C379" s="23" t="inlineStr">
        <is>
          <t>増　減</t>
        </is>
      </c>
      <c r="D379" s="24">
        <f>D378-D377</f>
        <v/>
      </c>
      <c r="E379" s="24">
        <f>E378-E377</f>
        <v/>
      </c>
      <c r="F379" s="24">
        <f>F378-F377</f>
        <v/>
      </c>
      <c r="G379" s="24">
        <f>G378-G377</f>
        <v/>
      </c>
      <c r="H379" s="24">
        <f>H378-H377</f>
        <v/>
      </c>
      <c r="I379" s="27">
        <f>I378-I377</f>
        <v/>
      </c>
      <c r="J379" s="30">
        <f>SUM(D379:I379)</f>
        <v/>
      </c>
      <c r="K379" s="29">
        <f>K378-K377</f>
        <v/>
      </c>
      <c r="L379" s="24">
        <f>L378-L377</f>
        <v/>
      </c>
      <c r="M379" s="24">
        <f>M378-M377</f>
        <v/>
      </c>
      <c r="N379" s="24">
        <f>N378-N377</f>
        <v/>
      </c>
      <c r="O379" s="24">
        <f>O378-O377</f>
        <v/>
      </c>
      <c r="P379" s="27">
        <f>P378-P377</f>
        <v/>
      </c>
      <c r="Q379" s="30">
        <f>SUM(K379:P379)</f>
        <v/>
      </c>
      <c r="R379" s="30">
        <f>J379+Q379</f>
        <v/>
      </c>
      <c r="S379" s="17" t="n"/>
    </row>
    <row r="380" ht="18" customHeight="1" s="43" thickBot="1">
      <c r="B380" s="60" t="n"/>
      <c r="C380" s="25" t="inlineStr">
        <is>
          <t>稼働棟数</t>
        </is>
      </c>
      <c r="D380" s="20" t="n"/>
      <c r="E380" s="20" t="n"/>
      <c r="F380" s="20" t="n"/>
      <c r="G380" s="20" t="n"/>
      <c r="H380" s="20" t="n"/>
      <c r="I380" s="28" t="n"/>
      <c r="J380" s="21">
        <f>I380</f>
        <v/>
      </c>
      <c r="K380" s="22" t="n"/>
      <c r="L380" s="20" t="n"/>
      <c r="M380" s="20" t="n"/>
      <c r="N380" s="20" t="n"/>
      <c r="O380" s="20" t="n"/>
      <c r="P380" s="28" t="n"/>
      <c r="Q380" s="21">
        <f>P380</f>
        <v/>
      </c>
      <c r="R380" s="21">
        <f>Q380</f>
        <v/>
      </c>
      <c r="S380" s="18" t="n"/>
    </row>
    <row r="381" ht="18" customHeight="1" s="43">
      <c r="B381" s="59" t="inlineStr">
        <is>
          <t>NaITO/食用花</t>
        </is>
      </c>
      <c r="C381" s="31" t="inlineStr">
        <is>
          <t>58期</t>
        </is>
      </c>
      <c r="D381" s="8" t="n"/>
      <c r="E381" s="8" t="n"/>
      <c r="F381" s="8" t="n"/>
      <c r="G381" s="8" t="n"/>
      <c r="H381" s="8" t="n"/>
      <c r="I381" s="9" t="n"/>
      <c r="J381" s="10">
        <f>SUM(D381:I381)</f>
        <v/>
      </c>
      <c r="K381" s="11" t="n"/>
      <c r="L381" s="8" t="n"/>
      <c r="M381" s="8" t="n"/>
      <c r="N381" s="8" t="n"/>
      <c r="O381" s="8" t="n"/>
      <c r="P381" s="9" t="n"/>
      <c r="Q381" s="10">
        <f>SUM(K381:P381)</f>
        <v/>
      </c>
      <c r="R381" s="10">
        <f>J381+Q381</f>
        <v/>
      </c>
      <c r="S381" s="16" t="n"/>
    </row>
    <row r="382" ht="18" customHeight="1" s="43">
      <c r="B382" s="48" t="n"/>
      <c r="C382" s="7" t="inlineStr">
        <is>
          <t>59期</t>
        </is>
      </c>
      <c r="D382" s="12" t="n"/>
      <c r="E382" s="12" t="n"/>
      <c r="F382" s="12" t="n"/>
      <c r="G382" s="12" t="n"/>
      <c r="H382" s="12" t="n"/>
      <c r="I382" s="13" t="n"/>
      <c r="J382" s="14">
        <f>SUM(D382:I382)</f>
        <v/>
      </c>
      <c r="K382" s="15" t="n"/>
      <c r="L382" s="12" t="n"/>
      <c r="M382" s="12" t="n"/>
      <c r="N382" s="12" t="n"/>
      <c r="O382" s="12" t="n"/>
      <c r="P382" s="13" t="n"/>
      <c r="Q382" s="14">
        <f>SUM(K382:P382)</f>
        <v/>
      </c>
      <c r="R382" s="14">
        <f>J382+Q382</f>
        <v/>
      </c>
      <c r="S382" s="17" t="n"/>
    </row>
    <row r="383" ht="18" customHeight="1" s="43">
      <c r="B383" s="48" t="n"/>
      <c r="C383" s="23" t="inlineStr">
        <is>
          <t>増　減</t>
        </is>
      </c>
      <c r="D383" s="24">
        <f>D382-D381</f>
        <v/>
      </c>
      <c r="E383" s="24">
        <f>E382-E381</f>
        <v/>
      </c>
      <c r="F383" s="24">
        <f>F382-F381</f>
        <v/>
      </c>
      <c r="G383" s="24">
        <f>G382-G381</f>
        <v/>
      </c>
      <c r="H383" s="24">
        <f>H382-H381</f>
        <v/>
      </c>
      <c r="I383" s="27">
        <f>I382-I381</f>
        <v/>
      </c>
      <c r="J383" s="30">
        <f>SUM(D383:I383)</f>
        <v/>
      </c>
      <c r="K383" s="29">
        <f>K382-K381</f>
        <v/>
      </c>
      <c r="L383" s="24">
        <f>L382-L381</f>
        <v/>
      </c>
      <c r="M383" s="24">
        <f>M382-M381</f>
        <v/>
      </c>
      <c r="N383" s="24">
        <f>N382-N381</f>
        <v/>
      </c>
      <c r="O383" s="24">
        <f>O382-O381</f>
        <v/>
      </c>
      <c r="P383" s="27">
        <f>P382-P381</f>
        <v/>
      </c>
      <c r="Q383" s="30">
        <f>SUM(K383:P383)</f>
        <v/>
      </c>
      <c r="R383" s="30">
        <f>J383+Q383</f>
        <v/>
      </c>
      <c r="S383" s="17" t="n"/>
    </row>
    <row r="384" ht="18" customHeight="1" s="43" thickBot="1">
      <c r="B384" s="60" t="n"/>
      <c r="C384" s="25" t="inlineStr">
        <is>
          <t>稼働棟数</t>
        </is>
      </c>
      <c r="D384" s="20" t="n"/>
      <c r="E384" s="20" t="n"/>
      <c r="F384" s="20" t="n"/>
      <c r="G384" s="20" t="n"/>
      <c r="H384" s="20" t="n"/>
      <c r="I384" s="28" t="n"/>
      <c r="J384" s="21">
        <f>I384</f>
        <v/>
      </c>
      <c r="K384" s="22" t="n"/>
      <c r="L384" s="20" t="n"/>
      <c r="M384" s="20" t="n"/>
      <c r="N384" s="20" t="n"/>
      <c r="O384" s="20" t="n"/>
      <c r="P384" s="28" t="n"/>
      <c r="Q384" s="21">
        <f>P384</f>
        <v/>
      </c>
      <c r="R384" s="21">
        <f>Q384</f>
        <v/>
      </c>
      <c r="S384" s="18" t="n"/>
    </row>
    <row r="385" ht="18" customHeight="1" s="43">
      <c r="B385" s="59" t="inlineStr">
        <is>
          <t>NaITO/葉物野菜</t>
        </is>
      </c>
      <c r="C385" s="31" t="inlineStr">
        <is>
          <t>58期</t>
        </is>
      </c>
      <c r="D385" s="8" t="n"/>
      <c r="E385" s="8" t="n"/>
      <c r="F385" s="8" t="n"/>
      <c r="G385" s="8" t="n"/>
      <c r="H385" s="8" t="n"/>
      <c r="I385" s="9" t="n"/>
      <c r="J385" s="10">
        <f>SUM(D385:I385)</f>
        <v/>
      </c>
      <c r="K385" s="11" t="n"/>
      <c r="L385" s="8" t="n"/>
      <c r="M385" s="8" t="n"/>
      <c r="N385" s="8" t="n"/>
      <c r="O385" s="8" t="n"/>
      <c r="P385" s="9" t="n"/>
      <c r="Q385" s="10">
        <f>SUM(K385:P385)</f>
        <v/>
      </c>
      <c r="R385" s="10">
        <f>J385+Q385</f>
        <v/>
      </c>
      <c r="S385" s="16" t="n"/>
    </row>
    <row r="386" ht="18" customHeight="1" s="43">
      <c r="B386" s="48" t="n"/>
      <c r="C386" s="7" t="inlineStr">
        <is>
          <t>59期</t>
        </is>
      </c>
      <c r="D386" s="12" t="n"/>
      <c r="E386" s="12" t="n"/>
      <c r="F386" s="12" t="n"/>
      <c r="G386" s="12" t="n"/>
      <c r="H386" s="12" t="n"/>
      <c r="I386" s="13" t="n"/>
      <c r="J386" s="14">
        <f>SUM(D386:I386)</f>
        <v/>
      </c>
      <c r="K386" s="15" t="n"/>
      <c r="L386" s="12" t="n"/>
      <c r="M386" s="12" t="n"/>
      <c r="N386" s="12" t="n"/>
      <c r="O386" s="12" t="n"/>
      <c r="P386" s="13" t="n"/>
      <c r="Q386" s="14">
        <f>SUM(K386:P386)</f>
        <v/>
      </c>
      <c r="R386" s="14">
        <f>J386+Q386</f>
        <v/>
      </c>
      <c r="S386" s="17" t="n"/>
    </row>
    <row r="387" ht="18" customHeight="1" s="43">
      <c r="B387" s="48" t="n"/>
      <c r="C387" s="23" t="inlineStr">
        <is>
          <t>増　減</t>
        </is>
      </c>
      <c r="D387" s="24">
        <f>D386-D385</f>
        <v/>
      </c>
      <c r="E387" s="24">
        <f>E386-E385</f>
        <v/>
      </c>
      <c r="F387" s="24">
        <f>F386-F385</f>
        <v/>
      </c>
      <c r="G387" s="24">
        <f>G386-G385</f>
        <v/>
      </c>
      <c r="H387" s="24">
        <f>H386-H385</f>
        <v/>
      </c>
      <c r="I387" s="27">
        <f>I386-I385</f>
        <v/>
      </c>
      <c r="J387" s="30">
        <f>SUM(D387:I387)</f>
        <v/>
      </c>
      <c r="K387" s="29">
        <f>K386-K385</f>
        <v/>
      </c>
      <c r="L387" s="24">
        <f>L386-L385</f>
        <v/>
      </c>
      <c r="M387" s="24">
        <f>M386-M385</f>
        <v/>
      </c>
      <c r="N387" s="24">
        <f>N386-N385</f>
        <v/>
      </c>
      <c r="O387" s="24">
        <f>O386-O385</f>
        <v/>
      </c>
      <c r="P387" s="27">
        <f>P386-P385</f>
        <v/>
      </c>
      <c r="Q387" s="30">
        <f>SUM(K387:P387)</f>
        <v/>
      </c>
      <c r="R387" s="30">
        <f>J387+Q387</f>
        <v/>
      </c>
      <c r="S387" s="17" t="n"/>
    </row>
    <row r="388" ht="18" customHeight="1" s="43" thickBot="1">
      <c r="B388" s="60" t="n"/>
      <c r="C388" s="25" t="inlineStr">
        <is>
          <t>稼働棟数</t>
        </is>
      </c>
      <c r="D388" s="20" t="n"/>
      <c r="E388" s="20" t="n"/>
      <c r="F388" s="20" t="n"/>
      <c r="G388" s="20" t="n"/>
      <c r="H388" s="20" t="n"/>
      <c r="I388" s="28" t="n"/>
      <c r="J388" s="21">
        <f>I388</f>
        <v/>
      </c>
      <c r="K388" s="22" t="n"/>
      <c r="L388" s="20" t="n"/>
      <c r="M388" s="20" t="n"/>
      <c r="N388" s="20" t="n"/>
      <c r="O388" s="20" t="n"/>
      <c r="P388" s="28" t="n"/>
      <c r="Q388" s="21">
        <f>P388</f>
        <v/>
      </c>
      <c r="R388" s="21">
        <f>Q388</f>
        <v/>
      </c>
      <c r="S388" s="18" t="n"/>
    </row>
    <row r="389" ht="18" customHeight="1" s="43">
      <c r="B389" s="59" t="inlineStr">
        <is>
          <t>バリュエンス/イチゴ</t>
        </is>
      </c>
      <c r="C389" s="31" t="inlineStr">
        <is>
          <t>58期</t>
        </is>
      </c>
      <c r="D389" s="8" t="n"/>
      <c r="E389" s="8" t="n"/>
      <c r="F389" s="8" t="n"/>
      <c r="G389" s="8" t="n">
        <v>1.49</v>
      </c>
      <c r="H389" s="8" t="n"/>
      <c r="I389" s="9" t="n"/>
      <c r="J389" s="10" t="n">
        <v>1.49</v>
      </c>
      <c r="K389" s="11" t="n"/>
      <c r="L389" s="8" t="n"/>
      <c r="M389" s="8" t="n"/>
      <c r="N389" s="8" t="n"/>
      <c r="O389" s="8" t="n"/>
      <c r="P389" s="9" t="n"/>
      <c r="Q389" s="10" t="n">
        <v>0</v>
      </c>
      <c r="R389" s="10" t="n">
        <v>1.49</v>
      </c>
      <c r="S389" s="16" t="n"/>
    </row>
    <row r="390" ht="18" customHeight="1" s="43">
      <c r="B390" s="48" t="n"/>
      <c r="C390" s="7" t="inlineStr">
        <is>
          <t>59期</t>
        </is>
      </c>
      <c r="D390" s="12" t="n"/>
      <c r="E390" s="12" t="n"/>
      <c r="F390" s="12" t="n"/>
      <c r="G390" s="12" t="n"/>
      <c r="H390" s="12" t="n"/>
      <c r="I390" s="13" t="n"/>
      <c r="J390" s="14">
        <f>SUM(D390:I390)</f>
        <v/>
      </c>
      <c r="K390" s="15" t="n"/>
      <c r="L390" s="12" t="n"/>
      <c r="M390" s="12" t="n"/>
      <c r="N390" s="12" t="n"/>
      <c r="O390" s="12" t="n"/>
      <c r="P390" s="13" t="n"/>
      <c r="Q390" s="14">
        <f>SUM(K390:P390)</f>
        <v/>
      </c>
      <c r="R390" s="14">
        <f>J390+Q390</f>
        <v/>
      </c>
      <c r="S390" s="17" t="n"/>
    </row>
    <row r="391" ht="18" customHeight="1" s="43">
      <c r="B391" s="48" t="n"/>
      <c r="C391" s="23" t="inlineStr">
        <is>
          <t>増　減</t>
        </is>
      </c>
      <c r="D391" s="24">
        <f>D390-D389</f>
        <v/>
      </c>
      <c r="E391" s="24">
        <f>E390-E389</f>
        <v/>
      </c>
      <c r="F391" s="24">
        <f>F390-F389</f>
        <v/>
      </c>
      <c r="G391" s="24">
        <f>G390-G389</f>
        <v/>
      </c>
      <c r="H391" s="24">
        <f>H390-H389</f>
        <v/>
      </c>
      <c r="I391" s="27">
        <f>I390-I389</f>
        <v/>
      </c>
      <c r="J391" s="30">
        <f>SUM(D391:I391)</f>
        <v/>
      </c>
      <c r="K391" s="29">
        <f>K390-K389</f>
        <v/>
      </c>
      <c r="L391" s="24">
        <f>L390-L389</f>
        <v/>
      </c>
      <c r="M391" s="24">
        <f>M390-M389</f>
        <v/>
      </c>
      <c r="N391" s="24">
        <f>N390-N389</f>
        <v/>
      </c>
      <c r="O391" s="24">
        <f>O390-O389</f>
        <v/>
      </c>
      <c r="P391" s="27">
        <f>P390-P389</f>
        <v/>
      </c>
      <c r="Q391" s="30">
        <f>SUM(K391:P391)</f>
        <v/>
      </c>
      <c r="R391" s="30">
        <f>J391+Q391</f>
        <v/>
      </c>
      <c r="S391" s="17" t="n"/>
    </row>
    <row r="392" ht="18" customHeight="1" s="43" thickBot="1">
      <c r="B392" s="60" t="n"/>
      <c r="C392" s="25" t="inlineStr">
        <is>
          <t>稼働棟数</t>
        </is>
      </c>
      <c r="D392" s="20" t="n"/>
      <c r="E392" s="20" t="n"/>
      <c r="F392" s="20" t="n"/>
      <c r="G392" s="20" t="n"/>
      <c r="H392" s="20" t="n"/>
      <c r="I392" s="28" t="n"/>
      <c r="J392" s="21">
        <f>I392</f>
        <v/>
      </c>
      <c r="K392" s="22" t="n"/>
      <c r="L392" s="20" t="n"/>
      <c r="M392" s="20" t="n"/>
      <c r="N392" s="20" t="n"/>
      <c r="O392" s="20" t="n"/>
      <c r="P392" s="28" t="n"/>
      <c r="Q392" s="21">
        <f>P392</f>
        <v/>
      </c>
      <c r="R392" s="21">
        <f>Q392</f>
        <v/>
      </c>
      <c r="S392" s="18" t="n"/>
    </row>
    <row r="393" ht="18" customHeight="1" s="43">
      <c r="B393" s="59" t="inlineStr">
        <is>
          <t>バリュエンス/トマト</t>
        </is>
      </c>
      <c r="C393" s="31" t="inlineStr">
        <is>
          <t>58期</t>
        </is>
      </c>
      <c r="D393" s="8" t="n"/>
      <c r="E393" s="8" t="n"/>
      <c r="F393" s="8" t="n"/>
      <c r="G393" s="8" t="n"/>
      <c r="H393" s="8" t="n"/>
      <c r="I393" s="9" t="n"/>
      <c r="J393" s="10">
        <f>SUM(D393:I393)</f>
        <v/>
      </c>
      <c r="K393" s="11" t="n"/>
      <c r="L393" s="8" t="n"/>
      <c r="M393" s="8" t="n"/>
      <c r="N393" s="8" t="n"/>
      <c r="O393" s="8" t="n"/>
      <c r="P393" s="9" t="n"/>
      <c r="Q393" s="10">
        <f>SUM(K393:P393)</f>
        <v/>
      </c>
      <c r="R393" s="10">
        <f>J393+Q393</f>
        <v/>
      </c>
      <c r="S393" s="16" t="n"/>
    </row>
    <row r="394" ht="18" customHeight="1" s="43">
      <c r="B394" s="48" t="n"/>
      <c r="C394" s="7" t="inlineStr">
        <is>
          <t>59期</t>
        </is>
      </c>
      <c r="D394" s="12" t="n"/>
      <c r="E394" s="12" t="n"/>
      <c r="F394" s="12" t="n"/>
      <c r="G394" s="12" t="n"/>
      <c r="H394" s="12" t="n"/>
      <c r="I394" s="13" t="n"/>
      <c r="J394" s="14">
        <f>SUM(D394:I394)</f>
        <v/>
      </c>
      <c r="K394" s="15" t="n"/>
      <c r="L394" s="12" t="n"/>
      <c r="M394" s="12" t="n"/>
      <c r="N394" s="12" t="n"/>
      <c r="O394" s="12" t="n"/>
      <c r="P394" s="13" t="n"/>
      <c r="Q394" s="14">
        <f>SUM(K394:P394)</f>
        <v/>
      </c>
      <c r="R394" s="14">
        <f>J394+Q394</f>
        <v/>
      </c>
      <c r="S394" s="17" t="n"/>
    </row>
    <row r="395" ht="18" customHeight="1" s="43">
      <c r="B395" s="48" t="n"/>
      <c r="C395" s="23" t="inlineStr">
        <is>
          <t>増　減</t>
        </is>
      </c>
      <c r="D395" s="24">
        <f>D394-D393</f>
        <v/>
      </c>
      <c r="E395" s="24">
        <f>E394-E393</f>
        <v/>
      </c>
      <c r="F395" s="24">
        <f>F394-F393</f>
        <v/>
      </c>
      <c r="G395" s="24">
        <f>G394-G393</f>
        <v/>
      </c>
      <c r="H395" s="24">
        <f>H394-H393</f>
        <v/>
      </c>
      <c r="I395" s="27">
        <f>I394-I393</f>
        <v/>
      </c>
      <c r="J395" s="30">
        <f>SUM(D395:I395)</f>
        <v/>
      </c>
      <c r="K395" s="29">
        <f>K394-K393</f>
        <v/>
      </c>
      <c r="L395" s="24">
        <f>L394-L393</f>
        <v/>
      </c>
      <c r="M395" s="24">
        <f>M394-M393</f>
        <v/>
      </c>
      <c r="N395" s="24">
        <f>N394-N393</f>
        <v/>
      </c>
      <c r="O395" s="24">
        <f>O394-O393</f>
        <v/>
      </c>
      <c r="P395" s="27">
        <f>P394-P393</f>
        <v/>
      </c>
      <c r="Q395" s="30">
        <f>SUM(K395:P395)</f>
        <v/>
      </c>
      <c r="R395" s="30">
        <f>J395+Q395</f>
        <v/>
      </c>
      <c r="S395" s="17" t="n"/>
    </row>
    <row r="396" ht="18" customHeight="1" s="43" thickBot="1">
      <c r="B396" s="60" t="n"/>
      <c r="C396" s="25" t="inlineStr">
        <is>
          <t>稼働棟数</t>
        </is>
      </c>
      <c r="D396" s="20" t="n"/>
      <c r="E396" s="20" t="n"/>
      <c r="F396" s="20" t="n"/>
      <c r="G396" s="20" t="n"/>
      <c r="H396" s="20" t="n"/>
      <c r="I396" s="28" t="n"/>
      <c r="J396" s="21">
        <f>I396</f>
        <v/>
      </c>
      <c r="K396" s="22" t="n"/>
      <c r="L396" s="20" t="n"/>
      <c r="M396" s="20" t="n"/>
      <c r="N396" s="20" t="n"/>
      <c r="O396" s="20" t="n"/>
      <c r="P396" s="28" t="n"/>
      <c r="Q396" s="21">
        <f>P396</f>
        <v/>
      </c>
      <c r="R396" s="21">
        <f>Q396</f>
        <v/>
      </c>
      <c r="S396" s="18" t="n"/>
    </row>
    <row r="397" ht="18" customHeight="1" s="43">
      <c r="B397" s="59" t="inlineStr">
        <is>
          <t>バリュエンス/ナス</t>
        </is>
      </c>
      <c r="C397" s="31" t="inlineStr">
        <is>
          <t>58期</t>
        </is>
      </c>
      <c r="D397" s="8" t="n"/>
      <c r="E397" s="8" t="n"/>
      <c r="F397" s="8" t="n"/>
      <c r="G397" s="8" t="n"/>
      <c r="H397" s="8" t="n"/>
      <c r="I397" s="9" t="n"/>
      <c r="J397" s="10">
        <f>SUM(D397:I397)</f>
        <v/>
      </c>
      <c r="K397" s="11" t="n"/>
      <c r="L397" s="8" t="n"/>
      <c r="M397" s="8" t="n"/>
      <c r="N397" s="8" t="n"/>
      <c r="O397" s="8" t="n"/>
      <c r="P397" s="9" t="n"/>
      <c r="Q397" s="10">
        <f>SUM(K397:P397)</f>
        <v/>
      </c>
      <c r="R397" s="10">
        <f>J397+Q397</f>
        <v/>
      </c>
      <c r="S397" s="16" t="n"/>
    </row>
    <row r="398" ht="18" customHeight="1" s="43">
      <c r="B398" s="48" t="n"/>
      <c r="C398" s="7" t="inlineStr">
        <is>
          <t>59期</t>
        </is>
      </c>
      <c r="D398" s="12" t="n"/>
      <c r="E398" s="12" t="n"/>
      <c r="F398" s="12" t="n"/>
      <c r="G398" s="12" t="n"/>
      <c r="H398" s="12" t="n"/>
      <c r="I398" s="13" t="n"/>
      <c r="J398" s="14">
        <f>SUM(D398:I398)</f>
        <v/>
      </c>
      <c r="K398" s="15" t="n"/>
      <c r="L398" s="12" t="n"/>
      <c r="M398" s="12" t="n"/>
      <c r="N398" s="12" t="n"/>
      <c r="O398" s="12" t="n"/>
      <c r="P398" s="13" t="n"/>
      <c r="Q398" s="14">
        <f>SUM(K398:P398)</f>
        <v/>
      </c>
      <c r="R398" s="14">
        <f>J398+Q398</f>
        <v/>
      </c>
      <c r="S398" s="17" t="n"/>
    </row>
    <row r="399" ht="18" customHeight="1" s="43">
      <c r="B399" s="48" t="n"/>
      <c r="C399" s="23" t="inlineStr">
        <is>
          <t>増　減</t>
        </is>
      </c>
      <c r="D399" s="24">
        <f>D398-D397</f>
        <v/>
      </c>
      <c r="E399" s="24">
        <f>E398-E397</f>
        <v/>
      </c>
      <c r="F399" s="24">
        <f>F398-F397</f>
        <v/>
      </c>
      <c r="G399" s="24">
        <f>G398-G397</f>
        <v/>
      </c>
      <c r="H399" s="24">
        <f>H398-H397</f>
        <v/>
      </c>
      <c r="I399" s="27">
        <f>I398-I397</f>
        <v/>
      </c>
      <c r="J399" s="30">
        <f>SUM(D399:I399)</f>
        <v/>
      </c>
      <c r="K399" s="29">
        <f>K398-K397</f>
        <v/>
      </c>
      <c r="L399" s="24">
        <f>L398-L397</f>
        <v/>
      </c>
      <c r="M399" s="24">
        <f>M398-M397</f>
        <v/>
      </c>
      <c r="N399" s="24">
        <f>N398-N397</f>
        <v/>
      </c>
      <c r="O399" s="24">
        <f>O398-O397</f>
        <v/>
      </c>
      <c r="P399" s="27">
        <f>P398-P397</f>
        <v/>
      </c>
      <c r="Q399" s="30">
        <f>SUM(K399:P399)</f>
        <v/>
      </c>
      <c r="R399" s="30">
        <f>J399+Q399</f>
        <v/>
      </c>
      <c r="S399" s="17" t="n"/>
    </row>
    <row r="400" ht="18" customHeight="1" s="43" thickBot="1">
      <c r="B400" s="60" t="n"/>
      <c r="C400" s="25" t="inlineStr">
        <is>
          <t>稼働棟数</t>
        </is>
      </c>
      <c r="D400" s="20" t="n"/>
      <c r="E400" s="20" t="n"/>
      <c r="F400" s="20" t="n"/>
      <c r="G400" s="20" t="n"/>
      <c r="H400" s="20" t="n"/>
      <c r="I400" s="28" t="n"/>
      <c r="J400" s="21">
        <f>I400</f>
        <v/>
      </c>
      <c r="K400" s="22" t="n"/>
      <c r="L400" s="20" t="n"/>
      <c r="M400" s="20" t="n"/>
      <c r="N400" s="20" t="n"/>
      <c r="O400" s="20" t="n"/>
      <c r="P400" s="28" t="n"/>
      <c r="Q400" s="21">
        <f>P400</f>
        <v/>
      </c>
      <c r="R400" s="21">
        <f>Q400</f>
        <v/>
      </c>
      <c r="S400" s="18" t="n"/>
    </row>
    <row r="401" ht="18" customHeight="1" s="43">
      <c r="B401" s="59" t="inlineStr">
        <is>
          <t>バリュエンス/ハーブ</t>
        </is>
      </c>
      <c r="C401" s="31" t="inlineStr">
        <is>
          <t>58期</t>
        </is>
      </c>
      <c r="D401" s="8" t="n"/>
      <c r="E401" s="8" t="n"/>
      <c r="F401" s="8" t="n"/>
      <c r="G401" s="8" t="n"/>
      <c r="H401" s="8" t="n"/>
      <c r="I401" s="9" t="n"/>
      <c r="J401" s="10">
        <f>SUM(D401:I401)</f>
        <v/>
      </c>
      <c r="K401" s="11" t="n"/>
      <c r="L401" s="8" t="n"/>
      <c r="M401" s="8" t="n"/>
      <c r="N401" s="8" t="n"/>
      <c r="O401" s="8" t="n"/>
      <c r="P401" s="9" t="n"/>
      <c r="Q401" s="10">
        <f>SUM(K401:P401)</f>
        <v/>
      </c>
      <c r="R401" s="10">
        <f>J401+Q401</f>
        <v/>
      </c>
      <c r="S401" s="16" t="n"/>
    </row>
    <row r="402" ht="18" customHeight="1" s="43">
      <c r="B402" s="48" t="n"/>
      <c r="C402" s="7" t="inlineStr">
        <is>
          <t>59期</t>
        </is>
      </c>
      <c r="D402" s="12" t="n"/>
      <c r="E402" s="12" t="n"/>
      <c r="F402" s="12" t="n"/>
      <c r="G402" s="12" t="n"/>
      <c r="H402" s="12" t="n"/>
      <c r="I402" s="13" t="n"/>
      <c r="J402" s="14">
        <f>SUM(D402:I402)</f>
        <v/>
      </c>
      <c r="K402" s="15" t="n"/>
      <c r="L402" s="12" t="n"/>
      <c r="M402" s="12" t="n"/>
      <c r="N402" s="12" t="n"/>
      <c r="O402" s="12" t="n"/>
      <c r="P402" s="13" t="n"/>
      <c r="Q402" s="14">
        <f>SUM(K402:P402)</f>
        <v/>
      </c>
      <c r="R402" s="14">
        <f>J402+Q402</f>
        <v/>
      </c>
      <c r="S402" s="17" t="n"/>
    </row>
    <row r="403" ht="18" customHeight="1" s="43">
      <c r="B403" s="48" t="n"/>
      <c r="C403" s="23" t="inlineStr">
        <is>
          <t>増　減</t>
        </is>
      </c>
      <c r="D403" s="24">
        <f>D402-D401</f>
        <v/>
      </c>
      <c r="E403" s="24">
        <f>E402-E401</f>
        <v/>
      </c>
      <c r="F403" s="24">
        <f>F402-F401</f>
        <v/>
      </c>
      <c r="G403" s="24">
        <f>G402-G401</f>
        <v/>
      </c>
      <c r="H403" s="24">
        <f>H402-H401</f>
        <v/>
      </c>
      <c r="I403" s="27">
        <f>I402-I401</f>
        <v/>
      </c>
      <c r="J403" s="30">
        <f>SUM(D403:I403)</f>
        <v/>
      </c>
      <c r="K403" s="29">
        <f>K402-K401</f>
        <v/>
      </c>
      <c r="L403" s="24">
        <f>L402-L401</f>
        <v/>
      </c>
      <c r="M403" s="24">
        <f>M402-M401</f>
        <v/>
      </c>
      <c r="N403" s="24">
        <f>N402-N401</f>
        <v/>
      </c>
      <c r="O403" s="24">
        <f>O402-O401</f>
        <v/>
      </c>
      <c r="P403" s="27">
        <f>P402-P401</f>
        <v/>
      </c>
      <c r="Q403" s="30">
        <f>SUM(K403:P403)</f>
        <v/>
      </c>
      <c r="R403" s="30">
        <f>J403+Q403</f>
        <v/>
      </c>
      <c r="S403" s="17" t="n"/>
    </row>
    <row r="404" ht="18" customHeight="1" s="43" thickBot="1">
      <c r="B404" s="60" t="n"/>
      <c r="C404" s="25" t="inlineStr">
        <is>
          <t>稼働棟数</t>
        </is>
      </c>
      <c r="D404" s="20" t="n"/>
      <c r="E404" s="20" t="n"/>
      <c r="F404" s="20" t="n"/>
      <c r="G404" s="20" t="n"/>
      <c r="H404" s="20" t="n"/>
      <c r="I404" s="28" t="n"/>
      <c r="J404" s="21">
        <f>I404</f>
        <v/>
      </c>
      <c r="K404" s="22" t="n"/>
      <c r="L404" s="20" t="n"/>
      <c r="M404" s="20" t="n"/>
      <c r="N404" s="20" t="n"/>
      <c r="O404" s="20" t="n"/>
      <c r="P404" s="28" t="n"/>
      <c r="Q404" s="21">
        <f>P404</f>
        <v/>
      </c>
      <c r="R404" s="21">
        <f>Q404</f>
        <v/>
      </c>
      <c r="S404" s="18" t="n"/>
    </row>
    <row r="405" ht="18" customHeight="1" s="43">
      <c r="B405" s="59" t="inlineStr">
        <is>
          <t>バリュエンス/パプリカ</t>
        </is>
      </c>
      <c r="C405" s="31" t="inlineStr">
        <is>
          <t>58期</t>
        </is>
      </c>
      <c r="D405" s="8" t="n"/>
      <c r="E405" s="8" t="n"/>
      <c r="F405" s="8" t="n"/>
      <c r="G405" s="8" t="n"/>
      <c r="H405" s="8" t="n"/>
      <c r="I405" s="9" t="n"/>
      <c r="J405" s="10">
        <f>SUM(D405:I405)</f>
        <v/>
      </c>
      <c r="K405" s="11" t="n"/>
      <c r="L405" s="8" t="n"/>
      <c r="M405" s="8" t="n"/>
      <c r="N405" s="8" t="n"/>
      <c r="O405" s="8" t="n"/>
      <c r="P405" s="9" t="n"/>
      <c r="Q405" s="10">
        <f>SUM(K405:P405)</f>
        <v/>
      </c>
      <c r="R405" s="10">
        <f>J405+Q405</f>
        <v/>
      </c>
      <c r="S405" s="16" t="n"/>
    </row>
    <row r="406" ht="18" customHeight="1" s="43">
      <c r="B406" s="48" t="n"/>
      <c r="C406" s="7" t="inlineStr">
        <is>
          <t>59期</t>
        </is>
      </c>
      <c r="D406" s="12" t="n"/>
      <c r="E406" s="12" t="n"/>
      <c r="F406" s="12" t="n"/>
      <c r="G406" s="12" t="n"/>
      <c r="H406" s="12" t="n"/>
      <c r="I406" s="13" t="n"/>
      <c r="J406" s="14">
        <f>SUM(D406:I406)</f>
        <v/>
      </c>
      <c r="K406" s="15" t="n"/>
      <c r="L406" s="12" t="n"/>
      <c r="M406" s="12" t="n"/>
      <c r="N406" s="12" t="n"/>
      <c r="O406" s="12" t="n"/>
      <c r="P406" s="13" t="n"/>
      <c r="Q406" s="14">
        <f>SUM(K406:P406)</f>
        <v/>
      </c>
      <c r="R406" s="14">
        <f>J406+Q406</f>
        <v/>
      </c>
      <c r="S406" s="17" t="n"/>
    </row>
    <row r="407" ht="18" customHeight="1" s="43">
      <c r="B407" s="48" t="n"/>
      <c r="C407" s="23" t="inlineStr">
        <is>
          <t>増　減</t>
        </is>
      </c>
      <c r="D407" s="24">
        <f>D406-D405</f>
        <v/>
      </c>
      <c r="E407" s="24">
        <f>E406-E405</f>
        <v/>
      </c>
      <c r="F407" s="24">
        <f>F406-F405</f>
        <v/>
      </c>
      <c r="G407" s="24">
        <f>G406-G405</f>
        <v/>
      </c>
      <c r="H407" s="24">
        <f>H406-H405</f>
        <v/>
      </c>
      <c r="I407" s="27">
        <f>I406-I405</f>
        <v/>
      </c>
      <c r="J407" s="30">
        <f>SUM(D407:I407)</f>
        <v/>
      </c>
      <c r="K407" s="29">
        <f>K406-K405</f>
        <v/>
      </c>
      <c r="L407" s="24">
        <f>L406-L405</f>
        <v/>
      </c>
      <c r="M407" s="24">
        <f>M406-M405</f>
        <v/>
      </c>
      <c r="N407" s="24">
        <f>N406-N405</f>
        <v/>
      </c>
      <c r="O407" s="24">
        <f>O406-O405</f>
        <v/>
      </c>
      <c r="P407" s="27">
        <f>P406-P405</f>
        <v/>
      </c>
      <c r="Q407" s="30">
        <f>SUM(K407:P407)</f>
        <v/>
      </c>
      <c r="R407" s="30">
        <f>J407+Q407</f>
        <v/>
      </c>
      <c r="S407" s="17" t="n"/>
    </row>
    <row r="408" ht="18" customHeight="1" s="43" thickBot="1">
      <c r="B408" s="60" t="n"/>
      <c r="C408" s="25" t="inlineStr">
        <is>
          <t>稼働棟数</t>
        </is>
      </c>
      <c r="D408" s="20" t="n"/>
      <c r="E408" s="20" t="n"/>
      <c r="F408" s="20" t="n"/>
      <c r="G408" s="20" t="n"/>
      <c r="H408" s="20" t="n"/>
      <c r="I408" s="28" t="n"/>
      <c r="J408" s="21">
        <f>I408</f>
        <v/>
      </c>
      <c r="K408" s="22" t="n"/>
      <c r="L408" s="20" t="n"/>
      <c r="M408" s="20" t="n"/>
      <c r="N408" s="20" t="n"/>
      <c r="O408" s="20" t="n"/>
      <c r="P408" s="28" t="n"/>
      <c r="Q408" s="21">
        <f>P408</f>
        <v/>
      </c>
      <c r="R408" s="21">
        <f>Q408</f>
        <v/>
      </c>
      <c r="S408" s="18" t="n"/>
    </row>
    <row r="409" ht="18" customHeight="1" s="43">
      <c r="B409" s="59" t="inlineStr">
        <is>
          <t>バリュエンス/ピーマン</t>
        </is>
      </c>
      <c r="C409" s="31" t="inlineStr">
        <is>
          <t>58期</t>
        </is>
      </c>
      <c r="D409" s="8" t="n"/>
      <c r="E409" s="8" t="n"/>
      <c r="F409" s="8" t="n"/>
      <c r="G409" s="8" t="n"/>
      <c r="H409" s="8" t="n"/>
      <c r="I409" s="9" t="n"/>
      <c r="J409" s="10">
        <f>SUM(D409:I409)</f>
        <v/>
      </c>
      <c r="K409" s="11" t="n"/>
      <c r="L409" s="8" t="n"/>
      <c r="M409" s="8" t="n"/>
      <c r="N409" s="8" t="n"/>
      <c r="O409" s="8" t="n"/>
      <c r="P409" s="9" t="n"/>
      <c r="Q409" s="10">
        <f>SUM(K409:P409)</f>
        <v/>
      </c>
      <c r="R409" s="10">
        <f>J409+Q409</f>
        <v/>
      </c>
      <c r="S409" s="16" t="n"/>
    </row>
    <row r="410" ht="18" customHeight="1" s="43">
      <c r="B410" s="48" t="n"/>
      <c r="C410" s="7" t="inlineStr">
        <is>
          <t>59期</t>
        </is>
      </c>
      <c r="D410" s="12" t="n"/>
      <c r="E410" s="12" t="n"/>
      <c r="F410" s="12" t="n"/>
      <c r="G410" s="12" t="n"/>
      <c r="H410" s="12" t="n"/>
      <c r="I410" s="13" t="n"/>
      <c r="J410" s="14">
        <f>SUM(D410:I410)</f>
        <v/>
      </c>
      <c r="K410" s="15" t="n"/>
      <c r="L410" s="12" t="n"/>
      <c r="M410" s="12" t="n"/>
      <c r="N410" s="12" t="n"/>
      <c r="O410" s="12" t="n"/>
      <c r="P410" s="13" t="n"/>
      <c r="Q410" s="14">
        <f>SUM(K410:P410)</f>
        <v/>
      </c>
      <c r="R410" s="14">
        <f>J410+Q410</f>
        <v/>
      </c>
      <c r="S410" s="17" t="n"/>
    </row>
    <row r="411" ht="18" customHeight="1" s="43">
      <c r="B411" s="48" t="n"/>
      <c r="C411" s="23" t="inlineStr">
        <is>
          <t>増　減</t>
        </is>
      </c>
      <c r="D411" s="24">
        <f>D410-D409</f>
        <v/>
      </c>
      <c r="E411" s="24">
        <f>E410-E409</f>
        <v/>
      </c>
      <c r="F411" s="24">
        <f>F410-F409</f>
        <v/>
      </c>
      <c r="G411" s="24">
        <f>G410-G409</f>
        <v/>
      </c>
      <c r="H411" s="24">
        <f>H410-H409</f>
        <v/>
      </c>
      <c r="I411" s="27">
        <f>I410-I409</f>
        <v/>
      </c>
      <c r="J411" s="30">
        <f>SUM(D411:I411)</f>
        <v/>
      </c>
      <c r="K411" s="29">
        <f>K410-K409</f>
        <v/>
      </c>
      <c r="L411" s="24">
        <f>L410-L409</f>
        <v/>
      </c>
      <c r="M411" s="24">
        <f>M410-M409</f>
        <v/>
      </c>
      <c r="N411" s="24">
        <f>N410-N409</f>
        <v/>
      </c>
      <c r="O411" s="24">
        <f>O410-O409</f>
        <v/>
      </c>
      <c r="P411" s="27">
        <f>P410-P409</f>
        <v/>
      </c>
      <c r="Q411" s="30">
        <f>SUM(K411:P411)</f>
        <v/>
      </c>
      <c r="R411" s="30">
        <f>J411+Q411</f>
        <v/>
      </c>
      <c r="S411" s="17" t="n"/>
    </row>
    <row r="412" ht="18" customHeight="1" s="43" thickBot="1">
      <c r="B412" s="60" t="n"/>
      <c r="C412" s="25" t="inlineStr">
        <is>
          <t>稼働棟数</t>
        </is>
      </c>
      <c r="D412" s="20" t="n"/>
      <c r="E412" s="20" t="n"/>
      <c r="F412" s="20" t="n"/>
      <c r="G412" s="20" t="n"/>
      <c r="H412" s="20" t="n"/>
      <c r="I412" s="28" t="n"/>
      <c r="J412" s="21">
        <f>I412</f>
        <v/>
      </c>
      <c r="K412" s="22" t="n"/>
      <c r="L412" s="20" t="n"/>
      <c r="M412" s="20" t="n"/>
      <c r="N412" s="20" t="n"/>
      <c r="O412" s="20" t="n"/>
      <c r="P412" s="28" t="n"/>
      <c r="Q412" s="21">
        <f>P412</f>
        <v/>
      </c>
      <c r="R412" s="21">
        <f>Q412</f>
        <v/>
      </c>
      <c r="S412" s="18" t="n"/>
    </row>
    <row r="413" ht="18" customHeight="1" s="43">
      <c r="B413" s="59" t="inlineStr">
        <is>
          <t>バリュエンス/マイクロ</t>
        </is>
      </c>
      <c r="C413" s="31" t="inlineStr">
        <is>
          <t>58期</t>
        </is>
      </c>
      <c r="D413" s="8" t="n"/>
      <c r="E413" s="8" t="n"/>
      <c r="F413" s="8" t="n"/>
      <c r="G413" s="8" t="n"/>
      <c r="H413" s="8" t="n"/>
      <c r="I413" s="9" t="n"/>
      <c r="J413" s="10">
        <f>SUM(D413:I413)</f>
        <v/>
      </c>
      <c r="K413" s="11" t="n"/>
      <c r="L413" s="8" t="n"/>
      <c r="M413" s="8" t="n"/>
      <c r="N413" s="8" t="n"/>
      <c r="O413" s="8" t="n"/>
      <c r="P413" s="9" t="n"/>
      <c r="Q413" s="10">
        <f>SUM(K413:P413)</f>
        <v/>
      </c>
      <c r="R413" s="10">
        <f>J413+Q413</f>
        <v/>
      </c>
      <c r="S413" s="16" t="n"/>
    </row>
    <row r="414" ht="18" customHeight="1" s="43">
      <c r="B414" s="48" t="n"/>
      <c r="C414" s="7" t="inlineStr">
        <is>
          <t>59期</t>
        </is>
      </c>
      <c r="D414" s="12" t="n"/>
      <c r="E414" s="12" t="n"/>
      <c r="F414" s="12" t="n"/>
      <c r="G414" s="12" t="n"/>
      <c r="H414" s="12" t="n"/>
      <c r="I414" s="13" t="n"/>
      <c r="J414" s="14">
        <f>SUM(D414:I414)</f>
        <v/>
      </c>
      <c r="K414" s="15" t="n"/>
      <c r="L414" s="12" t="n"/>
      <c r="M414" s="12" t="n"/>
      <c r="N414" s="12" t="n"/>
      <c r="O414" s="12" t="n"/>
      <c r="P414" s="13" t="n"/>
      <c r="Q414" s="14">
        <f>SUM(K414:P414)</f>
        <v/>
      </c>
      <c r="R414" s="14">
        <f>J414+Q414</f>
        <v/>
      </c>
      <c r="S414" s="17" t="n"/>
    </row>
    <row r="415" ht="18" customHeight="1" s="43">
      <c r="B415" s="48" t="n"/>
      <c r="C415" s="23" t="inlineStr">
        <is>
          <t>増　減</t>
        </is>
      </c>
      <c r="D415" s="24">
        <f>D414-D413</f>
        <v/>
      </c>
      <c r="E415" s="24">
        <f>E414-E413</f>
        <v/>
      </c>
      <c r="F415" s="24">
        <f>F414-F413</f>
        <v/>
      </c>
      <c r="G415" s="24">
        <f>G414-G413</f>
        <v/>
      </c>
      <c r="H415" s="24">
        <f>H414-H413</f>
        <v/>
      </c>
      <c r="I415" s="27">
        <f>I414-I413</f>
        <v/>
      </c>
      <c r="J415" s="30">
        <f>SUM(D415:I415)</f>
        <v/>
      </c>
      <c r="K415" s="29">
        <f>K414-K413</f>
        <v/>
      </c>
      <c r="L415" s="24">
        <f>L414-L413</f>
        <v/>
      </c>
      <c r="M415" s="24">
        <f>M414-M413</f>
        <v/>
      </c>
      <c r="N415" s="24">
        <f>N414-N413</f>
        <v/>
      </c>
      <c r="O415" s="24">
        <f>O414-O413</f>
        <v/>
      </c>
      <c r="P415" s="27">
        <f>P414-P413</f>
        <v/>
      </c>
      <c r="Q415" s="30">
        <f>SUM(K415:P415)</f>
        <v/>
      </c>
      <c r="R415" s="30">
        <f>J415+Q415</f>
        <v/>
      </c>
      <c r="S415" s="17" t="n"/>
    </row>
    <row r="416" ht="18" customHeight="1" s="43" thickBot="1">
      <c r="B416" s="60" t="n"/>
      <c r="C416" s="25" t="inlineStr">
        <is>
          <t>稼働棟数</t>
        </is>
      </c>
      <c r="D416" s="20" t="n"/>
      <c r="E416" s="20" t="n"/>
      <c r="F416" s="20" t="n"/>
      <c r="G416" s="20" t="n"/>
      <c r="H416" s="20" t="n"/>
      <c r="I416" s="28" t="n"/>
      <c r="J416" s="21">
        <f>I416</f>
        <v/>
      </c>
      <c r="K416" s="22" t="n"/>
      <c r="L416" s="20" t="n"/>
      <c r="M416" s="20" t="n"/>
      <c r="N416" s="20" t="n"/>
      <c r="O416" s="20" t="n"/>
      <c r="P416" s="28" t="n"/>
      <c r="Q416" s="21">
        <f>P416</f>
        <v/>
      </c>
      <c r="R416" s="21">
        <f>Q416</f>
        <v/>
      </c>
      <c r="S416" s="18" t="n"/>
    </row>
    <row r="417" ht="18" customHeight="1" s="43">
      <c r="B417" s="59" t="inlineStr">
        <is>
          <t>バリュエンス/ミニトマト</t>
        </is>
      </c>
      <c r="C417" s="31" t="inlineStr">
        <is>
          <t>58期</t>
        </is>
      </c>
      <c r="D417" s="8" t="n"/>
      <c r="E417" s="8" t="n"/>
      <c r="F417" s="8" t="n"/>
      <c r="G417" s="8" t="n"/>
      <c r="H417" s="8" t="n"/>
      <c r="I417" s="9" t="n"/>
      <c r="J417" s="10">
        <f>SUM(D417:I417)</f>
        <v/>
      </c>
      <c r="K417" s="11" t="n"/>
      <c r="L417" s="8" t="n"/>
      <c r="M417" s="8" t="n"/>
      <c r="N417" s="8" t="n"/>
      <c r="O417" s="8" t="n"/>
      <c r="P417" s="9" t="n"/>
      <c r="Q417" s="10">
        <f>SUM(K417:P417)</f>
        <v/>
      </c>
      <c r="R417" s="10">
        <f>J417+Q417</f>
        <v/>
      </c>
      <c r="S417" s="16" t="n"/>
    </row>
    <row r="418" ht="18" customHeight="1" s="43">
      <c r="B418" s="48" t="n"/>
      <c r="C418" s="7" t="inlineStr">
        <is>
          <t>59期</t>
        </is>
      </c>
      <c r="D418" s="12" t="n"/>
      <c r="E418" s="12" t="n"/>
      <c r="F418" s="12" t="n"/>
      <c r="G418" s="12" t="n"/>
      <c r="H418" s="12" t="n"/>
      <c r="I418" s="13" t="n"/>
      <c r="J418" s="14">
        <f>SUM(D418:I418)</f>
        <v/>
      </c>
      <c r="K418" s="15" t="n"/>
      <c r="L418" s="12" t="n"/>
      <c r="M418" s="12" t="n"/>
      <c r="N418" s="12" t="n"/>
      <c r="O418" s="12" t="n"/>
      <c r="P418" s="13" t="n"/>
      <c r="Q418" s="14">
        <f>SUM(K418:P418)</f>
        <v/>
      </c>
      <c r="R418" s="14">
        <f>J418+Q418</f>
        <v/>
      </c>
      <c r="S418" s="17" t="n"/>
    </row>
    <row r="419" ht="18" customHeight="1" s="43">
      <c r="B419" s="48" t="n"/>
      <c r="C419" s="23" t="inlineStr">
        <is>
          <t>増　減</t>
        </is>
      </c>
      <c r="D419" s="24">
        <f>D418-D417</f>
        <v/>
      </c>
      <c r="E419" s="24">
        <f>E418-E417</f>
        <v/>
      </c>
      <c r="F419" s="24">
        <f>F418-F417</f>
        <v/>
      </c>
      <c r="G419" s="24">
        <f>G418-G417</f>
        <v/>
      </c>
      <c r="H419" s="24">
        <f>H418-H417</f>
        <v/>
      </c>
      <c r="I419" s="27">
        <f>I418-I417</f>
        <v/>
      </c>
      <c r="J419" s="30">
        <f>SUM(D419:I419)</f>
        <v/>
      </c>
      <c r="K419" s="29">
        <f>K418-K417</f>
        <v/>
      </c>
      <c r="L419" s="24">
        <f>L418-L417</f>
        <v/>
      </c>
      <c r="M419" s="24">
        <f>M418-M417</f>
        <v/>
      </c>
      <c r="N419" s="24">
        <f>N418-N417</f>
        <v/>
      </c>
      <c r="O419" s="24">
        <f>O418-O417</f>
        <v/>
      </c>
      <c r="P419" s="27">
        <f>P418-P417</f>
        <v/>
      </c>
      <c r="Q419" s="30">
        <f>SUM(K419:P419)</f>
        <v/>
      </c>
      <c r="R419" s="30">
        <f>J419+Q419</f>
        <v/>
      </c>
      <c r="S419" s="17" t="n"/>
    </row>
    <row r="420" ht="18" customHeight="1" s="43" thickBot="1">
      <c r="B420" s="60" t="n"/>
      <c r="C420" s="25" t="inlineStr">
        <is>
          <t>稼働棟数</t>
        </is>
      </c>
      <c r="D420" s="20" t="n"/>
      <c r="E420" s="20" t="n"/>
      <c r="F420" s="20" t="n"/>
      <c r="G420" s="20" t="n"/>
      <c r="H420" s="20" t="n"/>
      <c r="I420" s="28" t="n"/>
      <c r="J420" s="21">
        <f>I420</f>
        <v/>
      </c>
      <c r="K420" s="22" t="n"/>
      <c r="L420" s="20" t="n"/>
      <c r="M420" s="20" t="n"/>
      <c r="N420" s="20" t="n"/>
      <c r="O420" s="20" t="n"/>
      <c r="P420" s="28" t="n"/>
      <c r="Q420" s="21">
        <f>P420</f>
        <v/>
      </c>
      <c r="R420" s="21">
        <f>Q420</f>
        <v/>
      </c>
      <c r="S420" s="18" t="n"/>
    </row>
    <row r="421" ht="18" customHeight="1" s="43">
      <c r="B421" s="59" t="inlineStr">
        <is>
          <t>バリュエンス/根物野菜</t>
        </is>
      </c>
      <c r="C421" s="31" t="inlineStr">
        <is>
          <t>58期</t>
        </is>
      </c>
      <c r="D421" s="8" t="n"/>
      <c r="E421" s="8" t="n"/>
      <c r="F421" s="8" t="n"/>
      <c r="G421" s="8" t="n"/>
      <c r="H421" s="8" t="n"/>
      <c r="I421" s="9" t="n"/>
      <c r="J421" s="10">
        <f>SUM(D421:I421)</f>
        <v/>
      </c>
      <c r="K421" s="11" t="n"/>
      <c r="L421" s="8" t="n"/>
      <c r="M421" s="8" t="n"/>
      <c r="N421" s="8" t="n"/>
      <c r="O421" s="8" t="n"/>
      <c r="P421" s="9" t="n"/>
      <c r="Q421" s="10">
        <f>SUM(K421:P421)</f>
        <v/>
      </c>
      <c r="R421" s="10">
        <f>J421+Q421</f>
        <v/>
      </c>
      <c r="S421" s="16" t="n"/>
    </row>
    <row r="422" ht="18" customHeight="1" s="43">
      <c r="B422" s="48" t="n"/>
      <c r="C422" s="7" t="inlineStr">
        <is>
          <t>59期</t>
        </is>
      </c>
      <c r="D422" s="12" t="n"/>
      <c r="E422" s="12" t="n"/>
      <c r="F422" s="12" t="n"/>
      <c r="G422" s="12" t="n"/>
      <c r="H422" s="12" t="n"/>
      <c r="I422" s="13" t="n"/>
      <c r="J422" s="14">
        <f>SUM(D422:I422)</f>
        <v/>
      </c>
      <c r="K422" s="15" t="n"/>
      <c r="L422" s="12" t="n"/>
      <c r="M422" s="12" t="n"/>
      <c r="N422" s="12" t="n"/>
      <c r="O422" s="12" t="n"/>
      <c r="P422" s="13" t="n"/>
      <c r="Q422" s="14">
        <f>SUM(K422:P422)</f>
        <v/>
      </c>
      <c r="R422" s="14">
        <f>J422+Q422</f>
        <v/>
      </c>
      <c r="S422" s="17" t="n"/>
    </row>
    <row r="423" ht="18" customHeight="1" s="43">
      <c r="B423" s="48" t="n"/>
      <c r="C423" s="23" t="inlineStr">
        <is>
          <t>増　減</t>
        </is>
      </c>
      <c r="D423" s="24">
        <f>D422-D421</f>
        <v/>
      </c>
      <c r="E423" s="24">
        <f>E422-E421</f>
        <v/>
      </c>
      <c r="F423" s="24">
        <f>F422-F421</f>
        <v/>
      </c>
      <c r="G423" s="24">
        <f>G422-G421</f>
        <v/>
      </c>
      <c r="H423" s="24">
        <f>H422-H421</f>
        <v/>
      </c>
      <c r="I423" s="27">
        <f>I422-I421</f>
        <v/>
      </c>
      <c r="J423" s="30">
        <f>SUM(D423:I423)</f>
        <v/>
      </c>
      <c r="K423" s="29">
        <f>K422-K421</f>
        <v/>
      </c>
      <c r="L423" s="24">
        <f>L422-L421</f>
        <v/>
      </c>
      <c r="M423" s="24">
        <f>M422-M421</f>
        <v/>
      </c>
      <c r="N423" s="24">
        <f>N422-N421</f>
        <v/>
      </c>
      <c r="O423" s="24">
        <f>O422-O421</f>
        <v/>
      </c>
      <c r="P423" s="27">
        <f>P422-P421</f>
        <v/>
      </c>
      <c r="Q423" s="30">
        <f>SUM(K423:P423)</f>
        <v/>
      </c>
      <c r="R423" s="30">
        <f>J423+Q423</f>
        <v/>
      </c>
      <c r="S423" s="17" t="n"/>
    </row>
    <row r="424" ht="18" customHeight="1" s="43" thickBot="1">
      <c r="B424" s="60" t="n"/>
      <c r="C424" s="25" t="inlineStr">
        <is>
          <t>稼働棟数</t>
        </is>
      </c>
      <c r="D424" s="20" t="n"/>
      <c r="E424" s="20" t="n"/>
      <c r="F424" s="20" t="n"/>
      <c r="G424" s="20" t="n"/>
      <c r="H424" s="20" t="n"/>
      <c r="I424" s="28" t="n"/>
      <c r="J424" s="21">
        <f>I424</f>
        <v/>
      </c>
      <c r="K424" s="22" t="n"/>
      <c r="L424" s="20" t="n"/>
      <c r="M424" s="20" t="n"/>
      <c r="N424" s="20" t="n"/>
      <c r="O424" s="20" t="n"/>
      <c r="P424" s="28" t="n"/>
      <c r="Q424" s="21">
        <f>P424</f>
        <v/>
      </c>
      <c r="R424" s="21">
        <f>Q424</f>
        <v/>
      </c>
      <c r="S424" s="18" t="n"/>
    </row>
    <row r="425" ht="18" customHeight="1" s="43">
      <c r="B425" s="59" t="inlineStr">
        <is>
          <t>バリュエンス/実物野菜</t>
        </is>
      </c>
      <c r="C425" s="31" t="inlineStr">
        <is>
          <t>58期</t>
        </is>
      </c>
      <c r="D425" s="8" t="n"/>
      <c r="E425" s="8" t="n"/>
      <c r="F425" s="8" t="n"/>
      <c r="G425" s="8" t="n"/>
      <c r="H425" s="8" t="n"/>
      <c r="I425" s="9" t="n"/>
      <c r="J425" s="10">
        <f>SUM(D425:I425)</f>
        <v/>
      </c>
      <c r="K425" s="11" t="n"/>
      <c r="L425" s="8" t="n"/>
      <c r="M425" s="8" t="n"/>
      <c r="N425" s="8" t="n"/>
      <c r="O425" s="8" t="n"/>
      <c r="P425" s="9" t="n"/>
      <c r="Q425" s="10">
        <f>SUM(K425:P425)</f>
        <v/>
      </c>
      <c r="R425" s="10">
        <f>J425+Q425</f>
        <v/>
      </c>
      <c r="S425" s="16" t="n"/>
    </row>
    <row r="426" ht="18" customHeight="1" s="43">
      <c r="B426" s="48" t="n"/>
      <c r="C426" s="7" t="inlineStr">
        <is>
          <t>59期</t>
        </is>
      </c>
      <c r="D426" s="12" t="n"/>
      <c r="E426" s="12" t="n"/>
      <c r="F426" s="12" t="n"/>
      <c r="G426" s="12" t="n"/>
      <c r="H426" s="12" t="n"/>
      <c r="I426" s="13" t="n"/>
      <c r="J426" s="14">
        <f>SUM(D426:I426)</f>
        <v/>
      </c>
      <c r="K426" s="15" t="n"/>
      <c r="L426" s="12" t="n"/>
      <c r="M426" s="12" t="n"/>
      <c r="N426" s="12" t="n"/>
      <c r="O426" s="12" t="n"/>
      <c r="P426" s="13" t="n"/>
      <c r="Q426" s="14">
        <f>SUM(K426:P426)</f>
        <v/>
      </c>
      <c r="R426" s="14">
        <f>J426+Q426</f>
        <v/>
      </c>
      <c r="S426" s="17" t="n"/>
    </row>
    <row r="427" ht="18" customHeight="1" s="43">
      <c r="B427" s="48" t="n"/>
      <c r="C427" s="23" t="inlineStr">
        <is>
          <t>増　減</t>
        </is>
      </c>
      <c r="D427" s="24">
        <f>D426-D425</f>
        <v/>
      </c>
      <c r="E427" s="24">
        <f>E426-E425</f>
        <v/>
      </c>
      <c r="F427" s="24">
        <f>F426-F425</f>
        <v/>
      </c>
      <c r="G427" s="24">
        <f>G426-G425</f>
        <v/>
      </c>
      <c r="H427" s="24">
        <f>H426-H425</f>
        <v/>
      </c>
      <c r="I427" s="27">
        <f>I426-I425</f>
        <v/>
      </c>
      <c r="J427" s="30">
        <f>SUM(D427:I427)</f>
        <v/>
      </c>
      <c r="K427" s="29">
        <f>K426-K425</f>
        <v/>
      </c>
      <c r="L427" s="24">
        <f>L426-L425</f>
        <v/>
      </c>
      <c r="M427" s="24">
        <f>M426-M425</f>
        <v/>
      </c>
      <c r="N427" s="24">
        <f>N426-N425</f>
        <v/>
      </c>
      <c r="O427" s="24">
        <f>O426-O425</f>
        <v/>
      </c>
      <c r="P427" s="27">
        <f>P426-P425</f>
        <v/>
      </c>
      <c r="Q427" s="30">
        <f>SUM(K427:P427)</f>
        <v/>
      </c>
      <c r="R427" s="30">
        <f>J427+Q427</f>
        <v/>
      </c>
      <c r="S427" s="17" t="n"/>
    </row>
    <row r="428" ht="18" customHeight="1" s="43" thickBot="1">
      <c r="B428" s="60" t="n"/>
      <c r="C428" s="25" t="inlineStr">
        <is>
          <t>稼働棟数</t>
        </is>
      </c>
      <c r="D428" s="20" t="n"/>
      <c r="E428" s="20" t="n"/>
      <c r="F428" s="20" t="n"/>
      <c r="G428" s="20" t="n"/>
      <c r="H428" s="20" t="n"/>
      <c r="I428" s="28" t="n"/>
      <c r="J428" s="21">
        <f>I428</f>
        <v/>
      </c>
      <c r="K428" s="22" t="n"/>
      <c r="L428" s="20" t="n"/>
      <c r="M428" s="20" t="n"/>
      <c r="N428" s="20" t="n"/>
      <c r="O428" s="20" t="n"/>
      <c r="P428" s="28" t="n"/>
      <c r="Q428" s="21">
        <f>P428</f>
        <v/>
      </c>
      <c r="R428" s="21">
        <f>Q428</f>
        <v/>
      </c>
      <c r="S428" s="18" t="n"/>
    </row>
    <row r="429" ht="18" customHeight="1" s="43">
      <c r="B429" s="59" t="inlineStr">
        <is>
          <t>バリュエンス/食用花</t>
        </is>
      </c>
      <c r="C429" s="31" t="inlineStr">
        <is>
          <t>58期</t>
        </is>
      </c>
      <c r="D429" s="8" t="n"/>
      <c r="E429" s="8" t="n"/>
      <c r="F429" s="8" t="n"/>
      <c r="G429" s="8" t="n"/>
      <c r="H429" s="8" t="n"/>
      <c r="I429" s="9" t="n"/>
      <c r="J429" s="10">
        <f>SUM(D429:I429)</f>
        <v/>
      </c>
      <c r="K429" s="11" t="n"/>
      <c r="L429" s="8" t="n"/>
      <c r="M429" s="8" t="n"/>
      <c r="N429" s="8" t="n"/>
      <c r="O429" s="8" t="n"/>
      <c r="P429" s="9" t="n"/>
      <c r="Q429" s="10">
        <f>SUM(K429:P429)</f>
        <v/>
      </c>
      <c r="R429" s="10">
        <f>J429+Q429</f>
        <v/>
      </c>
      <c r="S429" s="16" t="n"/>
    </row>
    <row r="430" ht="18" customHeight="1" s="43">
      <c r="B430" s="48" t="n"/>
      <c r="C430" s="7" t="inlineStr">
        <is>
          <t>59期</t>
        </is>
      </c>
      <c r="D430" s="12" t="n"/>
      <c r="E430" s="12" t="n"/>
      <c r="F430" s="12" t="n"/>
      <c r="G430" s="12" t="n"/>
      <c r="H430" s="12" t="n"/>
      <c r="I430" s="13" t="n"/>
      <c r="J430" s="14">
        <f>SUM(D430:I430)</f>
        <v/>
      </c>
      <c r="K430" s="15" t="n"/>
      <c r="L430" s="12" t="n"/>
      <c r="M430" s="12" t="n"/>
      <c r="N430" s="12" t="n"/>
      <c r="O430" s="12" t="n"/>
      <c r="P430" s="13" t="n"/>
      <c r="Q430" s="14">
        <f>SUM(K430:P430)</f>
        <v/>
      </c>
      <c r="R430" s="14">
        <f>J430+Q430</f>
        <v/>
      </c>
      <c r="S430" s="17" t="n"/>
    </row>
    <row r="431" ht="18" customHeight="1" s="43">
      <c r="B431" s="48" t="n"/>
      <c r="C431" s="23" t="inlineStr">
        <is>
          <t>増　減</t>
        </is>
      </c>
      <c r="D431" s="24">
        <f>D430-D429</f>
        <v/>
      </c>
      <c r="E431" s="24">
        <f>E430-E429</f>
        <v/>
      </c>
      <c r="F431" s="24">
        <f>F430-F429</f>
        <v/>
      </c>
      <c r="G431" s="24">
        <f>G430-G429</f>
        <v/>
      </c>
      <c r="H431" s="24">
        <f>H430-H429</f>
        <v/>
      </c>
      <c r="I431" s="27">
        <f>I430-I429</f>
        <v/>
      </c>
      <c r="J431" s="30">
        <f>SUM(D431:I431)</f>
        <v/>
      </c>
      <c r="K431" s="29">
        <f>K430-K429</f>
        <v/>
      </c>
      <c r="L431" s="24">
        <f>L430-L429</f>
        <v/>
      </c>
      <c r="M431" s="24">
        <f>M430-M429</f>
        <v/>
      </c>
      <c r="N431" s="24">
        <f>N430-N429</f>
        <v/>
      </c>
      <c r="O431" s="24">
        <f>O430-O429</f>
        <v/>
      </c>
      <c r="P431" s="27">
        <f>P430-P429</f>
        <v/>
      </c>
      <c r="Q431" s="30">
        <f>SUM(K431:P431)</f>
        <v/>
      </c>
      <c r="R431" s="30">
        <f>J431+Q431</f>
        <v/>
      </c>
      <c r="S431" s="17" t="n"/>
    </row>
    <row r="432" ht="18" customHeight="1" s="43" thickBot="1">
      <c r="B432" s="60" t="n"/>
      <c r="C432" s="25" t="inlineStr">
        <is>
          <t>稼働棟数</t>
        </is>
      </c>
      <c r="D432" s="20" t="n"/>
      <c r="E432" s="20" t="n"/>
      <c r="F432" s="20" t="n"/>
      <c r="G432" s="20" t="n"/>
      <c r="H432" s="20" t="n"/>
      <c r="I432" s="28" t="n"/>
      <c r="J432" s="21">
        <f>I432</f>
        <v/>
      </c>
      <c r="K432" s="22" t="n"/>
      <c r="L432" s="20" t="n"/>
      <c r="M432" s="20" t="n"/>
      <c r="N432" s="20" t="n"/>
      <c r="O432" s="20" t="n"/>
      <c r="P432" s="28" t="n"/>
      <c r="Q432" s="21">
        <f>P432</f>
        <v/>
      </c>
      <c r="R432" s="21">
        <f>Q432</f>
        <v/>
      </c>
      <c r="S432" s="18" t="n"/>
    </row>
    <row r="433" ht="18" customHeight="1" s="43">
      <c r="B433" s="59" t="inlineStr">
        <is>
          <t>バリュエンス/葉物野菜</t>
        </is>
      </c>
      <c r="C433" s="31" t="inlineStr">
        <is>
          <t>58期</t>
        </is>
      </c>
      <c r="D433" s="8" t="n"/>
      <c r="E433" s="8" t="n"/>
      <c r="F433" s="8" t="n"/>
      <c r="G433" s="8" t="n">
        <v>1.86</v>
      </c>
      <c r="H433" s="8" t="n"/>
      <c r="I433" s="9" t="n"/>
      <c r="J433" s="10" t="n">
        <v>1.86</v>
      </c>
      <c r="K433" s="11" t="n"/>
      <c r="L433" s="8" t="n"/>
      <c r="M433" s="8" t="n"/>
      <c r="N433" s="8" t="n"/>
      <c r="O433" s="8" t="n"/>
      <c r="P433" s="9" t="n"/>
      <c r="Q433" s="10" t="n">
        <v>0</v>
      </c>
      <c r="R433" s="10" t="n">
        <v>1.86</v>
      </c>
      <c r="S433" s="16" t="n"/>
    </row>
    <row r="434" ht="18" customHeight="1" s="43">
      <c r="B434" s="48" t="n"/>
      <c r="C434" s="7" t="inlineStr">
        <is>
          <t>59期</t>
        </is>
      </c>
      <c r="D434" s="12" t="n"/>
      <c r="E434" s="12" t="n"/>
      <c r="F434" s="12" t="n"/>
      <c r="G434" s="12" t="n"/>
      <c r="H434" s="12" t="n"/>
      <c r="I434" s="13" t="n"/>
      <c r="J434" s="14">
        <f>SUM(D434:I434)</f>
        <v/>
      </c>
      <c r="K434" s="15" t="n"/>
      <c r="L434" s="12" t="n"/>
      <c r="M434" s="12" t="n"/>
      <c r="N434" s="12" t="n"/>
      <c r="O434" s="12" t="n"/>
      <c r="P434" s="13" t="n"/>
      <c r="Q434" s="14">
        <f>SUM(K434:P434)</f>
        <v/>
      </c>
      <c r="R434" s="14">
        <f>J434+Q434</f>
        <v/>
      </c>
      <c r="S434" s="17" t="n"/>
    </row>
    <row r="435" ht="18" customHeight="1" s="43">
      <c r="B435" s="48" t="n"/>
      <c r="C435" s="23" t="inlineStr">
        <is>
          <t>増　減</t>
        </is>
      </c>
      <c r="D435" s="24">
        <f>D434-D433</f>
        <v/>
      </c>
      <c r="E435" s="24">
        <f>E434-E433</f>
        <v/>
      </c>
      <c r="F435" s="24">
        <f>F434-F433</f>
        <v/>
      </c>
      <c r="G435" s="24">
        <f>G434-G433</f>
        <v/>
      </c>
      <c r="H435" s="24">
        <f>H434-H433</f>
        <v/>
      </c>
      <c r="I435" s="27">
        <f>I434-I433</f>
        <v/>
      </c>
      <c r="J435" s="30">
        <f>SUM(D435:I435)</f>
        <v/>
      </c>
      <c r="K435" s="29">
        <f>K434-K433</f>
        <v/>
      </c>
      <c r="L435" s="24">
        <f>L434-L433</f>
        <v/>
      </c>
      <c r="M435" s="24">
        <f>M434-M433</f>
        <v/>
      </c>
      <c r="N435" s="24">
        <f>N434-N433</f>
        <v/>
      </c>
      <c r="O435" s="24">
        <f>O434-O433</f>
        <v/>
      </c>
      <c r="P435" s="27">
        <f>P434-P433</f>
        <v/>
      </c>
      <c r="Q435" s="30">
        <f>SUM(K435:P435)</f>
        <v/>
      </c>
      <c r="R435" s="30">
        <f>J435+Q435</f>
        <v/>
      </c>
      <c r="S435" s="17" t="n"/>
    </row>
    <row r="436" ht="18" customHeight="1" s="43" thickBot="1">
      <c r="B436" s="60" t="n"/>
      <c r="C436" s="25" t="inlineStr">
        <is>
          <t>稼働棟数</t>
        </is>
      </c>
      <c r="D436" s="20" t="n"/>
      <c r="E436" s="20" t="n"/>
      <c r="F436" s="20" t="n"/>
      <c r="G436" s="20" t="n"/>
      <c r="H436" s="20" t="n"/>
      <c r="I436" s="28" t="n"/>
      <c r="J436" s="21">
        <f>I436</f>
        <v/>
      </c>
      <c r="K436" s="22" t="n"/>
      <c r="L436" s="20" t="n"/>
      <c r="M436" s="20" t="n"/>
      <c r="N436" s="20" t="n"/>
      <c r="O436" s="20" t="n"/>
      <c r="P436" s="28" t="n"/>
      <c r="Q436" s="21">
        <f>P436</f>
        <v/>
      </c>
      <c r="R436" s="21">
        <f>Q436</f>
        <v/>
      </c>
      <c r="S436" s="18" t="n"/>
    </row>
    <row r="437" ht="18" customHeight="1" s="43">
      <c r="B437" s="59" t="inlineStr">
        <is>
          <t>Adobe/イチゴ</t>
        </is>
      </c>
      <c r="C437" s="31" t="inlineStr">
        <is>
          <t>58期</t>
        </is>
      </c>
      <c r="D437" s="8" t="n"/>
      <c r="E437" s="8" t="n"/>
      <c r="F437" s="8" t="n"/>
      <c r="G437" s="8" t="n">
        <v>1.62</v>
      </c>
      <c r="H437" s="8" t="n"/>
      <c r="I437" s="9" t="n"/>
      <c r="J437" s="10" t="n">
        <v>1.62</v>
      </c>
      <c r="K437" s="11" t="n"/>
      <c r="L437" s="8" t="n"/>
      <c r="M437" s="8" t="n"/>
      <c r="N437" s="8" t="n"/>
      <c r="O437" s="8" t="n"/>
      <c r="P437" s="9" t="n"/>
      <c r="Q437" s="10" t="n">
        <v>0</v>
      </c>
      <c r="R437" s="10" t="n">
        <v>1.62</v>
      </c>
      <c r="S437" s="16" t="n"/>
    </row>
    <row r="438" ht="18" customHeight="1" s="43">
      <c r="B438" s="48" t="n"/>
      <c r="C438" s="7" t="inlineStr">
        <is>
          <t>59期</t>
        </is>
      </c>
      <c r="D438" s="12" t="n"/>
      <c r="E438" s="12" t="n"/>
      <c r="F438" s="12" t="n"/>
      <c r="G438" s="12" t="n"/>
      <c r="H438" s="12" t="n"/>
      <c r="I438" s="13" t="n"/>
      <c r="J438" s="14">
        <f>SUM(D438:I438)</f>
        <v/>
      </c>
      <c r="K438" s="15" t="n"/>
      <c r="L438" s="12" t="n"/>
      <c r="M438" s="12" t="n"/>
      <c r="N438" s="12" t="n"/>
      <c r="O438" s="12" t="n"/>
      <c r="P438" s="13" t="n"/>
      <c r="Q438" s="14">
        <f>SUM(K438:P438)</f>
        <v/>
      </c>
      <c r="R438" s="14">
        <f>J438+Q438</f>
        <v/>
      </c>
      <c r="S438" s="17" t="n"/>
    </row>
    <row r="439" ht="18" customHeight="1" s="43">
      <c r="B439" s="48" t="n"/>
      <c r="C439" s="23" t="inlineStr">
        <is>
          <t>増　減</t>
        </is>
      </c>
      <c r="D439" s="24">
        <f>D438-D437</f>
        <v/>
      </c>
      <c r="E439" s="24">
        <f>E438-E437</f>
        <v/>
      </c>
      <c r="F439" s="24">
        <f>F438-F437</f>
        <v/>
      </c>
      <c r="G439" s="24">
        <f>G438-G437</f>
        <v/>
      </c>
      <c r="H439" s="24">
        <f>H438-H437</f>
        <v/>
      </c>
      <c r="I439" s="27">
        <f>I438-I437</f>
        <v/>
      </c>
      <c r="J439" s="30">
        <f>SUM(D439:I439)</f>
        <v/>
      </c>
      <c r="K439" s="29">
        <f>K438-K437</f>
        <v/>
      </c>
      <c r="L439" s="24">
        <f>L438-L437</f>
        <v/>
      </c>
      <c r="M439" s="24">
        <f>M438-M437</f>
        <v/>
      </c>
      <c r="N439" s="24">
        <f>N438-N437</f>
        <v/>
      </c>
      <c r="O439" s="24">
        <f>O438-O437</f>
        <v/>
      </c>
      <c r="P439" s="27">
        <f>P438-P437</f>
        <v/>
      </c>
      <c r="Q439" s="30">
        <f>SUM(K439:P439)</f>
        <v/>
      </c>
      <c r="R439" s="30">
        <f>J439+Q439</f>
        <v/>
      </c>
      <c r="S439" s="17" t="n"/>
    </row>
    <row r="440" ht="18" customHeight="1" s="43" thickBot="1">
      <c r="B440" s="60" t="n"/>
      <c r="C440" s="25" t="inlineStr">
        <is>
          <t>稼働棟数</t>
        </is>
      </c>
      <c r="D440" s="20" t="n"/>
      <c r="E440" s="20" t="n"/>
      <c r="F440" s="20" t="n"/>
      <c r="G440" s="20" t="n"/>
      <c r="H440" s="20" t="n"/>
      <c r="I440" s="28" t="n"/>
      <c r="J440" s="21">
        <f>I440</f>
        <v/>
      </c>
      <c r="K440" s="22" t="n"/>
      <c r="L440" s="20" t="n"/>
      <c r="M440" s="20" t="n"/>
      <c r="N440" s="20" t="n"/>
      <c r="O440" s="20" t="n"/>
      <c r="P440" s="28" t="n"/>
      <c r="Q440" s="21">
        <f>P440</f>
        <v/>
      </c>
      <c r="R440" s="21">
        <f>Q440</f>
        <v/>
      </c>
      <c r="S440" s="18" t="n"/>
    </row>
    <row r="441" ht="18" customHeight="1" s="43">
      <c r="B441" s="59" t="inlineStr">
        <is>
          <t>Adobe/トマト</t>
        </is>
      </c>
      <c r="C441" s="31" t="inlineStr">
        <is>
          <t>58期</t>
        </is>
      </c>
      <c r="D441" s="8" t="n"/>
      <c r="E441" s="8" t="n"/>
      <c r="F441" s="8" t="n"/>
      <c r="G441" s="8" t="n"/>
      <c r="H441" s="8" t="n"/>
      <c r="I441" s="9" t="n"/>
      <c r="J441" s="10">
        <f>SUM(D441:I441)</f>
        <v/>
      </c>
      <c r="K441" s="11" t="n"/>
      <c r="L441" s="8" t="n"/>
      <c r="M441" s="8" t="n"/>
      <c r="N441" s="8" t="n"/>
      <c r="O441" s="8" t="n"/>
      <c r="P441" s="9" t="n"/>
      <c r="Q441" s="10">
        <f>SUM(K441:P441)</f>
        <v/>
      </c>
      <c r="R441" s="10">
        <f>J441+Q441</f>
        <v/>
      </c>
      <c r="S441" s="16" t="n"/>
    </row>
    <row r="442" ht="18" customHeight="1" s="43">
      <c r="B442" s="48" t="n"/>
      <c r="C442" s="7" t="inlineStr">
        <is>
          <t>59期</t>
        </is>
      </c>
      <c r="D442" s="12" t="n"/>
      <c r="E442" s="12" t="n"/>
      <c r="F442" s="12" t="n"/>
      <c r="G442" s="12" t="n"/>
      <c r="H442" s="12" t="n"/>
      <c r="I442" s="13" t="n"/>
      <c r="J442" s="14">
        <f>SUM(D442:I442)</f>
        <v/>
      </c>
      <c r="K442" s="15" t="n"/>
      <c r="L442" s="12" t="n"/>
      <c r="M442" s="12" t="n"/>
      <c r="N442" s="12" t="n"/>
      <c r="O442" s="12" t="n"/>
      <c r="P442" s="13" t="n"/>
      <c r="Q442" s="14">
        <f>SUM(K442:P442)</f>
        <v/>
      </c>
      <c r="R442" s="14">
        <f>J442+Q442</f>
        <v/>
      </c>
      <c r="S442" s="17" t="n"/>
    </row>
    <row r="443" ht="18" customHeight="1" s="43">
      <c r="B443" s="48" t="n"/>
      <c r="C443" s="23" t="inlineStr">
        <is>
          <t>増　減</t>
        </is>
      </c>
      <c r="D443" s="24">
        <f>D442-D441</f>
        <v/>
      </c>
      <c r="E443" s="24">
        <f>E442-E441</f>
        <v/>
      </c>
      <c r="F443" s="24">
        <f>F442-F441</f>
        <v/>
      </c>
      <c r="G443" s="24">
        <f>G442-G441</f>
        <v/>
      </c>
      <c r="H443" s="24">
        <f>H442-H441</f>
        <v/>
      </c>
      <c r="I443" s="27">
        <f>I442-I441</f>
        <v/>
      </c>
      <c r="J443" s="30">
        <f>SUM(D443:I443)</f>
        <v/>
      </c>
      <c r="K443" s="29">
        <f>K442-K441</f>
        <v/>
      </c>
      <c r="L443" s="24">
        <f>L442-L441</f>
        <v/>
      </c>
      <c r="M443" s="24">
        <f>M442-M441</f>
        <v/>
      </c>
      <c r="N443" s="24">
        <f>N442-N441</f>
        <v/>
      </c>
      <c r="O443" s="24">
        <f>O442-O441</f>
        <v/>
      </c>
      <c r="P443" s="27">
        <f>P442-P441</f>
        <v/>
      </c>
      <c r="Q443" s="30">
        <f>SUM(K443:P443)</f>
        <v/>
      </c>
      <c r="R443" s="30">
        <f>J443+Q443</f>
        <v/>
      </c>
      <c r="S443" s="17" t="n"/>
    </row>
    <row r="444" ht="18" customHeight="1" s="43" thickBot="1">
      <c r="B444" s="60" t="n"/>
      <c r="C444" s="25" t="inlineStr">
        <is>
          <t>稼働棟数</t>
        </is>
      </c>
      <c r="D444" s="20" t="n"/>
      <c r="E444" s="20" t="n"/>
      <c r="F444" s="20" t="n"/>
      <c r="G444" s="20" t="n"/>
      <c r="H444" s="20" t="n"/>
      <c r="I444" s="28" t="n"/>
      <c r="J444" s="21">
        <f>I444</f>
        <v/>
      </c>
      <c r="K444" s="22" t="n"/>
      <c r="L444" s="20" t="n"/>
      <c r="M444" s="20" t="n"/>
      <c r="N444" s="20" t="n"/>
      <c r="O444" s="20" t="n"/>
      <c r="P444" s="28" t="n"/>
      <c r="Q444" s="21">
        <f>P444</f>
        <v/>
      </c>
      <c r="R444" s="21">
        <f>Q444</f>
        <v/>
      </c>
      <c r="S444" s="18" t="n"/>
    </row>
    <row r="445" ht="18" customHeight="1" s="43">
      <c r="B445" s="59" t="inlineStr">
        <is>
          <t>Adobe/ナス</t>
        </is>
      </c>
      <c r="C445" s="31" t="inlineStr">
        <is>
          <t>58期</t>
        </is>
      </c>
      <c r="D445" s="8" t="n"/>
      <c r="E445" s="8" t="n"/>
      <c r="F445" s="8" t="n"/>
      <c r="G445" s="8" t="n"/>
      <c r="H445" s="8" t="n"/>
      <c r="I445" s="9" t="n"/>
      <c r="J445" s="10">
        <f>SUM(D445:I445)</f>
        <v/>
      </c>
      <c r="K445" s="11" t="n"/>
      <c r="L445" s="8" t="n"/>
      <c r="M445" s="8" t="n"/>
      <c r="N445" s="8" t="n"/>
      <c r="O445" s="8" t="n"/>
      <c r="P445" s="9" t="n"/>
      <c r="Q445" s="10">
        <f>SUM(K445:P445)</f>
        <v/>
      </c>
      <c r="R445" s="10">
        <f>J445+Q445</f>
        <v/>
      </c>
      <c r="S445" s="16" t="n"/>
    </row>
    <row r="446" ht="18" customHeight="1" s="43">
      <c r="B446" s="48" t="n"/>
      <c r="C446" s="7" t="inlineStr">
        <is>
          <t>59期</t>
        </is>
      </c>
      <c r="D446" s="12" t="n"/>
      <c r="E446" s="12" t="n"/>
      <c r="F446" s="12" t="n"/>
      <c r="G446" s="12" t="n"/>
      <c r="H446" s="12" t="n"/>
      <c r="I446" s="13" t="n"/>
      <c r="J446" s="14">
        <f>SUM(D446:I446)</f>
        <v/>
      </c>
      <c r="K446" s="15" t="n"/>
      <c r="L446" s="12" t="n"/>
      <c r="M446" s="12" t="n"/>
      <c r="N446" s="12" t="n"/>
      <c r="O446" s="12" t="n"/>
      <c r="P446" s="13" t="n"/>
      <c r="Q446" s="14">
        <f>SUM(K446:P446)</f>
        <v/>
      </c>
      <c r="R446" s="14">
        <f>J446+Q446</f>
        <v/>
      </c>
      <c r="S446" s="17" t="n"/>
    </row>
    <row r="447" ht="18" customHeight="1" s="43">
      <c r="B447" s="48" t="n"/>
      <c r="C447" s="23" t="inlineStr">
        <is>
          <t>増　減</t>
        </is>
      </c>
      <c r="D447" s="24">
        <f>D446-D445</f>
        <v/>
      </c>
      <c r="E447" s="24">
        <f>E446-E445</f>
        <v/>
      </c>
      <c r="F447" s="24">
        <f>F446-F445</f>
        <v/>
      </c>
      <c r="G447" s="24">
        <f>G446-G445</f>
        <v/>
      </c>
      <c r="H447" s="24">
        <f>H446-H445</f>
        <v/>
      </c>
      <c r="I447" s="27">
        <f>I446-I445</f>
        <v/>
      </c>
      <c r="J447" s="30">
        <f>SUM(D447:I447)</f>
        <v/>
      </c>
      <c r="K447" s="29">
        <f>K446-K445</f>
        <v/>
      </c>
      <c r="L447" s="24">
        <f>L446-L445</f>
        <v/>
      </c>
      <c r="M447" s="24">
        <f>M446-M445</f>
        <v/>
      </c>
      <c r="N447" s="24">
        <f>N446-N445</f>
        <v/>
      </c>
      <c r="O447" s="24">
        <f>O446-O445</f>
        <v/>
      </c>
      <c r="P447" s="27">
        <f>P446-P445</f>
        <v/>
      </c>
      <c r="Q447" s="30">
        <f>SUM(K447:P447)</f>
        <v/>
      </c>
      <c r="R447" s="30">
        <f>J447+Q447</f>
        <v/>
      </c>
      <c r="S447" s="17" t="n"/>
    </row>
    <row r="448" ht="18" customHeight="1" s="43" thickBot="1">
      <c r="B448" s="60" t="n"/>
      <c r="C448" s="25" t="inlineStr">
        <is>
          <t>稼働棟数</t>
        </is>
      </c>
      <c r="D448" s="20" t="n"/>
      <c r="E448" s="20" t="n"/>
      <c r="F448" s="20" t="n"/>
      <c r="G448" s="20" t="n"/>
      <c r="H448" s="20" t="n"/>
      <c r="I448" s="28" t="n"/>
      <c r="J448" s="21">
        <f>I448</f>
        <v/>
      </c>
      <c r="K448" s="22" t="n"/>
      <c r="L448" s="20" t="n"/>
      <c r="M448" s="20" t="n"/>
      <c r="N448" s="20" t="n"/>
      <c r="O448" s="20" t="n"/>
      <c r="P448" s="28" t="n"/>
      <c r="Q448" s="21">
        <f>P448</f>
        <v/>
      </c>
      <c r="R448" s="21">
        <f>Q448</f>
        <v/>
      </c>
      <c r="S448" s="18" t="n"/>
    </row>
    <row r="449" ht="18" customHeight="1" s="43">
      <c r="B449" s="59" t="inlineStr">
        <is>
          <t>Adobe/ハーブ</t>
        </is>
      </c>
      <c r="C449" s="31" t="inlineStr">
        <is>
          <t>58期</t>
        </is>
      </c>
      <c r="D449" s="8" t="n"/>
      <c r="E449" s="8" t="n"/>
      <c r="F449" s="8" t="n"/>
      <c r="G449" s="8" t="n"/>
      <c r="H449" s="8" t="n"/>
      <c r="I449" s="9" t="n"/>
      <c r="J449" s="10">
        <f>SUM(D449:I449)</f>
        <v/>
      </c>
      <c r="K449" s="11" t="n"/>
      <c r="L449" s="8" t="n"/>
      <c r="M449" s="8" t="n"/>
      <c r="N449" s="8" t="n"/>
      <c r="O449" s="8" t="n"/>
      <c r="P449" s="9" t="n"/>
      <c r="Q449" s="10">
        <f>SUM(K449:P449)</f>
        <v/>
      </c>
      <c r="R449" s="10">
        <f>J449+Q449</f>
        <v/>
      </c>
      <c r="S449" s="16" t="n"/>
    </row>
    <row r="450" ht="18" customHeight="1" s="43">
      <c r="B450" s="48" t="n"/>
      <c r="C450" s="7" t="inlineStr">
        <is>
          <t>59期</t>
        </is>
      </c>
      <c r="D450" s="12" t="n"/>
      <c r="E450" s="12" t="n"/>
      <c r="F450" s="12" t="n"/>
      <c r="G450" s="12" t="n"/>
      <c r="H450" s="12" t="n"/>
      <c r="I450" s="13" t="n"/>
      <c r="J450" s="14">
        <f>SUM(D450:I450)</f>
        <v/>
      </c>
      <c r="K450" s="15" t="n"/>
      <c r="L450" s="12" t="n"/>
      <c r="M450" s="12" t="n"/>
      <c r="N450" s="12" t="n"/>
      <c r="O450" s="12" t="n"/>
      <c r="P450" s="13" t="n"/>
      <c r="Q450" s="14">
        <f>SUM(K450:P450)</f>
        <v/>
      </c>
      <c r="R450" s="14">
        <f>J450+Q450</f>
        <v/>
      </c>
      <c r="S450" s="17" t="n"/>
    </row>
    <row r="451" ht="18" customHeight="1" s="43">
      <c r="B451" s="48" t="n"/>
      <c r="C451" s="23" t="inlineStr">
        <is>
          <t>増　減</t>
        </is>
      </c>
      <c r="D451" s="24">
        <f>D450-D449</f>
        <v/>
      </c>
      <c r="E451" s="24">
        <f>E450-E449</f>
        <v/>
      </c>
      <c r="F451" s="24">
        <f>F450-F449</f>
        <v/>
      </c>
      <c r="G451" s="24">
        <f>G450-G449</f>
        <v/>
      </c>
      <c r="H451" s="24">
        <f>H450-H449</f>
        <v/>
      </c>
      <c r="I451" s="27">
        <f>I450-I449</f>
        <v/>
      </c>
      <c r="J451" s="30">
        <f>SUM(D451:I451)</f>
        <v/>
      </c>
      <c r="K451" s="29">
        <f>K450-K449</f>
        <v/>
      </c>
      <c r="L451" s="24">
        <f>L450-L449</f>
        <v/>
      </c>
      <c r="M451" s="24">
        <f>M450-M449</f>
        <v/>
      </c>
      <c r="N451" s="24">
        <f>N450-N449</f>
        <v/>
      </c>
      <c r="O451" s="24">
        <f>O450-O449</f>
        <v/>
      </c>
      <c r="P451" s="27">
        <f>P450-P449</f>
        <v/>
      </c>
      <c r="Q451" s="30">
        <f>SUM(K451:P451)</f>
        <v/>
      </c>
      <c r="R451" s="30">
        <f>J451+Q451</f>
        <v/>
      </c>
      <c r="S451" s="17" t="n"/>
    </row>
    <row r="452" ht="18" customHeight="1" s="43" thickBot="1">
      <c r="B452" s="60" t="n"/>
      <c r="C452" s="25" t="inlineStr">
        <is>
          <t>稼働棟数</t>
        </is>
      </c>
      <c r="D452" s="20" t="n"/>
      <c r="E452" s="20" t="n"/>
      <c r="F452" s="20" t="n"/>
      <c r="G452" s="20" t="n"/>
      <c r="H452" s="20" t="n"/>
      <c r="I452" s="28" t="n"/>
      <c r="J452" s="21">
        <f>I452</f>
        <v/>
      </c>
      <c r="K452" s="22" t="n"/>
      <c r="L452" s="20" t="n"/>
      <c r="M452" s="20" t="n"/>
      <c r="N452" s="20" t="n"/>
      <c r="O452" s="20" t="n"/>
      <c r="P452" s="28" t="n"/>
      <c r="Q452" s="21">
        <f>P452</f>
        <v/>
      </c>
      <c r="R452" s="21">
        <f>Q452</f>
        <v/>
      </c>
      <c r="S452" s="18" t="n"/>
    </row>
    <row r="453" ht="18" customHeight="1" s="43">
      <c r="B453" s="59" t="inlineStr">
        <is>
          <t>Adobe/パプリカ</t>
        </is>
      </c>
      <c r="C453" s="31" t="inlineStr">
        <is>
          <t>58期</t>
        </is>
      </c>
      <c r="D453" s="8" t="n"/>
      <c r="E453" s="8" t="n"/>
      <c r="F453" s="8" t="n"/>
      <c r="G453" s="8" t="n"/>
      <c r="H453" s="8" t="n"/>
      <c r="I453" s="9" t="n"/>
      <c r="J453" s="10">
        <f>SUM(D453:I453)</f>
        <v/>
      </c>
      <c r="K453" s="11" t="n"/>
      <c r="L453" s="8" t="n"/>
      <c r="M453" s="8" t="n"/>
      <c r="N453" s="8" t="n"/>
      <c r="O453" s="8" t="n"/>
      <c r="P453" s="9" t="n"/>
      <c r="Q453" s="10">
        <f>SUM(K453:P453)</f>
        <v/>
      </c>
      <c r="R453" s="10">
        <f>J453+Q453</f>
        <v/>
      </c>
      <c r="S453" s="16" t="n"/>
    </row>
    <row r="454" ht="18" customHeight="1" s="43">
      <c r="B454" s="48" t="n"/>
      <c r="C454" s="7" t="inlineStr">
        <is>
          <t>59期</t>
        </is>
      </c>
      <c r="D454" s="12" t="n"/>
      <c r="E454" s="12" t="n"/>
      <c r="F454" s="12" t="n"/>
      <c r="G454" s="12" t="n"/>
      <c r="H454" s="12" t="n"/>
      <c r="I454" s="13" t="n"/>
      <c r="J454" s="14">
        <f>SUM(D454:I454)</f>
        <v/>
      </c>
      <c r="K454" s="15" t="n"/>
      <c r="L454" s="12" t="n"/>
      <c r="M454" s="12" t="n"/>
      <c r="N454" s="12" t="n"/>
      <c r="O454" s="12" t="n"/>
      <c r="P454" s="13" t="n"/>
      <c r="Q454" s="14">
        <f>SUM(K454:P454)</f>
        <v/>
      </c>
      <c r="R454" s="14">
        <f>J454+Q454</f>
        <v/>
      </c>
      <c r="S454" s="17" t="n"/>
    </row>
    <row r="455" ht="18" customHeight="1" s="43">
      <c r="B455" s="48" t="n"/>
      <c r="C455" s="23" t="inlineStr">
        <is>
          <t>増　減</t>
        </is>
      </c>
      <c r="D455" s="24">
        <f>D454-D453</f>
        <v/>
      </c>
      <c r="E455" s="24">
        <f>E454-E453</f>
        <v/>
      </c>
      <c r="F455" s="24">
        <f>F454-F453</f>
        <v/>
      </c>
      <c r="G455" s="24">
        <f>G454-G453</f>
        <v/>
      </c>
      <c r="H455" s="24">
        <f>H454-H453</f>
        <v/>
      </c>
      <c r="I455" s="27">
        <f>I454-I453</f>
        <v/>
      </c>
      <c r="J455" s="30">
        <f>SUM(D455:I455)</f>
        <v/>
      </c>
      <c r="K455" s="29">
        <f>K454-K453</f>
        <v/>
      </c>
      <c r="L455" s="24">
        <f>L454-L453</f>
        <v/>
      </c>
      <c r="M455" s="24">
        <f>M454-M453</f>
        <v/>
      </c>
      <c r="N455" s="24">
        <f>N454-N453</f>
        <v/>
      </c>
      <c r="O455" s="24">
        <f>O454-O453</f>
        <v/>
      </c>
      <c r="P455" s="27">
        <f>P454-P453</f>
        <v/>
      </c>
      <c r="Q455" s="30">
        <f>SUM(K455:P455)</f>
        <v/>
      </c>
      <c r="R455" s="30">
        <f>J455+Q455</f>
        <v/>
      </c>
      <c r="S455" s="17" t="n"/>
    </row>
    <row r="456" ht="18" customHeight="1" s="43" thickBot="1">
      <c r="B456" s="60" t="n"/>
      <c r="C456" s="25" t="inlineStr">
        <is>
          <t>稼働棟数</t>
        </is>
      </c>
      <c r="D456" s="20" t="n"/>
      <c r="E456" s="20" t="n"/>
      <c r="F456" s="20" t="n"/>
      <c r="G456" s="20" t="n"/>
      <c r="H456" s="20" t="n"/>
      <c r="I456" s="28" t="n"/>
      <c r="J456" s="21">
        <f>I456</f>
        <v/>
      </c>
      <c r="K456" s="22" t="n"/>
      <c r="L456" s="20" t="n"/>
      <c r="M456" s="20" t="n"/>
      <c r="N456" s="20" t="n"/>
      <c r="O456" s="20" t="n"/>
      <c r="P456" s="28" t="n"/>
      <c r="Q456" s="21">
        <f>P456</f>
        <v/>
      </c>
      <c r="R456" s="21">
        <f>Q456</f>
        <v/>
      </c>
      <c r="S456" s="18" t="n"/>
    </row>
    <row r="457" ht="18" customHeight="1" s="43">
      <c r="B457" s="59" t="inlineStr">
        <is>
          <t>Adobe/ピーマン</t>
        </is>
      </c>
      <c r="C457" s="31" t="inlineStr">
        <is>
          <t>58期</t>
        </is>
      </c>
      <c r="D457" s="8" t="n"/>
      <c r="E457" s="8" t="n"/>
      <c r="F457" s="8" t="n"/>
      <c r="G457" s="8" t="n"/>
      <c r="H457" s="8" t="n"/>
      <c r="I457" s="9" t="n"/>
      <c r="J457" s="10">
        <f>SUM(D457:I457)</f>
        <v/>
      </c>
      <c r="K457" s="11" t="n"/>
      <c r="L457" s="8" t="n"/>
      <c r="M457" s="8" t="n"/>
      <c r="N457" s="8" t="n"/>
      <c r="O457" s="8" t="n"/>
      <c r="P457" s="9" t="n"/>
      <c r="Q457" s="10">
        <f>SUM(K457:P457)</f>
        <v/>
      </c>
      <c r="R457" s="10">
        <f>J457+Q457</f>
        <v/>
      </c>
      <c r="S457" s="16" t="n"/>
    </row>
    <row r="458" ht="18" customHeight="1" s="43">
      <c r="B458" s="48" t="n"/>
      <c r="C458" s="7" t="inlineStr">
        <is>
          <t>59期</t>
        </is>
      </c>
      <c r="D458" s="12" t="n"/>
      <c r="E458" s="12" t="n"/>
      <c r="F458" s="12" t="n"/>
      <c r="G458" s="12" t="n"/>
      <c r="H458" s="12" t="n"/>
      <c r="I458" s="13" t="n"/>
      <c r="J458" s="14">
        <f>SUM(D458:I458)</f>
        <v/>
      </c>
      <c r="K458" s="15" t="n"/>
      <c r="L458" s="12" t="n"/>
      <c r="M458" s="12" t="n"/>
      <c r="N458" s="12" t="n"/>
      <c r="O458" s="12" t="n"/>
      <c r="P458" s="13" t="n"/>
      <c r="Q458" s="14">
        <f>SUM(K458:P458)</f>
        <v/>
      </c>
      <c r="R458" s="14">
        <f>J458+Q458</f>
        <v/>
      </c>
      <c r="S458" s="17" t="n"/>
    </row>
    <row r="459" ht="18" customHeight="1" s="43">
      <c r="B459" s="48" t="n"/>
      <c r="C459" s="23" t="inlineStr">
        <is>
          <t>増　減</t>
        </is>
      </c>
      <c r="D459" s="24">
        <f>D458-D457</f>
        <v/>
      </c>
      <c r="E459" s="24">
        <f>E458-E457</f>
        <v/>
      </c>
      <c r="F459" s="24">
        <f>F458-F457</f>
        <v/>
      </c>
      <c r="G459" s="24">
        <f>G458-G457</f>
        <v/>
      </c>
      <c r="H459" s="24">
        <f>H458-H457</f>
        <v/>
      </c>
      <c r="I459" s="27">
        <f>I458-I457</f>
        <v/>
      </c>
      <c r="J459" s="30">
        <f>SUM(D459:I459)</f>
        <v/>
      </c>
      <c r="K459" s="29">
        <f>K458-K457</f>
        <v/>
      </c>
      <c r="L459" s="24">
        <f>L458-L457</f>
        <v/>
      </c>
      <c r="M459" s="24">
        <f>M458-M457</f>
        <v/>
      </c>
      <c r="N459" s="24">
        <f>N458-N457</f>
        <v/>
      </c>
      <c r="O459" s="24">
        <f>O458-O457</f>
        <v/>
      </c>
      <c r="P459" s="27">
        <f>P458-P457</f>
        <v/>
      </c>
      <c r="Q459" s="30">
        <f>SUM(K459:P459)</f>
        <v/>
      </c>
      <c r="R459" s="30">
        <f>J459+Q459</f>
        <v/>
      </c>
      <c r="S459" s="17" t="n"/>
    </row>
    <row r="460" ht="18" customHeight="1" s="43" thickBot="1">
      <c r="B460" s="60" t="n"/>
      <c r="C460" s="25" t="inlineStr">
        <is>
          <t>稼働棟数</t>
        </is>
      </c>
      <c r="D460" s="20" t="n"/>
      <c r="E460" s="20" t="n"/>
      <c r="F460" s="20" t="n"/>
      <c r="G460" s="20" t="n"/>
      <c r="H460" s="20" t="n"/>
      <c r="I460" s="28" t="n"/>
      <c r="J460" s="21">
        <f>I460</f>
        <v/>
      </c>
      <c r="K460" s="22" t="n"/>
      <c r="L460" s="20" t="n"/>
      <c r="M460" s="20" t="n"/>
      <c r="N460" s="20" t="n"/>
      <c r="O460" s="20" t="n"/>
      <c r="P460" s="28" t="n"/>
      <c r="Q460" s="21">
        <f>P460</f>
        <v/>
      </c>
      <c r="R460" s="21">
        <f>Q460</f>
        <v/>
      </c>
      <c r="S460" s="18" t="n"/>
    </row>
    <row r="461" ht="18" customHeight="1" s="43">
      <c r="B461" s="59" t="inlineStr">
        <is>
          <t>Adobe/マイクロ</t>
        </is>
      </c>
      <c r="C461" s="31" t="inlineStr">
        <is>
          <t>58期</t>
        </is>
      </c>
      <c r="D461" s="8" t="n"/>
      <c r="E461" s="8" t="n"/>
      <c r="F461" s="8" t="n"/>
      <c r="G461" s="8" t="n"/>
      <c r="H461" s="8" t="n"/>
      <c r="I461" s="9" t="n"/>
      <c r="J461" s="10">
        <f>SUM(D461:I461)</f>
        <v/>
      </c>
      <c r="K461" s="11" t="n"/>
      <c r="L461" s="8" t="n"/>
      <c r="M461" s="8" t="n"/>
      <c r="N461" s="8" t="n"/>
      <c r="O461" s="8" t="n"/>
      <c r="P461" s="9" t="n"/>
      <c r="Q461" s="10">
        <f>SUM(K461:P461)</f>
        <v/>
      </c>
      <c r="R461" s="10">
        <f>J461+Q461</f>
        <v/>
      </c>
      <c r="S461" s="16" t="n"/>
    </row>
    <row r="462" ht="18" customHeight="1" s="43">
      <c r="B462" s="48" t="n"/>
      <c r="C462" s="7" t="inlineStr">
        <is>
          <t>59期</t>
        </is>
      </c>
      <c r="D462" s="12" t="n"/>
      <c r="E462" s="12" t="n"/>
      <c r="F462" s="12" t="n"/>
      <c r="G462" s="12" t="n"/>
      <c r="H462" s="12" t="n"/>
      <c r="I462" s="13" t="n"/>
      <c r="J462" s="14">
        <f>SUM(D462:I462)</f>
        <v/>
      </c>
      <c r="K462" s="15" t="n"/>
      <c r="L462" s="12" t="n"/>
      <c r="M462" s="12" t="n"/>
      <c r="N462" s="12" t="n"/>
      <c r="O462" s="12" t="n"/>
      <c r="P462" s="13" t="n"/>
      <c r="Q462" s="14">
        <f>SUM(K462:P462)</f>
        <v/>
      </c>
      <c r="R462" s="14">
        <f>J462+Q462</f>
        <v/>
      </c>
      <c r="S462" s="17" t="n"/>
    </row>
    <row r="463" ht="18" customHeight="1" s="43">
      <c r="B463" s="48" t="n"/>
      <c r="C463" s="23" t="inlineStr">
        <is>
          <t>増　減</t>
        </is>
      </c>
      <c r="D463" s="24">
        <f>D462-D461</f>
        <v/>
      </c>
      <c r="E463" s="24">
        <f>E462-E461</f>
        <v/>
      </c>
      <c r="F463" s="24">
        <f>F462-F461</f>
        <v/>
      </c>
      <c r="G463" s="24">
        <f>G462-G461</f>
        <v/>
      </c>
      <c r="H463" s="24">
        <f>H462-H461</f>
        <v/>
      </c>
      <c r="I463" s="27">
        <f>I462-I461</f>
        <v/>
      </c>
      <c r="J463" s="30">
        <f>SUM(D463:I463)</f>
        <v/>
      </c>
      <c r="K463" s="29">
        <f>K462-K461</f>
        <v/>
      </c>
      <c r="L463" s="24">
        <f>L462-L461</f>
        <v/>
      </c>
      <c r="M463" s="24">
        <f>M462-M461</f>
        <v/>
      </c>
      <c r="N463" s="24">
        <f>N462-N461</f>
        <v/>
      </c>
      <c r="O463" s="24">
        <f>O462-O461</f>
        <v/>
      </c>
      <c r="P463" s="27">
        <f>P462-P461</f>
        <v/>
      </c>
      <c r="Q463" s="30">
        <f>SUM(K463:P463)</f>
        <v/>
      </c>
      <c r="R463" s="30">
        <f>J463+Q463</f>
        <v/>
      </c>
      <c r="S463" s="17" t="n"/>
    </row>
    <row r="464" ht="18" customHeight="1" s="43" thickBot="1">
      <c r="B464" s="60" t="n"/>
      <c r="C464" s="25" t="inlineStr">
        <is>
          <t>稼働棟数</t>
        </is>
      </c>
      <c r="D464" s="20" t="n"/>
      <c r="E464" s="20" t="n"/>
      <c r="F464" s="20" t="n"/>
      <c r="G464" s="20" t="n"/>
      <c r="H464" s="20" t="n"/>
      <c r="I464" s="28" t="n"/>
      <c r="J464" s="21">
        <f>I464</f>
        <v/>
      </c>
      <c r="K464" s="22" t="n"/>
      <c r="L464" s="20" t="n"/>
      <c r="M464" s="20" t="n"/>
      <c r="N464" s="20" t="n"/>
      <c r="O464" s="20" t="n"/>
      <c r="P464" s="28" t="n"/>
      <c r="Q464" s="21">
        <f>P464</f>
        <v/>
      </c>
      <c r="R464" s="21">
        <f>Q464</f>
        <v/>
      </c>
      <c r="S464" s="18" t="n"/>
    </row>
    <row r="465" ht="18" customHeight="1" s="43">
      <c r="B465" s="59" t="inlineStr">
        <is>
          <t>Adobe/ミニトマト</t>
        </is>
      </c>
      <c r="C465" s="31" t="inlineStr">
        <is>
          <t>58期</t>
        </is>
      </c>
      <c r="D465" s="8" t="n"/>
      <c r="E465" s="8" t="n"/>
      <c r="F465" s="8" t="n"/>
      <c r="G465" s="8" t="n"/>
      <c r="H465" s="8" t="n"/>
      <c r="I465" s="9" t="n"/>
      <c r="J465" s="10">
        <f>SUM(D465:I465)</f>
        <v/>
      </c>
      <c r="K465" s="11" t="n"/>
      <c r="L465" s="8" t="n"/>
      <c r="M465" s="8" t="n"/>
      <c r="N465" s="8" t="n"/>
      <c r="O465" s="8" t="n"/>
      <c r="P465" s="9" t="n"/>
      <c r="Q465" s="10">
        <f>SUM(K465:P465)</f>
        <v/>
      </c>
      <c r="R465" s="10">
        <f>J465+Q465</f>
        <v/>
      </c>
      <c r="S465" s="16" t="n"/>
    </row>
    <row r="466" ht="18" customHeight="1" s="43">
      <c r="B466" s="48" t="n"/>
      <c r="C466" s="7" t="inlineStr">
        <is>
          <t>59期</t>
        </is>
      </c>
      <c r="D466" s="12" t="n"/>
      <c r="E466" s="12" t="n"/>
      <c r="F466" s="12" t="n"/>
      <c r="G466" s="12" t="n"/>
      <c r="H466" s="12" t="n"/>
      <c r="I466" s="13" t="n"/>
      <c r="J466" s="14">
        <f>SUM(D466:I466)</f>
        <v/>
      </c>
      <c r="K466" s="15" t="n"/>
      <c r="L466" s="12" t="n"/>
      <c r="M466" s="12" t="n"/>
      <c r="N466" s="12" t="n"/>
      <c r="O466" s="12" t="n"/>
      <c r="P466" s="13" t="n"/>
      <c r="Q466" s="14">
        <f>SUM(K466:P466)</f>
        <v/>
      </c>
      <c r="R466" s="14">
        <f>J466+Q466</f>
        <v/>
      </c>
      <c r="S466" s="17" t="n"/>
    </row>
    <row r="467" ht="18" customHeight="1" s="43">
      <c r="B467" s="48" t="n"/>
      <c r="C467" s="23" t="inlineStr">
        <is>
          <t>増　減</t>
        </is>
      </c>
      <c r="D467" s="24">
        <f>D466-D465</f>
        <v/>
      </c>
      <c r="E467" s="24">
        <f>E466-E465</f>
        <v/>
      </c>
      <c r="F467" s="24">
        <f>F466-F465</f>
        <v/>
      </c>
      <c r="G467" s="24">
        <f>G466-G465</f>
        <v/>
      </c>
      <c r="H467" s="24">
        <f>H466-H465</f>
        <v/>
      </c>
      <c r="I467" s="27">
        <f>I466-I465</f>
        <v/>
      </c>
      <c r="J467" s="30">
        <f>SUM(D467:I467)</f>
        <v/>
      </c>
      <c r="K467" s="29">
        <f>K466-K465</f>
        <v/>
      </c>
      <c r="L467" s="24">
        <f>L466-L465</f>
        <v/>
      </c>
      <c r="M467" s="24">
        <f>M466-M465</f>
        <v/>
      </c>
      <c r="N467" s="24">
        <f>N466-N465</f>
        <v/>
      </c>
      <c r="O467" s="24">
        <f>O466-O465</f>
        <v/>
      </c>
      <c r="P467" s="27">
        <f>P466-P465</f>
        <v/>
      </c>
      <c r="Q467" s="30">
        <f>SUM(K467:P467)</f>
        <v/>
      </c>
      <c r="R467" s="30">
        <f>J467+Q467</f>
        <v/>
      </c>
      <c r="S467" s="17" t="n"/>
    </row>
    <row r="468" ht="18" customHeight="1" s="43" thickBot="1">
      <c r="B468" s="60" t="n"/>
      <c r="C468" s="25" t="inlineStr">
        <is>
          <t>稼働棟数</t>
        </is>
      </c>
      <c r="D468" s="20" t="n"/>
      <c r="E468" s="20" t="n"/>
      <c r="F468" s="20" t="n"/>
      <c r="G468" s="20" t="n"/>
      <c r="H468" s="20" t="n"/>
      <c r="I468" s="28" t="n"/>
      <c r="J468" s="21">
        <f>I468</f>
        <v/>
      </c>
      <c r="K468" s="22" t="n"/>
      <c r="L468" s="20" t="n"/>
      <c r="M468" s="20" t="n"/>
      <c r="N468" s="20" t="n"/>
      <c r="O468" s="20" t="n"/>
      <c r="P468" s="28" t="n"/>
      <c r="Q468" s="21">
        <f>P468</f>
        <v/>
      </c>
      <c r="R468" s="21">
        <f>Q468</f>
        <v/>
      </c>
      <c r="S468" s="18" t="n"/>
    </row>
    <row r="469" ht="18" customHeight="1" s="43">
      <c r="B469" s="59" t="inlineStr">
        <is>
          <t>Adobe/根物野菜</t>
        </is>
      </c>
      <c r="C469" s="31" t="inlineStr">
        <is>
          <t>58期</t>
        </is>
      </c>
      <c r="D469" s="8" t="n"/>
      <c r="E469" s="8" t="n"/>
      <c r="F469" s="8" t="n"/>
      <c r="G469" s="8" t="n"/>
      <c r="H469" s="8" t="n"/>
      <c r="I469" s="9" t="n"/>
      <c r="J469" s="10">
        <f>SUM(D469:I469)</f>
        <v/>
      </c>
      <c r="K469" s="11" t="n"/>
      <c r="L469" s="8" t="n"/>
      <c r="M469" s="8" t="n"/>
      <c r="N469" s="8" t="n"/>
      <c r="O469" s="8" t="n"/>
      <c r="P469" s="9" t="n"/>
      <c r="Q469" s="10">
        <f>SUM(K469:P469)</f>
        <v/>
      </c>
      <c r="R469" s="10">
        <f>J469+Q469</f>
        <v/>
      </c>
      <c r="S469" s="16" t="n"/>
    </row>
    <row r="470" ht="18" customHeight="1" s="43">
      <c r="B470" s="48" t="n"/>
      <c r="C470" s="7" t="inlineStr">
        <is>
          <t>59期</t>
        </is>
      </c>
      <c r="D470" s="12" t="n"/>
      <c r="E470" s="12" t="n"/>
      <c r="F470" s="12" t="n"/>
      <c r="G470" s="12" t="n"/>
      <c r="H470" s="12" t="n"/>
      <c r="I470" s="13" t="n"/>
      <c r="J470" s="14">
        <f>SUM(D470:I470)</f>
        <v/>
      </c>
      <c r="K470" s="15" t="n"/>
      <c r="L470" s="12" t="n"/>
      <c r="M470" s="12" t="n"/>
      <c r="N470" s="12" t="n"/>
      <c r="O470" s="12" t="n"/>
      <c r="P470" s="13" t="n"/>
      <c r="Q470" s="14">
        <f>SUM(K470:P470)</f>
        <v/>
      </c>
      <c r="R470" s="14">
        <f>J470+Q470</f>
        <v/>
      </c>
      <c r="S470" s="17" t="n"/>
    </row>
    <row r="471" ht="18" customHeight="1" s="43">
      <c r="B471" s="48" t="n"/>
      <c r="C471" s="23" t="inlineStr">
        <is>
          <t>増　減</t>
        </is>
      </c>
      <c r="D471" s="24">
        <f>D470-D469</f>
        <v/>
      </c>
      <c r="E471" s="24">
        <f>E470-E469</f>
        <v/>
      </c>
      <c r="F471" s="24">
        <f>F470-F469</f>
        <v/>
      </c>
      <c r="G471" s="24">
        <f>G470-G469</f>
        <v/>
      </c>
      <c r="H471" s="24">
        <f>H470-H469</f>
        <v/>
      </c>
      <c r="I471" s="27">
        <f>I470-I469</f>
        <v/>
      </c>
      <c r="J471" s="30">
        <f>SUM(D471:I471)</f>
        <v/>
      </c>
      <c r="K471" s="29">
        <f>K470-K469</f>
        <v/>
      </c>
      <c r="L471" s="24">
        <f>L470-L469</f>
        <v/>
      </c>
      <c r="M471" s="24">
        <f>M470-M469</f>
        <v/>
      </c>
      <c r="N471" s="24">
        <f>N470-N469</f>
        <v/>
      </c>
      <c r="O471" s="24">
        <f>O470-O469</f>
        <v/>
      </c>
      <c r="P471" s="27">
        <f>P470-P469</f>
        <v/>
      </c>
      <c r="Q471" s="30">
        <f>SUM(K471:P471)</f>
        <v/>
      </c>
      <c r="R471" s="30">
        <f>J471+Q471</f>
        <v/>
      </c>
      <c r="S471" s="17" t="n"/>
    </row>
    <row r="472" ht="18" customHeight="1" s="43" thickBot="1">
      <c r="B472" s="60" t="n"/>
      <c r="C472" s="25" t="inlineStr">
        <is>
          <t>稼働棟数</t>
        </is>
      </c>
      <c r="D472" s="20" t="n"/>
      <c r="E472" s="20" t="n"/>
      <c r="F472" s="20" t="n"/>
      <c r="G472" s="20" t="n"/>
      <c r="H472" s="20" t="n"/>
      <c r="I472" s="28" t="n"/>
      <c r="J472" s="21">
        <f>I472</f>
        <v/>
      </c>
      <c r="K472" s="22" t="n"/>
      <c r="L472" s="20" t="n"/>
      <c r="M472" s="20" t="n"/>
      <c r="N472" s="20" t="n"/>
      <c r="O472" s="20" t="n"/>
      <c r="P472" s="28" t="n"/>
      <c r="Q472" s="21">
        <f>P472</f>
        <v/>
      </c>
      <c r="R472" s="21">
        <f>Q472</f>
        <v/>
      </c>
      <c r="S472" s="18" t="n"/>
    </row>
    <row r="473" ht="18" customHeight="1" s="43">
      <c r="B473" s="59" t="inlineStr">
        <is>
          <t>Adobe/実物野菜</t>
        </is>
      </c>
      <c r="C473" s="31" t="inlineStr">
        <is>
          <t>58期</t>
        </is>
      </c>
      <c r="D473" s="8" t="n"/>
      <c r="E473" s="8" t="n"/>
      <c r="F473" s="8" t="n"/>
      <c r="G473" s="8" t="n"/>
      <c r="H473" s="8" t="n"/>
      <c r="I473" s="9" t="n"/>
      <c r="J473" s="10">
        <f>SUM(D473:I473)</f>
        <v/>
      </c>
      <c r="K473" s="11" t="n"/>
      <c r="L473" s="8" t="n"/>
      <c r="M473" s="8" t="n"/>
      <c r="N473" s="8" t="n"/>
      <c r="O473" s="8" t="n"/>
      <c r="P473" s="9" t="n"/>
      <c r="Q473" s="10">
        <f>SUM(K473:P473)</f>
        <v/>
      </c>
      <c r="R473" s="10">
        <f>J473+Q473</f>
        <v/>
      </c>
      <c r="S473" s="16" t="n"/>
    </row>
    <row r="474" ht="18" customHeight="1" s="43">
      <c r="B474" s="48" t="n"/>
      <c r="C474" s="7" t="inlineStr">
        <is>
          <t>59期</t>
        </is>
      </c>
      <c r="D474" s="12" t="n"/>
      <c r="E474" s="12" t="n"/>
      <c r="F474" s="12" t="n"/>
      <c r="G474" s="12" t="n"/>
      <c r="H474" s="12" t="n"/>
      <c r="I474" s="13" t="n"/>
      <c r="J474" s="14">
        <f>SUM(D474:I474)</f>
        <v/>
      </c>
      <c r="K474" s="15" t="n"/>
      <c r="L474" s="12" t="n"/>
      <c r="M474" s="12" t="n"/>
      <c r="N474" s="12" t="n"/>
      <c r="O474" s="12" t="n"/>
      <c r="P474" s="13" t="n"/>
      <c r="Q474" s="14">
        <f>SUM(K474:P474)</f>
        <v/>
      </c>
      <c r="R474" s="14">
        <f>J474+Q474</f>
        <v/>
      </c>
      <c r="S474" s="17" t="n"/>
    </row>
    <row r="475" ht="18" customHeight="1" s="43">
      <c r="B475" s="48" t="n"/>
      <c r="C475" s="23" t="inlineStr">
        <is>
          <t>増　減</t>
        </is>
      </c>
      <c r="D475" s="24">
        <f>D474-D473</f>
        <v/>
      </c>
      <c r="E475" s="24">
        <f>E474-E473</f>
        <v/>
      </c>
      <c r="F475" s="24">
        <f>F474-F473</f>
        <v/>
      </c>
      <c r="G475" s="24">
        <f>G474-G473</f>
        <v/>
      </c>
      <c r="H475" s="24">
        <f>H474-H473</f>
        <v/>
      </c>
      <c r="I475" s="27">
        <f>I474-I473</f>
        <v/>
      </c>
      <c r="J475" s="30">
        <f>SUM(D475:I475)</f>
        <v/>
      </c>
      <c r="K475" s="29">
        <f>K474-K473</f>
        <v/>
      </c>
      <c r="L475" s="24">
        <f>L474-L473</f>
        <v/>
      </c>
      <c r="M475" s="24">
        <f>M474-M473</f>
        <v/>
      </c>
      <c r="N475" s="24">
        <f>N474-N473</f>
        <v/>
      </c>
      <c r="O475" s="24">
        <f>O474-O473</f>
        <v/>
      </c>
      <c r="P475" s="27">
        <f>P474-P473</f>
        <v/>
      </c>
      <c r="Q475" s="30">
        <f>SUM(K475:P475)</f>
        <v/>
      </c>
      <c r="R475" s="30">
        <f>J475+Q475</f>
        <v/>
      </c>
      <c r="S475" s="17" t="n"/>
    </row>
    <row r="476" ht="18" customHeight="1" s="43" thickBot="1">
      <c r="B476" s="60" t="n"/>
      <c r="C476" s="25" t="inlineStr">
        <is>
          <t>稼働棟数</t>
        </is>
      </c>
      <c r="D476" s="20" t="n"/>
      <c r="E476" s="20" t="n"/>
      <c r="F476" s="20" t="n"/>
      <c r="G476" s="20" t="n"/>
      <c r="H476" s="20" t="n"/>
      <c r="I476" s="28" t="n"/>
      <c r="J476" s="21">
        <f>I476</f>
        <v/>
      </c>
      <c r="K476" s="22" t="n"/>
      <c r="L476" s="20" t="n"/>
      <c r="M476" s="20" t="n"/>
      <c r="N476" s="20" t="n"/>
      <c r="O476" s="20" t="n"/>
      <c r="P476" s="28" t="n"/>
      <c r="Q476" s="21">
        <f>P476</f>
        <v/>
      </c>
      <c r="R476" s="21">
        <f>Q476</f>
        <v/>
      </c>
      <c r="S476" s="18" t="n"/>
    </row>
    <row r="477" ht="18" customHeight="1" s="43">
      <c r="B477" s="59" t="inlineStr">
        <is>
          <t>Adobe/食用花</t>
        </is>
      </c>
      <c r="C477" s="31" t="inlineStr">
        <is>
          <t>58期</t>
        </is>
      </c>
      <c r="D477" s="8" t="n"/>
      <c r="E477" s="8" t="n"/>
      <c r="F477" s="8" t="n"/>
      <c r="G477" s="8" t="n"/>
      <c r="H477" s="8" t="n"/>
      <c r="I477" s="9" t="n"/>
      <c r="J477" s="10">
        <f>SUM(D477:I477)</f>
        <v/>
      </c>
      <c r="K477" s="11" t="n"/>
      <c r="L477" s="8" t="n"/>
      <c r="M477" s="8" t="n"/>
      <c r="N477" s="8" t="n"/>
      <c r="O477" s="8" t="n"/>
      <c r="P477" s="9" t="n"/>
      <c r="Q477" s="10">
        <f>SUM(K477:P477)</f>
        <v/>
      </c>
      <c r="R477" s="10">
        <f>J477+Q477</f>
        <v/>
      </c>
      <c r="S477" s="16" t="n"/>
    </row>
    <row r="478" ht="18" customHeight="1" s="43">
      <c r="B478" s="48" t="n"/>
      <c r="C478" s="7" t="inlineStr">
        <is>
          <t>59期</t>
        </is>
      </c>
      <c r="D478" s="12" t="n"/>
      <c r="E478" s="12" t="n"/>
      <c r="F478" s="12" t="n"/>
      <c r="G478" s="12" t="n"/>
      <c r="H478" s="12" t="n"/>
      <c r="I478" s="13" t="n"/>
      <c r="J478" s="14">
        <f>SUM(D478:I478)</f>
        <v/>
      </c>
      <c r="K478" s="15" t="n"/>
      <c r="L478" s="12" t="n"/>
      <c r="M478" s="12" t="n"/>
      <c r="N478" s="12" t="n"/>
      <c r="O478" s="12" t="n"/>
      <c r="P478" s="13" t="n"/>
      <c r="Q478" s="14">
        <f>SUM(K478:P478)</f>
        <v/>
      </c>
      <c r="R478" s="14">
        <f>J478+Q478</f>
        <v/>
      </c>
      <c r="S478" s="17" t="n"/>
    </row>
    <row r="479" ht="18" customHeight="1" s="43">
      <c r="B479" s="48" t="n"/>
      <c r="C479" s="23" t="inlineStr">
        <is>
          <t>増　減</t>
        </is>
      </c>
      <c r="D479" s="24">
        <f>D478-D477</f>
        <v/>
      </c>
      <c r="E479" s="24">
        <f>E478-E477</f>
        <v/>
      </c>
      <c r="F479" s="24">
        <f>F478-F477</f>
        <v/>
      </c>
      <c r="G479" s="24">
        <f>G478-G477</f>
        <v/>
      </c>
      <c r="H479" s="24">
        <f>H478-H477</f>
        <v/>
      </c>
      <c r="I479" s="27">
        <f>I478-I477</f>
        <v/>
      </c>
      <c r="J479" s="30">
        <f>SUM(D479:I479)</f>
        <v/>
      </c>
      <c r="K479" s="29">
        <f>K478-K477</f>
        <v/>
      </c>
      <c r="L479" s="24">
        <f>L478-L477</f>
        <v/>
      </c>
      <c r="M479" s="24">
        <f>M478-M477</f>
        <v/>
      </c>
      <c r="N479" s="24">
        <f>N478-N477</f>
        <v/>
      </c>
      <c r="O479" s="24">
        <f>O478-O477</f>
        <v/>
      </c>
      <c r="P479" s="27">
        <f>P478-P477</f>
        <v/>
      </c>
      <c r="Q479" s="30">
        <f>SUM(K479:P479)</f>
        <v/>
      </c>
      <c r="R479" s="30">
        <f>J479+Q479</f>
        <v/>
      </c>
      <c r="S479" s="17" t="n"/>
    </row>
    <row r="480" ht="18" customHeight="1" s="43" thickBot="1">
      <c r="B480" s="60" t="n"/>
      <c r="C480" s="25" t="inlineStr">
        <is>
          <t>稼働棟数</t>
        </is>
      </c>
      <c r="D480" s="20" t="n"/>
      <c r="E480" s="20" t="n"/>
      <c r="F480" s="20" t="n"/>
      <c r="G480" s="20" t="n"/>
      <c r="H480" s="20" t="n"/>
      <c r="I480" s="28" t="n"/>
      <c r="J480" s="21">
        <f>I480</f>
        <v/>
      </c>
      <c r="K480" s="22" t="n"/>
      <c r="L480" s="20" t="n"/>
      <c r="M480" s="20" t="n"/>
      <c r="N480" s="20" t="n"/>
      <c r="O480" s="20" t="n"/>
      <c r="P480" s="28" t="n"/>
      <c r="Q480" s="21">
        <f>P480</f>
        <v/>
      </c>
      <c r="R480" s="21">
        <f>Q480</f>
        <v/>
      </c>
      <c r="S480" s="18" t="n"/>
    </row>
    <row r="481" ht="18" customHeight="1" s="43">
      <c r="B481" s="59" t="inlineStr">
        <is>
          <t>Adobe/葉物野菜</t>
        </is>
      </c>
      <c r="C481" s="31" t="inlineStr">
        <is>
          <t>58期</t>
        </is>
      </c>
      <c r="D481" s="8" t="n"/>
      <c r="E481" s="8" t="n"/>
      <c r="F481" s="8" t="n"/>
      <c r="G481" s="8" t="n"/>
      <c r="H481" s="8" t="n"/>
      <c r="I481" s="9" t="n"/>
      <c r="J481" s="10">
        <f>SUM(D481:I481)</f>
        <v/>
      </c>
      <c r="K481" s="11" t="n"/>
      <c r="L481" s="8" t="n"/>
      <c r="M481" s="8" t="n"/>
      <c r="N481" s="8" t="n"/>
      <c r="O481" s="8" t="n"/>
      <c r="P481" s="9" t="n"/>
      <c r="Q481" s="10">
        <f>SUM(K481:P481)</f>
        <v/>
      </c>
      <c r="R481" s="10">
        <f>J481+Q481</f>
        <v/>
      </c>
      <c r="S481" s="16" t="n"/>
    </row>
    <row r="482" ht="18" customHeight="1" s="43">
      <c r="B482" s="48" t="n"/>
      <c r="C482" s="7" t="inlineStr">
        <is>
          <t>59期</t>
        </is>
      </c>
      <c r="D482" s="12" t="n"/>
      <c r="E482" s="12" t="n"/>
      <c r="F482" s="12" t="n"/>
      <c r="G482" s="12" t="n"/>
      <c r="H482" s="12" t="n"/>
      <c r="I482" s="13" t="n"/>
      <c r="J482" s="14">
        <f>SUM(D482:I482)</f>
        <v/>
      </c>
      <c r="K482" s="15" t="n"/>
      <c r="L482" s="12" t="n"/>
      <c r="M482" s="12" t="n"/>
      <c r="N482" s="12" t="n"/>
      <c r="O482" s="12" t="n"/>
      <c r="P482" s="13" t="n"/>
      <c r="Q482" s="14">
        <f>SUM(K482:P482)</f>
        <v/>
      </c>
      <c r="R482" s="14">
        <f>J482+Q482</f>
        <v/>
      </c>
      <c r="S482" s="17" t="n"/>
    </row>
    <row r="483" ht="18" customHeight="1" s="43">
      <c r="B483" s="48" t="n"/>
      <c r="C483" s="23" t="inlineStr">
        <is>
          <t>増　減</t>
        </is>
      </c>
      <c r="D483" s="24">
        <f>D482-D481</f>
        <v/>
      </c>
      <c r="E483" s="24">
        <f>E482-E481</f>
        <v/>
      </c>
      <c r="F483" s="24">
        <f>F482-F481</f>
        <v/>
      </c>
      <c r="G483" s="24">
        <f>G482-G481</f>
        <v/>
      </c>
      <c r="H483" s="24">
        <f>H482-H481</f>
        <v/>
      </c>
      <c r="I483" s="27">
        <f>I482-I481</f>
        <v/>
      </c>
      <c r="J483" s="30">
        <f>SUM(D483:I483)</f>
        <v/>
      </c>
      <c r="K483" s="29">
        <f>K482-K481</f>
        <v/>
      </c>
      <c r="L483" s="24">
        <f>L482-L481</f>
        <v/>
      </c>
      <c r="M483" s="24">
        <f>M482-M481</f>
        <v/>
      </c>
      <c r="N483" s="24">
        <f>N482-N481</f>
        <v/>
      </c>
      <c r="O483" s="24">
        <f>O482-O481</f>
        <v/>
      </c>
      <c r="P483" s="27">
        <f>P482-P481</f>
        <v/>
      </c>
      <c r="Q483" s="30">
        <f>SUM(K483:P483)</f>
        <v/>
      </c>
      <c r="R483" s="30">
        <f>J483+Q483</f>
        <v/>
      </c>
      <c r="S483" s="17" t="n"/>
    </row>
    <row r="484" ht="18" customHeight="1" s="43" thickBot="1">
      <c r="B484" s="60" t="n"/>
      <c r="C484" s="25" t="inlineStr">
        <is>
          <t>稼働棟数</t>
        </is>
      </c>
      <c r="D484" s="20" t="n"/>
      <c r="E484" s="20" t="n"/>
      <c r="F484" s="20" t="n"/>
      <c r="G484" s="20" t="n"/>
      <c r="H484" s="20" t="n"/>
      <c r="I484" s="28" t="n"/>
      <c r="J484" s="21">
        <f>I484</f>
        <v/>
      </c>
      <c r="K484" s="22" t="n"/>
      <c r="L484" s="20" t="n"/>
      <c r="M484" s="20" t="n"/>
      <c r="N484" s="20" t="n"/>
      <c r="O484" s="20" t="n"/>
      <c r="P484" s="28" t="n"/>
      <c r="Q484" s="21">
        <f>P484</f>
        <v/>
      </c>
      <c r="R484" s="21">
        <f>Q484</f>
        <v/>
      </c>
      <c r="S484" s="18" t="n"/>
    </row>
    <row r="485" ht="18" customHeight="1" s="43">
      <c r="B485" s="59" t="inlineStr">
        <is>
          <t>富士機材/イチゴ</t>
        </is>
      </c>
      <c r="C485" s="31" t="inlineStr">
        <is>
          <t>58期</t>
        </is>
      </c>
      <c r="D485" s="8" t="n"/>
      <c r="E485" s="8" t="n"/>
      <c r="F485" s="8" t="n"/>
      <c r="G485" s="8" t="n"/>
      <c r="H485" s="8" t="n"/>
      <c r="I485" s="9" t="n"/>
      <c r="J485" s="10">
        <f>SUM(D485:I485)</f>
        <v/>
      </c>
      <c r="K485" s="11" t="n"/>
      <c r="L485" s="8" t="n"/>
      <c r="M485" s="8" t="n"/>
      <c r="N485" s="8" t="n"/>
      <c r="O485" s="8" t="n"/>
      <c r="P485" s="9" t="n"/>
      <c r="Q485" s="10">
        <f>SUM(K485:P485)</f>
        <v/>
      </c>
      <c r="R485" s="10">
        <f>J485+Q485</f>
        <v/>
      </c>
      <c r="S485" s="16" t="n"/>
    </row>
    <row r="486" ht="18" customHeight="1" s="43">
      <c r="B486" s="48" t="n"/>
      <c r="C486" s="7" t="inlineStr">
        <is>
          <t>59期</t>
        </is>
      </c>
      <c r="D486" s="12" t="n"/>
      <c r="E486" s="12" t="n"/>
      <c r="F486" s="12" t="n"/>
      <c r="G486" s="12" t="n"/>
      <c r="H486" s="12" t="n"/>
      <c r="I486" s="13" t="n"/>
      <c r="J486" s="14">
        <f>SUM(D486:I486)</f>
        <v/>
      </c>
      <c r="K486" s="15" t="n"/>
      <c r="L486" s="12" t="n"/>
      <c r="M486" s="12" t="n"/>
      <c r="N486" s="12" t="n"/>
      <c r="O486" s="12" t="n"/>
      <c r="P486" s="13" t="n"/>
      <c r="Q486" s="14">
        <f>SUM(K486:P486)</f>
        <v/>
      </c>
      <c r="R486" s="14">
        <f>J486+Q486</f>
        <v/>
      </c>
      <c r="S486" s="17" t="n"/>
    </row>
    <row r="487" ht="18" customHeight="1" s="43">
      <c r="B487" s="48" t="n"/>
      <c r="C487" s="23" t="inlineStr">
        <is>
          <t>増　減</t>
        </is>
      </c>
      <c r="D487" s="24">
        <f>D486-D485</f>
        <v/>
      </c>
      <c r="E487" s="24">
        <f>E486-E485</f>
        <v/>
      </c>
      <c r="F487" s="24">
        <f>F486-F485</f>
        <v/>
      </c>
      <c r="G487" s="24">
        <f>G486-G485</f>
        <v/>
      </c>
      <c r="H487" s="24">
        <f>H486-H485</f>
        <v/>
      </c>
      <c r="I487" s="27">
        <f>I486-I485</f>
        <v/>
      </c>
      <c r="J487" s="30">
        <f>SUM(D487:I487)</f>
        <v/>
      </c>
      <c r="K487" s="29">
        <f>K486-K485</f>
        <v/>
      </c>
      <c r="L487" s="24">
        <f>L486-L485</f>
        <v/>
      </c>
      <c r="M487" s="24">
        <f>M486-M485</f>
        <v/>
      </c>
      <c r="N487" s="24">
        <f>N486-N485</f>
        <v/>
      </c>
      <c r="O487" s="24">
        <f>O486-O485</f>
        <v/>
      </c>
      <c r="P487" s="27">
        <f>P486-P485</f>
        <v/>
      </c>
      <c r="Q487" s="30">
        <f>SUM(K487:P487)</f>
        <v/>
      </c>
      <c r="R487" s="30">
        <f>J487+Q487</f>
        <v/>
      </c>
      <c r="S487" s="17" t="n"/>
    </row>
    <row r="488" ht="18" customHeight="1" s="43" thickBot="1">
      <c r="B488" s="60" t="n"/>
      <c r="C488" s="25" t="inlineStr">
        <is>
          <t>稼働棟数</t>
        </is>
      </c>
      <c r="D488" s="20" t="n"/>
      <c r="E488" s="20" t="n"/>
      <c r="F488" s="20" t="n"/>
      <c r="G488" s="20" t="n"/>
      <c r="H488" s="20" t="n"/>
      <c r="I488" s="28" t="n"/>
      <c r="J488" s="21">
        <f>I488</f>
        <v/>
      </c>
      <c r="K488" s="22" t="n"/>
      <c r="L488" s="20" t="n"/>
      <c r="M488" s="20" t="n"/>
      <c r="N488" s="20" t="n"/>
      <c r="O488" s="20" t="n"/>
      <c r="P488" s="28" t="n"/>
      <c r="Q488" s="21">
        <f>P488</f>
        <v/>
      </c>
      <c r="R488" s="21">
        <f>Q488</f>
        <v/>
      </c>
      <c r="S488" s="18" t="n"/>
    </row>
    <row r="489" ht="18" customHeight="1" s="43">
      <c r="B489" s="59" t="inlineStr">
        <is>
          <t>富士機材/トマト</t>
        </is>
      </c>
      <c r="C489" s="31" t="inlineStr">
        <is>
          <t>58期</t>
        </is>
      </c>
      <c r="D489" s="8" t="n"/>
      <c r="E489" s="8" t="n"/>
      <c r="F489" s="8" t="n"/>
      <c r="G489" s="8" t="n"/>
      <c r="H489" s="8" t="n"/>
      <c r="I489" s="9" t="n"/>
      <c r="J489" s="10">
        <f>SUM(D489:I489)</f>
        <v/>
      </c>
      <c r="K489" s="11" t="n"/>
      <c r="L489" s="8" t="n"/>
      <c r="M489" s="8" t="n"/>
      <c r="N489" s="8" t="n"/>
      <c r="O489" s="8" t="n"/>
      <c r="P489" s="9" t="n"/>
      <c r="Q489" s="10">
        <f>SUM(K489:P489)</f>
        <v/>
      </c>
      <c r="R489" s="10">
        <f>J489+Q489</f>
        <v/>
      </c>
      <c r="S489" s="16" t="n"/>
    </row>
    <row r="490" ht="18" customHeight="1" s="43">
      <c r="B490" s="48" t="n"/>
      <c r="C490" s="7" t="inlineStr">
        <is>
          <t>59期</t>
        </is>
      </c>
      <c r="D490" s="12" t="n"/>
      <c r="E490" s="12" t="n"/>
      <c r="F490" s="12" t="n"/>
      <c r="G490" s="12" t="n"/>
      <c r="H490" s="12" t="n"/>
      <c r="I490" s="13" t="n"/>
      <c r="J490" s="14">
        <f>SUM(D490:I490)</f>
        <v/>
      </c>
      <c r="K490" s="15" t="n"/>
      <c r="L490" s="12" t="n"/>
      <c r="M490" s="12" t="n"/>
      <c r="N490" s="12" t="n"/>
      <c r="O490" s="12" t="n"/>
      <c r="P490" s="13" t="n"/>
      <c r="Q490" s="14">
        <f>SUM(K490:P490)</f>
        <v/>
      </c>
      <c r="R490" s="14">
        <f>J490+Q490</f>
        <v/>
      </c>
      <c r="S490" s="17" t="n"/>
    </row>
    <row r="491" ht="18" customHeight="1" s="43">
      <c r="B491" s="48" t="n"/>
      <c r="C491" s="23" t="inlineStr">
        <is>
          <t>増　減</t>
        </is>
      </c>
      <c r="D491" s="24">
        <f>D490-D489</f>
        <v/>
      </c>
      <c r="E491" s="24">
        <f>E490-E489</f>
        <v/>
      </c>
      <c r="F491" s="24">
        <f>F490-F489</f>
        <v/>
      </c>
      <c r="G491" s="24">
        <f>G490-G489</f>
        <v/>
      </c>
      <c r="H491" s="24">
        <f>H490-H489</f>
        <v/>
      </c>
      <c r="I491" s="27">
        <f>I490-I489</f>
        <v/>
      </c>
      <c r="J491" s="30">
        <f>SUM(D491:I491)</f>
        <v/>
      </c>
      <c r="K491" s="29">
        <f>K490-K489</f>
        <v/>
      </c>
      <c r="L491" s="24">
        <f>L490-L489</f>
        <v/>
      </c>
      <c r="M491" s="24">
        <f>M490-M489</f>
        <v/>
      </c>
      <c r="N491" s="24">
        <f>N490-N489</f>
        <v/>
      </c>
      <c r="O491" s="24">
        <f>O490-O489</f>
        <v/>
      </c>
      <c r="P491" s="27">
        <f>P490-P489</f>
        <v/>
      </c>
      <c r="Q491" s="30">
        <f>SUM(K491:P491)</f>
        <v/>
      </c>
      <c r="R491" s="30">
        <f>J491+Q491</f>
        <v/>
      </c>
      <c r="S491" s="17" t="n"/>
    </row>
    <row r="492" ht="18" customHeight="1" s="43" thickBot="1">
      <c r="B492" s="60" t="n"/>
      <c r="C492" s="25" t="inlineStr">
        <is>
          <t>稼働棟数</t>
        </is>
      </c>
      <c r="D492" s="20" t="n"/>
      <c r="E492" s="20" t="n"/>
      <c r="F492" s="20" t="n"/>
      <c r="G492" s="20" t="n"/>
      <c r="H492" s="20" t="n"/>
      <c r="I492" s="28" t="n"/>
      <c r="J492" s="21">
        <f>I492</f>
        <v/>
      </c>
      <c r="K492" s="22" t="n"/>
      <c r="L492" s="20" t="n"/>
      <c r="M492" s="20" t="n"/>
      <c r="N492" s="20" t="n"/>
      <c r="O492" s="20" t="n"/>
      <c r="P492" s="28" t="n"/>
      <c r="Q492" s="21">
        <f>P492</f>
        <v/>
      </c>
      <c r="R492" s="21">
        <f>Q492</f>
        <v/>
      </c>
      <c r="S492" s="18" t="n"/>
    </row>
    <row r="493" ht="18" customHeight="1" s="43">
      <c r="B493" s="59" t="inlineStr">
        <is>
          <t>富士機材/ナス</t>
        </is>
      </c>
      <c r="C493" s="31" t="inlineStr">
        <is>
          <t>58期</t>
        </is>
      </c>
      <c r="D493" s="8" t="n"/>
      <c r="E493" s="8" t="n"/>
      <c r="F493" s="8" t="n"/>
      <c r="G493" s="8" t="n"/>
      <c r="H493" s="8" t="n"/>
      <c r="I493" s="9" t="n"/>
      <c r="J493" s="10">
        <f>SUM(D493:I493)</f>
        <v/>
      </c>
      <c r="K493" s="11" t="n"/>
      <c r="L493" s="8" t="n"/>
      <c r="M493" s="8" t="n"/>
      <c r="N493" s="8" t="n"/>
      <c r="O493" s="8" t="n"/>
      <c r="P493" s="9" t="n"/>
      <c r="Q493" s="10">
        <f>SUM(K493:P493)</f>
        <v/>
      </c>
      <c r="R493" s="10">
        <f>J493+Q493</f>
        <v/>
      </c>
      <c r="S493" s="16" t="n"/>
    </row>
    <row r="494" ht="18" customHeight="1" s="43">
      <c r="B494" s="48" t="n"/>
      <c r="C494" s="7" t="inlineStr">
        <is>
          <t>59期</t>
        </is>
      </c>
      <c r="D494" s="12" t="n"/>
      <c r="E494" s="12" t="n"/>
      <c r="F494" s="12" t="n"/>
      <c r="G494" s="12" t="n"/>
      <c r="H494" s="12" t="n"/>
      <c r="I494" s="13" t="n"/>
      <c r="J494" s="14">
        <f>SUM(D494:I494)</f>
        <v/>
      </c>
      <c r="K494" s="15" t="n"/>
      <c r="L494" s="12" t="n"/>
      <c r="M494" s="12" t="n"/>
      <c r="N494" s="12" t="n"/>
      <c r="O494" s="12" t="n"/>
      <c r="P494" s="13" t="n"/>
      <c r="Q494" s="14">
        <f>SUM(K494:P494)</f>
        <v/>
      </c>
      <c r="R494" s="14">
        <f>J494+Q494</f>
        <v/>
      </c>
      <c r="S494" s="17" t="n"/>
    </row>
    <row r="495" ht="18" customHeight="1" s="43">
      <c r="B495" s="48" t="n"/>
      <c r="C495" s="23" t="inlineStr">
        <is>
          <t>増　減</t>
        </is>
      </c>
      <c r="D495" s="24">
        <f>D494-D493</f>
        <v/>
      </c>
      <c r="E495" s="24">
        <f>E494-E493</f>
        <v/>
      </c>
      <c r="F495" s="24">
        <f>F494-F493</f>
        <v/>
      </c>
      <c r="G495" s="24">
        <f>G494-G493</f>
        <v/>
      </c>
      <c r="H495" s="24">
        <f>H494-H493</f>
        <v/>
      </c>
      <c r="I495" s="27">
        <f>I494-I493</f>
        <v/>
      </c>
      <c r="J495" s="30">
        <f>SUM(D495:I495)</f>
        <v/>
      </c>
      <c r="K495" s="29">
        <f>K494-K493</f>
        <v/>
      </c>
      <c r="L495" s="24">
        <f>L494-L493</f>
        <v/>
      </c>
      <c r="M495" s="24">
        <f>M494-M493</f>
        <v/>
      </c>
      <c r="N495" s="24">
        <f>N494-N493</f>
        <v/>
      </c>
      <c r="O495" s="24">
        <f>O494-O493</f>
        <v/>
      </c>
      <c r="P495" s="27">
        <f>P494-P493</f>
        <v/>
      </c>
      <c r="Q495" s="30">
        <f>SUM(K495:P495)</f>
        <v/>
      </c>
      <c r="R495" s="30">
        <f>J495+Q495</f>
        <v/>
      </c>
      <c r="S495" s="17" t="n"/>
    </row>
    <row r="496" ht="18" customHeight="1" s="43" thickBot="1">
      <c r="B496" s="60" t="n"/>
      <c r="C496" s="25" t="inlineStr">
        <is>
          <t>稼働棟数</t>
        </is>
      </c>
      <c r="D496" s="20" t="n"/>
      <c r="E496" s="20" t="n"/>
      <c r="F496" s="20" t="n"/>
      <c r="G496" s="20" t="n"/>
      <c r="H496" s="20" t="n"/>
      <c r="I496" s="28" t="n"/>
      <c r="J496" s="21">
        <f>I496</f>
        <v/>
      </c>
      <c r="K496" s="22" t="n"/>
      <c r="L496" s="20" t="n"/>
      <c r="M496" s="20" t="n"/>
      <c r="N496" s="20" t="n"/>
      <c r="O496" s="20" t="n"/>
      <c r="P496" s="28" t="n"/>
      <c r="Q496" s="21">
        <f>P496</f>
        <v/>
      </c>
      <c r="R496" s="21">
        <f>Q496</f>
        <v/>
      </c>
      <c r="S496" s="18" t="n"/>
    </row>
    <row r="497" ht="18" customHeight="1" s="43">
      <c r="B497" s="59" t="inlineStr">
        <is>
          <t>富士機材/ハーブ</t>
        </is>
      </c>
      <c r="C497" s="31" t="inlineStr">
        <is>
          <t>58期</t>
        </is>
      </c>
      <c r="D497" s="8" t="n"/>
      <c r="E497" s="8" t="n"/>
      <c r="F497" s="8" t="n"/>
      <c r="G497" s="8" t="n"/>
      <c r="H497" s="8" t="n"/>
      <c r="I497" s="9" t="n"/>
      <c r="J497" s="10">
        <f>SUM(D497:I497)</f>
        <v/>
      </c>
      <c r="K497" s="11" t="n"/>
      <c r="L497" s="8" t="n"/>
      <c r="M497" s="8" t="n"/>
      <c r="N497" s="8" t="n"/>
      <c r="O497" s="8" t="n"/>
      <c r="P497" s="9" t="n"/>
      <c r="Q497" s="10">
        <f>SUM(K497:P497)</f>
        <v/>
      </c>
      <c r="R497" s="10">
        <f>J497+Q497</f>
        <v/>
      </c>
      <c r="S497" s="16" t="n"/>
    </row>
    <row r="498" ht="18" customHeight="1" s="43">
      <c r="B498" s="48" t="n"/>
      <c r="C498" s="7" t="inlineStr">
        <is>
          <t>59期</t>
        </is>
      </c>
      <c r="D498" s="12" t="n"/>
      <c r="E498" s="12" t="n"/>
      <c r="F498" s="12" t="n"/>
      <c r="G498" s="12" t="n"/>
      <c r="H498" s="12" t="n"/>
      <c r="I498" s="13" t="n"/>
      <c r="J498" s="14">
        <f>SUM(D498:I498)</f>
        <v/>
      </c>
      <c r="K498" s="15" t="n"/>
      <c r="L498" s="12" t="n"/>
      <c r="M498" s="12" t="n"/>
      <c r="N498" s="12" t="n"/>
      <c r="O498" s="12" t="n"/>
      <c r="P498" s="13" t="n"/>
      <c r="Q498" s="14">
        <f>SUM(K498:P498)</f>
        <v/>
      </c>
      <c r="R498" s="14">
        <f>J498+Q498</f>
        <v/>
      </c>
      <c r="S498" s="17" t="n"/>
    </row>
    <row r="499" ht="18" customHeight="1" s="43">
      <c r="B499" s="48" t="n"/>
      <c r="C499" s="23" t="inlineStr">
        <is>
          <t>増　減</t>
        </is>
      </c>
      <c r="D499" s="24">
        <f>D498-D497</f>
        <v/>
      </c>
      <c r="E499" s="24">
        <f>E498-E497</f>
        <v/>
      </c>
      <c r="F499" s="24">
        <f>F498-F497</f>
        <v/>
      </c>
      <c r="G499" s="24">
        <f>G498-G497</f>
        <v/>
      </c>
      <c r="H499" s="24">
        <f>H498-H497</f>
        <v/>
      </c>
      <c r="I499" s="27">
        <f>I498-I497</f>
        <v/>
      </c>
      <c r="J499" s="30">
        <f>SUM(D499:I499)</f>
        <v/>
      </c>
      <c r="K499" s="29">
        <f>K498-K497</f>
        <v/>
      </c>
      <c r="L499" s="24">
        <f>L498-L497</f>
        <v/>
      </c>
      <c r="M499" s="24">
        <f>M498-M497</f>
        <v/>
      </c>
      <c r="N499" s="24">
        <f>N498-N497</f>
        <v/>
      </c>
      <c r="O499" s="24">
        <f>O498-O497</f>
        <v/>
      </c>
      <c r="P499" s="27">
        <f>P498-P497</f>
        <v/>
      </c>
      <c r="Q499" s="30">
        <f>SUM(K499:P499)</f>
        <v/>
      </c>
      <c r="R499" s="30">
        <f>J499+Q499</f>
        <v/>
      </c>
      <c r="S499" s="17" t="n"/>
    </row>
    <row r="500" ht="18" customHeight="1" s="43" thickBot="1">
      <c r="B500" s="60" t="n"/>
      <c r="C500" s="25" t="inlineStr">
        <is>
          <t>稼働棟数</t>
        </is>
      </c>
      <c r="D500" s="20" t="n"/>
      <c r="E500" s="20" t="n"/>
      <c r="F500" s="20" t="n"/>
      <c r="G500" s="20" t="n"/>
      <c r="H500" s="20" t="n"/>
      <c r="I500" s="28" t="n"/>
      <c r="J500" s="21">
        <f>I500</f>
        <v/>
      </c>
      <c r="K500" s="22" t="n"/>
      <c r="L500" s="20" t="n"/>
      <c r="M500" s="20" t="n"/>
      <c r="N500" s="20" t="n"/>
      <c r="O500" s="20" t="n"/>
      <c r="P500" s="28" t="n"/>
      <c r="Q500" s="21">
        <f>P500</f>
        <v/>
      </c>
      <c r="R500" s="21">
        <f>Q500</f>
        <v/>
      </c>
      <c r="S500" s="18" t="n"/>
    </row>
    <row r="501" ht="18" customHeight="1" s="43">
      <c r="B501" s="59" t="inlineStr">
        <is>
          <t>富士機材/パプリカ</t>
        </is>
      </c>
      <c r="C501" s="31" t="inlineStr">
        <is>
          <t>58期</t>
        </is>
      </c>
      <c r="D501" s="8" t="n"/>
      <c r="E501" s="8" t="n"/>
      <c r="F501" s="8" t="n"/>
      <c r="G501" s="8" t="n"/>
      <c r="H501" s="8" t="n"/>
      <c r="I501" s="9" t="n"/>
      <c r="J501" s="10">
        <f>SUM(D501:I501)</f>
        <v/>
      </c>
      <c r="K501" s="11" t="n"/>
      <c r="L501" s="8" t="n"/>
      <c r="M501" s="8" t="n"/>
      <c r="N501" s="8" t="n"/>
      <c r="O501" s="8" t="n"/>
      <c r="P501" s="9" t="n"/>
      <c r="Q501" s="10">
        <f>SUM(K501:P501)</f>
        <v/>
      </c>
      <c r="R501" s="10">
        <f>J501+Q501</f>
        <v/>
      </c>
      <c r="S501" s="16" t="n"/>
    </row>
    <row r="502" ht="18" customHeight="1" s="43">
      <c r="B502" s="48" t="n"/>
      <c r="C502" s="7" t="inlineStr">
        <is>
          <t>59期</t>
        </is>
      </c>
      <c r="D502" s="12" t="n"/>
      <c r="E502" s="12" t="n"/>
      <c r="F502" s="12" t="n"/>
      <c r="G502" s="12" t="n"/>
      <c r="H502" s="12" t="n"/>
      <c r="I502" s="13" t="n"/>
      <c r="J502" s="14">
        <f>SUM(D502:I502)</f>
        <v/>
      </c>
      <c r="K502" s="15" t="n"/>
      <c r="L502" s="12" t="n"/>
      <c r="M502" s="12" t="n"/>
      <c r="N502" s="12" t="n"/>
      <c r="O502" s="12" t="n"/>
      <c r="P502" s="13" t="n"/>
      <c r="Q502" s="14">
        <f>SUM(K502:P502)</f>
        <v/>
      </c>
      <c r="R502" s="14">
        <f>J502+Q502</f>
        <v/>
      </c>
      <c r="S502" s="17" t="n"/>
    </row>
    <row r="503" ht="18" customHeight="1" s="43">
      <c r="B503" s="48" t="n"/>
      <c r="C503" s="23" t="inlineStr">
        <is>
          <t>増　減</t>
        </is>
      </c>
      <c r="D503" s="24">
        <f>D502-D501</f>
        <v/>
      </c>
      <c r="E503" s="24">
        <f>E502-E501</f>
        <v/>
      </c>
      <c r="F503" s="24">
        <f>F502-F501</f>
        <v/>
      </c>
      <c r="G503" s="24">
        <f>G502-G501</f>
        <v/>
      </c>
      <c r="H503" s="24">
        <f>H502-H501</f>
        <v/>
      </c>
      <c r="I503" s="27">
        <f>I502-I501</f>
        <v/>
      </c>
      <c r="J503" s="30">
        <f>SUM(D503:I503)</f>
        <v/>
      </c>
      <c r="K503" s="29">
        <f>K502-K501</f>
        <v/>
      </c>
      <c r="L503" s="24">
        <f>L502-L501</f>
        <v/>
      </c>
      <c r="M503" s="24">
        <f>M502-M501</f>
        <v/>
      </c>
      <c r="N503" s="24">
        <f>N502-N501</f>
        <v/>
      </c>
      <c r="O503" s="24">
        <f>O502-O501</f>
        <v/>
      </c>
      <c r="P503" s="27">
        <f>P502-P501</f>
        <v/>
      </c>
      <c r="Q503" s="30">
        <f>SUM(K503:P503)</f>
        <v/>
      </c>
      <c r="R503" s="30">
        <f>J503+Q503</f>
        <v/>
      </c>
      <c r="S503" s="17" t="n"/>
    </row>
    <row r="504" ht="18" customHeight="1" s="43" thickBot="1">
      <c r="B504" s="60" t="n"/>
      <c r="C504" s="25" t="inlineStr">
        <is>
          <t>稼働棟数</t>
        </is>
      </c>
      <c r="D504" s="20" t="n"/>
      <c r="E504" s="20" t="n"/>
      <c r="F504" s="20" t="n"/>
      <c r="G504" s="20" t="n"/>
      <c r="H504" s="20" t="n"/>
      <c r="I504" s="28" t="n"/>
      <c r="J504" s="21">
        <f>I504</f>
        <v/>
      </c>
      <c r="K504" s="22" t="n"/>
      <c r="L504" s="20" t="n"/>
      <c r="M504" s="20" t="n"/>
      <c r="N504" s="20" t="n"/>
      <c r="O504" s="20" t="n"/>
      <c r="P504" s="28" t="n"/>
      <c r="Q504" s="21">
        <f>P504</f>
        <v/>
      </c>
      <c r="R504" s="21">
        <f>Q504</f>
        <v/>
      </c>
      <c r="S504" s="18" t="n"/>
    </row>
    <row r="505" ht="18" customHeight="1" s="43">
      <c r="B505" s="59" t="inlineStr">
        <is>
          <t>富士機材/ピーマン</t>
        </is>
      </c>
      <c r="C505" s="31" t="inlineStr">
        <is>
          <t>58期</t>
        </is>
      </c>
      <c r="D505" s="8" t="n"/>
      <c r="E505" s="8" t="n"/>
      <c r="F505" s="8" t="n"/>
      <c r="G505" s="8" t="n"/>
      <c r="H505" s="8" t="n"/>
      <c r="I505" s="9" t="n"/>
      <c r="J505" s="10">
        <f>SUM(D505:I505)</f>
        <v/>
      </c>
      <c r="K505" s="11" t="n"/>
      <c r="L505" s="8" t="n"/>
      <c r="M505" s="8" t="n"/>
      <c r="N505" s="8" t="n"/>
      <c r="O505" s="8" t="n"/>
      <c r="P505" s="9" t="n"/>
      <c r="Q505" s="10">
        <f>SUM(K505:P505)</f>
        <v/>
      </c>
      <c r="R505" s="10">
        <f>J505+Q505</f>
        <v/>
      </c>
      <c r="S505" s="16" t="n"/>
    </row>
    <row r="506" ht="18" customHeight="1" s="43">
      <c r="B506" s="48" t="n"/>
      <c r="C506" s="7" t="inlineStr">
        <is>
          <t>59期</t>
        </is>
      </c>
      <c r="D506" s="12" t="n"/>
      <c r="E506" s="12" t="n"/>
      <c r="F506" s="12" t="n"/>
      <c r="G506" s="12" t="n"/>
      <c r="H506" s="12" t="n"/>
      <c r="I506" s="13" t="n"/>
      <c r="J506" s="14">
        <f>SUM(D506:I506)</f>
        <v/>
      </c>
      <c r="K506" s="15" t="n"/>
      <c r="L506" s="12" t="n"/>
      <c r="M506" s="12" t="n"/>
      <c r="N506" s="12" t="n"/>
      <c r="O506" s="12" t="n"/>
      <c r="P506" s="13" t="n"/>
      <c r="Q506" s="14">
        <f>SUM(K506:P506)</f>
        <v/>
      </c>
      <c r="R506" s="14">
        <f>J506+Q506</f>
        <v/>
      </c>
      <c r="S506" s="17" t="n"/>
    </row>
    <row r="507" ht="18" customHeight="1" s="43">
      <c r="B507" s="48" t="n"/>
      <c r="C507" s="23" t="inlineStr">
        <is>
          <t>増　減</t>
        </is>
      </c>
      <c r="D507" s="24">
        <f>D506-D505</f>
        <v/>
      </c>
      <c r="E507" s="24">
        <f>E506-E505</f>
        <v/>
      </c>
      <c r="F507" s="24">
        <f>F506-F505</f>
        <v/>
      </c>
      <c r="G507" s="24">
        <f>G506-G505</f>
        <v/>
      </c>
      <c r="H507" s="24">
        <f>H506-H505</f>
        <v/>
      </c>
      <c r="I507" s="27">
        <f>I506-I505</f>
        <v/>
      </c>
      <c r="J507" s="30">
        <f>SUM(D507:I507)</f>
        <v/>
      </c>
      <c r="K507" s="29">
        <f>K506-K505</f>
        <v/>
      </c>
      <c r="L507" s="24">
        <f>L506-L505</f>
        <v/>
      </c>
      <c r="M507" s="24">
        <f>M506-M505</f>
        <v/>
      </c>
      <c r="N507" s="24">
        <f>N506-N505</f>
        <v/>
      </c>
      <c r="O507" s="24">
        <f>O506-O505</f>
        <v/>
      </c>
      <c r="P507" s="27">
        <f>P506-P505</f>
        <v/>
      </c>
      <c r="Q507" s="30">
        <f>SUM(K507:P507)</f>
        <v/>
      </c>
      <c r="R507" s="30">
        <f>J507+Q507</f>
        <v/>
      </c>
      <c r="S507" s="17" t="n"/>
    </row>
    <row r="508" ht="18" customHeight="1" s="43" thickBot="1">
      <c r="B508" s="60" t="n"/>
      <c r="C508" s="25" t="inlineStr">
        <is>
          <t>稼働棟数</t>
        </is>
      </c>
      <c r="D508" s="20" t="n"/>
      <c r="E508" s="20" t="n"/>
      <c r="F508" s="20" t="n"/>
      <c r="G508" s="20" t="n"/>
      <c r="H508" s="20" t="n"/>
      <c r="I508" s="28" t="n"/>
      <c r="J508" s="21">
        <f>I508</f>
        <v/>
      </c>
      <c r="K508" s="22" t="n"/>
      <c r="L508" s="20" t="n"/>
      <c r="M508" s="20" t="n"/>
      <c r="N508" s="20" t="n"/>
      <c r="O508" s="20" t="n"/>
      <c r="P508" s="28" t="n"/>
      <c r="Q508" s="21">
        <f>P508</f>
        <v/>
      </c>
      <c r="R508" s="21">
        <f>Q508</f>
        <v/>
      </c>
      <c r="S508" s="18" t="n"/>
    </row>
    <row r="509" ht="18" customHeight="1" s="43">
      <c r="B509" s="59" t="inlineStr">
        <is>
          <t>富士機材/マイクロ</t>
        </is>
      </c>
      <c r="C509" s="31" t="inlineStr">
        <is>
          <t>58期</t>
        </is>
      </c>
      <c r="D509" s="8" t="n"/>
      <c r="E509" s="8" t="n"/>
      <c r="F509" s="8" t="n"/>
      <c r="G509" s="8" t="n"/>
      <c r="H509" s="8" t="n"/>
      <c r="I509" s="9" t="n"/>
      <c r="J509" s="10">
        <f>SUM(D509:I509)</f>
        <v/>
      </c>
      <c r="K509" s="11" t="n"/>
      <c r="L509" s="8" t="n"/>
      <c r="M509" s="8" t="n"/>
      <c r="N509" s="8" t="n"/>
      <c r="O509" s="8" t="n"/>
      <c r="P509" s="9" t="n"/>
      <c r="Q509" s="10">
        <f>SUM(K509:P509)</f>
        <v/>
      </c>
      <c r="R509" s="10">
        <f>J509+Q509</f>
        <v/>
      </c>
      <c r="S509" s="16" t="n"/>
    </row>
    <row r="510" ht="18" customHeight="1" s="43">
      <c r="B510" s="48" t="n"/>
      <c r="C510" s="7" t="inlineStr">
        <is>
          <t>59期</t>
        </is>
      </c>
      <c r="D510" s="12" t="n"/>
      <c r="E510" s="12" t="n"/>
      <c r="F510" s="12" t="n"/>
      <c r="G510" s="12" t="n"/>
      <c r="H510" s="12" t="n"/>
      <c r="I510" s="13" t="n"/>
      <c r="J510" s="14">
        <f>SUM(D510:I510)</f>
        <v/>
      </c>
      <c r="K510" s="15" t="n"/>
      <c r="L510" s="12" t="n"/>
      <c r="M510" s="12" t="n"/>
      <c r="N510" s="12" t="n"/>
      <c r="O510" s="12" t="n"/>
      <c r="P510" s="13" t="n"/>
      <c r="Q510" s="14">
        <f>SUM(K510:P510)</f>
        <v/>
      </c>
      <c r="R510" s="14">
        <f>J510+Q510</f>
        <v/>
      </c>
      <c r="S510" s="17" t="n"/>
    </row>
    <row r="511" ht="18" customHeight="1" s="43">
      <c r="B511" s="48" t="n"/>
      <c r="C511" s="23" t="inlineStr">
        <is>
          <t>増　減</t>
        </is>
      </c>
      <c r="D511" s="24">
        <f>D510-D509</f>
        <v/>
      </c>
      <c r="E511" s="24">
        <f>E510-E509</f>
        <v/>
      </c>
      <c r="F511" s="24">
        <f>F510-F509</f>
        <v/>
      </c>
      <c r="G511" s="24">
        <f>G510-G509</f>
        <v/>
      </c>
      <c r="H511" s="24">
        <f>H510-H509</f>
        <v/>
      </c>
      <c r="I511" s="27">
        <f>I510-I509</f>
        <v/>
      </c>
      <c r="J511" s="30">
        <f>SUM(D511:I511)</f>
        <v/>
      </c>
      <c r="K511" s="29">
        <f>K510-K509</f>
        <v/>
      </c>
      <c r="L511" s="24">
        <f>L510-L509</f>
        <v/>
      </c>
      <c r="M511" s="24">
        <f>M510-M509</f>
        <v/>
      </c>
      <c r="N511" s="24">
        <f>N510-N509</f>
        <v/>
      </c>
      <c r="O511" s="24">
        <f>O510-O509</f>
        <v/>
      </c>
      <c r="P511" s="27">
        <f>P510-P509</f>
        <v/>
      </c>
      <c r="Q511" s="30">
        <f>SUM(K511:P511)</f>
        <v/>
      </c>
      <c r="R511" s="30">
        <f>J511+Q511</f>
        <v/>
      </c>
      <c r="S511" s="17" t="n"/>
    </row>
    <row r="512" ht="18" customHeight="1" s="43" thickBot="1">
      <c r="B512" s="60" t="n"/>
      <c r="C512" s="25" t="inlineStr">
        <is>
          <t>稼働棟数</t>
        </is>
      </c>
      <c r="D512" s="20" t="n"/>
      <c r="E512" s="20" t="n"/>
      <c r="F512" s="20" t="n"/>
      <c r="G512" s="20" t="n"/>
      <c r="H512" s="20" t="n"/>
      <c r="I512" s="28" t="n"/>
      <c r="J512" s="21">
        <f>I512</f>
        <v/>
      </c>
      <c r="K512" s="22" t="n"/>
      <c r="L512" s="20" t="n"/>
      <c r="M512" s="20" t="n"/>
      <c r="N512" s="20" t="n"/>
      <c r="O512" s="20" t="n"/>
      <c r="P512" s="28" t="n"/>
      <c r="Q512" s="21">
        <f>P512</f>
        <v/>
      </c>
      <c r="R512" s="21">
        <f>Q512</f>
        <v/>
      </c>
      <c r="S512" s="18" t="n"/>
    </row>
    <row r="513" ht="18" customHeight="1" s="43">
      <c r="B513" s="59" t="inlineStr">
        <is>
          <t>富士機材/ミニトマト</t>
        </is>
      </c>
      <c r="C513" s="31" t="inlineStr">
        <is>
          <t>58期</t>
        </is>
      </c>
      <c r="D513" s="8" t="n"/>
      <c r="E513" s="8" t="n"/>
      <c r="F513" s="8" t="n"/>
      <c r="G513" s="8" t="n"/>
      <c r="H513" s="8" t="n"/>
      <c r="I513" s="9" t="n"/>
      <c r="J513" s="10">
        <f>SUM(D513:I513)</f>
        <v/>
      </c>
      <c r="K513" s="11" t="n"/>
      <c r="L513" s="8" t="n"/>
      <c r="M513" s="8" t="n"/>
      <c r="N513" s="8" t="n"/>
      <c r="O513" s="8" t="n"/>
      <c r="P513" s="9" t="n"/>
      <c r="Q513" s="10">
        <f>SUM(K513:P513)</f>
        <v/>
      </c>
      <c r="R513" s="10">
        <f>J513+Q513</f>
        <v/>
      </c>
      <c r="S513" s="16" t="n"/>
    </row>
    <row r="514" ht="18" customHeight="1" s="43">
      <c r="B514" s="48" t="n"/>
      <c r="C514" s="7" t="inlineStr">
        <is>
          <t>59期</t>
        </is>
      </c>
      <c r="D514" s="12" t="n"/>
      <c r="E514" s="12" t="n"/>
      <c r="F514" s="12" t="n"/>
      <c r="G514" s="12" t="n"/>
      <c r="H514" s="12" t="n"/>
      <c r="I514" s="13" t="n"/>
      <c r="J514" s="14">
        <f>SUM(D514:I514)</f>
        <v/>
      </c>
      <c r="K514" s="15" t="n"/>
      <c r="L514" s="12" t="n"/>
      <c r="M514" s="12" t="n"/>
      <c r="N514" s="12" t="n"/>
      <c r="O514" s="12" t="n"/>
      <c r="P514" s="13" t="n"/>
      <c r="Q514" s="14">
        <f>SUM(K514:P514)</f>
        <v/>
      </c>
      <c r="R514" s="14">
        <f>J514+Q514</f>
        <v/>
      </c>
      <c r="S514" s="17" t="n"/>
    </row>
    <row r="515" ht="18" customHeight="1" s="43">
      <c r="B515" s="48" t="n"/>
      <c r="C515" s="23" t="inlineStr">
        <is>
          <t>増　減</t>
        </is>
      </c>
      <c r="D515" s="24">
        <f>D514-D513</f>
        <v/>
      </c>
      <c r="E515" s="24">
        <f>E514-E513</f>
        <v/>
      </c>
      <c r="F515" s="24">
        <f>F514-F513</f>
        <v/>
      </c>
      <c r="G515" s="24">
        <f>G514-G513</f>
        <v/>
      </c>
      <c r="H515" s="24">
        <f>H514-H513</f>
        <v/>
      </c>
      <c r="I515" s="27">
        <f>I514-I513</f>
        <v/>
      </c>
      <c r="J515" s="30">
        <f>SUM(D515:I515)</f>
        <v/>
      </c>
      <c r="K515" s="29">
        <f>K514-K513</f>
        <v/>
      </c>
      <c r="L515" s="24">
        <f>L514-L513</f>
        <v/>
      </c>
      <c r="M515" s="24">
        <f>M514-M513</f>
        <v/>
      </c>
      <c r="N515" s="24">
        <f>N514-N513</f>
        <v/>
      </c>
      <c r="O515" s="24">
        <f>O514-O513</f>
        <v/>
      </c>
      <c r="P515" s="27">
        <f>P514-P513</f>
        <v/>
      </c>
      <c r="Q515" s="30">
        <f>SUM(K515:P515)</f>
        <v/>
      </c>
      <c r="R515" s="30">
        <f>J515+Q515</f>
        <v/>
      </c>
      <c r="S515" s="17" t="n"/>
    </row>
    <row r="516" ht="18" customHeight="1" s="43" thickBot="1">
      <c r="B516" s="60" t="n"/>
      <c r="C516" s="25" t="inlineStr">
        <is>
          <t>稼働棟数</t>
        </is>
      </c>
      <c r="D516" s="20" t="n"/>
      <c r="E516" s="20" t="n"/>
      <c r="F516" s="20" t="n"/>
      <c r="G516" s="20" t="n"/>
      <c r="H516" s="20" t="n"/>
      <c r="I516" s="28" t="n"/>
      <c r="J516" s="21">
        <f>I516</f>
        <v/>
      </c>
      <c r="K516" s="22" t="n"/>
      <c r="L516" s="20" t="n"/>
      <c r="M516" s="20" t="n"/>
      <c r="N516" s="20" t="n"/>
      <c r="O516" s="20" t="n"/>
      <c r="P516" s="28" t="n"/>
      <c r="Q516" s="21">
        <f>P516</f>
        <v/>
      </c>
      <c r="R516" s="21">
        <f>Q516</f>
        <v/>
      </c>
      <c r="S516" s="18" t="n"/>
    </row>
    <row r="517" ht="18" customHeight="1" s="43">
      <c r="B517" s="59" t="inlineStr">
        <is>
          <t>富士機材/根物野菜</t>
        </is>
      </c>
      <c r="C517" s="31" t="inlineStr">
        <is>
          <t>58期</t>
        </is>
      </c>
      <c r="D517" s="8" t="n"/>
      <c r="E517" s="8" t="n"/>
      <c r="F517" s="8" t="n"/>
      <c r="G517" s="8" t="n"/>
      <c r="H517" s="8" t="n"/>
      <c r="I517" s="9" t="n"/>
      <c r="J517" s="10">
        <f>SUM(D517:I517)</f>
        <v/>
      </c>
      <c r="K517" s="11" t="n"/>
      <c r="L517" s="8" t="n"/>
      <c r="M517" s="8" t="n"/>
      <c r="N517" s="8" t="n"/>
      <c r="O517" s="8" t="n"/>
      <c r="P517" s="9" t="n"/>
      <c r="Q517" s="10">
        <f>SUM(K517:P517)</f>
        <v/>
      </c>
      <c r="R517" s="10">
        <f>J517+Q517</f>
        <v/>
      </c>
      <c r="S517" s="16" t="n"/>
    </row>
    <row r="518" ht="18" customHeight="1" s="43">
      <c r="B518" s="48" t="n"/>
      <c r="C518" s="7" t="inlineStr">
        <is>
          <t>59期</t>
        </is>
      </c>
      <c r="D518" s="12" t="n"/>
      <c r="E518" s="12" t="n"/>
      <c r="F518" s="12" t="n"/>
      <c r="G518" s="12" t="n"/>
      <c r="H518" s="12" t="n"/>
      <c r="I518" s="13" t="n"/>
      <c r="J518" s="14">
        <f>SUM(D518:I518)</f>
        <v/>
      </c>
      <c r="K518" s="15" t="n"/>
      <c r="L518" s="12" t="n"/>
      <c r="M518" s="12" t="n"/>
      <c r="N518" s="12" t="n"/>
      <c r="O518" s="12" t="n"/>
      <c r="P518" s="13" t="n"/>
      <c r="Q518" s="14">
        <f>SUM(K518:P518)</f>
        <v/>
      </c>
      <c r="R518" s="14">
        <f>J518+Q518</f>
        <v/>
      </c>
      <c r="S518" s="17" t="n"/>
    </row>
    <row r="519" ht="18" customHeight="1" s="43">
      <c r="B519" s="48" t="n"/>
      <c r="C519" s="23" t="inlineStr">
        <is>
          <t>増　減</t>
        </is>
      </c>
      <c r="D519" s="24">
        <f>D518-D517</f>
        <v/>
      </c>
      <c r="E519" s="24">
        <f>E518-E517</f>
        <v/>
      </c>
      <c r="F519" s="24">
        <f>F518-F517</f>
        <v/>
      </c>
      <c r="G519" s="24">
        <f>G518-G517</f>
        <v/>
      </c>
      <c r="H519" s="24">
        <f>H518-H517</f>
        <v/>
      </c>
      <c r="I519" s="27">
        <f>I518-I517</f>
        <v/>
      </c>
      <c r="J519" s="30">
        <f>SUM(D519:I519)</f>
        <v/>
      </c>
      <c r="K519" s="29">
        <f>K518-K517</f>
        <v/>
      </c>
      <c r="L519" s="24">
        <f>L518-L517</f>
        <v/>
      </c>
      <c r="M519" s="24">
        <f>M518-M517</f>
        <v/>
      </c>
      <c r="N519" s="24">
        <f>N518-N517</f>
        <v/>
      </c>
      <c r="O519" s="24">
        <f>O518-O517</f>
        <v/>
      </c>
      <c r="P519" s="27">
        <f>P518-P517</f>
        <v/>
      </c>
      <c r="Q519" s="30">
        <f>SUM(K519:P519)</f>
        <v/>
      </c>
      <c r="R519" s="30">
        <f>J519+Q519</f>
        <v/>
      </c>
      <c r="S519" s="17" t="n"/>
    </row>
    <row r="520" ht="18" customHeight="1" s="43" thickBot="1">
      <c r="B520" s="60" t="n"/>
      <c r="C520" s="25" t="inlineStr">
        <is>
          <t>稼働棟数</t>
        </is>
      </c>
      <c r="D520" s="20" t="n"/>
      <c r="E520" s="20" t="n"/>
      <c r="F520" s="20" t="n"/>
      <c r="G520" s="20" t="n"/>
      <c r="H520" s="20" t="n"/>
      <c r="I520" s="28" t="n"/>
      <c r="J520" s="21">
        <f>I520</f>
        <v/>
      </c>
      <c r="K520" s="22" t="n"/>
      <c r="L520" s="20" t="n"/>
      <c r="M520" s="20" t="n"/>
      <c r="N520" s="20" t="n"/>
      <c r="O520" s="20" t="n"/>
      <c r="P520" s="28" t="n"/>
      <c r="Q520" s="21">
        <f>P520</f>
        <v/>
      </c>
      <c r="R520" s="21">
        <f>Q520</f>
        <v/>
      </c>
      <c r="S520" s="18" t="n"/>
    </row>
    <row r="521" ht="18" customHeight="1" s="43">
      <c r="B521" s="59" t="inlineStr">
        <is>
          <t>富士機材/実物野菜</t>
        </is>
      </c>
      <c r="C521" s="31" t="inlineStr">
        <is>
          <t>58期</t>
        </is>
      </c>
      <c r="D521" s="8" t="n"/>
      <c r="E521" s="8" t="n"/>
      <c r="F521" s="8" t="n"/>
      <c r="G521" s="8" t="n"/>
      <c r="H521" s="8" t="n"/>
      <c r="I521" s="9" t="n"/>
      <c r="J521" s="10">
        <f>SUM(D521:I521)</f>
        <v/>
      </c>
      <c r="K521" s="11" t="n"/>
      <c r="L521" s="8" t="n"/>
      <c r="M521" s="8" t="n"/>
      <c r="N521" s="8" t="n"/>
      <c r="O521" s="8" t="n"/>
      <c r="P521" s="9" t="n"/>
      <c r="Q521" s="10">
        <f>SUM(K521:P521)</f>
        <v/>
      </c>
      <c r="R521" s="10">
        <f>J521+Q521</f>
        <v/>
      </c>
      <c r="S521" s="16" t="n"/>
    </row>
    <row r="522" ht="18" customHeight="1" s="43">
      <c r="B522" s="48" t="n"/>
      <c r="C522" s="7" t="inlineStr">
        <is>
          <t>59期</t>
        </is>
      </c>
      <c r="D522" s="12" t="n"/>
      <c r="E522" s="12" t="n"/>
      <c r="F522" s="12" t="n"/>
      <c r="G522" s="12" t="n"/>
      <c r="H522" s="12" t="n"/>
      <c r="I522" s="13" t="n"/>
      <c r="J522" s="14">
        <f>SUM(D522:I522)</f>
        <v/>
      </c>
      <c r="K522" s="15" t="n"/>
      <c r="L522" s="12" t="n"/>
      <c r="M522" s="12" t="n"/>
      <c r="N522" s="12" t="n"/>
      <c r="O522" s="12" t="n"/>
      <c r="P522" s="13" t="n"/>
      <c r="Q522" s="14">
        <f>SUM(K522:P522)</f>
        <v/>
      </c>
      <c r="R522" s="14">
        <f>J522+Q522</f>
        <v/>
      </c>
      <c r="S522" s="17" t="n"/>
    </row>
    <row r="523" ht="18" customHeight="1" s="43">
      <c r="B523" s="48" t="n"/>
      <c r="C523" s="23" t="inlineStr">
        <is>
          <t>増　減</t>
        </is>
      </c>
      <c r="D523" s="24">
        <f>D522-D521</f>
        <v/>
      </c>
      <c r="E523" s="24">
        <f>E522-E521</f>
        <v/>
      </c>
      <c r="F523" s="24">
        <f>F522-F521</f>
        <v/>
      </c>
      <c r="G523" s="24">
        <f>G522-G521</f>
        <v/>
      </c>
      <c r="H523" s="24">
        <f>H522-H521</f>
        <v/>
      </c>
      <c r="I523" s="27">
        <f>I522-I521</f>
        <v/>
      </c>
      <c r="J523" s="30">
        <f>SUM(D523:I523)</f>
        <v/>
      </c>
      <c r="K523" s="29">
        <f>K522-K521</f>
        <v/>
      </c>
      <c r="L523" s="24">
        <f>L522-L521</f>
        <v/>
      </c>
      <c r="M523" s="24">
        <f>M522-M521</f>
        <v/>
      </c>
      <c r="N523" s="24">
        <f>N522-N521</f>
        <v/>
      </c>
      <c r="O523" s="24">
        <f>O522-O521</f>
        <v/>
      </c>
      <c r="P523" s="27">
        <f>P522-P521</f>
        <v/>
      </c>
      <c r="Q523" s="30">
        <f>SUM(K523:P523)</f>
        <v/>
      </c>
      <c r="R523" s="30">
        <f>J523+Q523</f>
        <v/>
      </c>
      <c r="S523" s="17" t="n"/>
    </row>
    <row r="524" ht="18" customHeight="1" s="43" thickBot="1">
      <c r="B524" s="60" t="n"/>
      <c r="C524" s="25" t="inlineStr">
        <is>
          <t>稼働棟数</t>
        </is>
      </c>
      <c r="D524" s="20" t="n"/>
      <c r="E524" s="20" t="n"/>
      <c r="F524" s="20" t="n"/>
      <c r="G524" s="20" t="n"/>
      <c r="H524" s="20" t="n"/>
      <c r="I524" s="28" t="n"/>
      <c r="J524" s="21">
        <f>I524</f>
        <v/>
      </c>
      <c r="K524" s="22" t="n"/>
      <c r="L524" s="20" t="n"/>
      <c r="M524" s="20" t="n"/>
      <c r="N524" s="20" t="n"/>
      <c r="O524" s="20" t="n"/>
      <c r="P524" s="28" t="n"/>
      <c r="Q524" s="21">
        <f>P524</f>
        <v/>
      </c>
      <c r="R524" s="21">
        <f>Q524</f>
        <v/>
      </c>
      <c r="S524" s="18" t="n"/>
    </row>
    <row r="525" ht="18" customHeight="1" s="43">
      <c r="B525" s="59" t="inlineStr">
        <is>
          <t>富士機材/食用花</t>
        </is>
      </c>
      <c r="C525" s="31" t="inlineStr">
        <is>
          <t>58期</t>
        </is>
      </c>
      <c r="D525" s="8" t="n"/>
      <c r="E525" s="8" t="n"/>
      <c r="F525" s="8" t="n"/>
      <c r="G525" s="8" t="n"/>
      <c r="H525" s="8" t="n"/>
      <c r="I525" s="9" t="n"/>
      <c r="J525" s="10">
        <f>SUM(D525:I525)</f>
        <v/>
      </c>
      <c r="K525" s="11" t="n"/>
      <c r="L525" s="8" t="n"/>
      <c r="M525" s="8" t="n"/>
      <c r="N525" s="8" t="n"/>
      <c r="O525" s="8" t="n"/>
      <c r="P525" s="9" t="n"/>
      <c r="Q525" s="10">
        <f>SUM(K525:P525)</f>
        <v/>
      </c>
      <c r="R525" s="10">
        <f>J525+Q525</f>
        <v/>
      </c>
      <c r="S525" s="16" t="n"/>
    </row>
    <row r="526" ht="18" customHeight="1" s="43">
      <c r="B526" s="48" t="n"/>
      <c r="C526" s="7" t="inlineStr">
        <is>
          <t>59期</t>
        </is>
      </c>
      <c r="D526" s="12" t="n"/>
      <c r="E526" s="12" t="n"/>
      <c r="F526" s="12" t="n"/>
      <c r="G526" s="12" t="n"/>
      <c r="H526" s="12" t="n"/>
      <c r="I526" s="13" t="n"/>
      <c r="J526" s="14">
        <f>SUM(D526:I526)</f>
        <v/>
      </c>
      <c r="K526" s="15" t="n"/>
      <c r="L526" s="12" t="n"/>
      <c r="M526" s="12" t="n"/>
      <c r="N526" s="12" t="n"/>
      <c r="O526" s="12" t="n"/>
      <c r="P526" s="13" t="n"/>
      <c r="Q526" s="14">
        <f>SUM(K526:P526)</f>
        <v/>
      </c>
      <c r="R526" s="14">
        <f>J526+Q526</f>
        <v/>
      </c>
      <c r="S526" s="17" t="n"/>
    </row>
    <row r="527" ht="18" customHeight="1" s="43">
      <c r="B527" s="48" t="n"/>
      <c r="C527" s="23" t="inlineStr">
        <is>
          <t>増　減</t>
        </is>
      </c>
      <c r="D527" s="24">
        <f>D526-D525</f>
        <v/>
      </c>
      <c r="E527" s="24">
        <f>E526-E525</f>
        <v/>
      </c>
      <c r="F527" s="24">
        <f>F526-F525</f>
        <v/>
      </c>
      <c r="G527" s="24">
        <f>G526-G525</f>
        <v/>
      </c>
      <c r="H527" s="24">
        <f>H526-H525</f>
        <v/>
      </c>
      <c r="I527" s="27">
        <f>I526-I525</f>
        <v/>
      </c>
      <c r="J527" s="30">
        <f>SUM(D527:I527)</f>
        <v/>
      </c>
      <c r="K527" s="29">
        <f>K526-K525</f>
        <v/>
      </c>
      <c r="L527" s="24">
        <f>L526-L525</f>
        <v/>
      </c>
      <c r="M527" s="24">
        <f>M526-M525</f>
        <v/>
      </c>
      <c r="N527" s="24">
        <f>N526-N525</f>
        <v/>
      </c>
      <c r="O527" s="24">
        <f>O526-O525</f>
        <v/>
      </c>
      <c r="P527" s="27">
        <f>P526-P525</f>
        <v/>
      </c>
      <c r="Q527" s="30">
        <f>SUM(K527:P527)</f>
        <v/>
      </c>
      <c r="R527" s="30">
        <f>J527+Q527</f>
        <v/>
      </c>
      <c r="S527" s="17" t="n"/>
    </row>
    <row r="528" ht="18" customHeight="1" s="43" thickBot="1">
      <c r="B528" s="60" t="n"/>
      <c r="C528" s="25" t="inlineStr">
        <is>
          <t>稼働棟数</t>
        </is>
      </c>
      <c r="D528" s="20" t="n"/>
      <c r="E528" s="20" t="n"/>
      <c r="F528" s="20" t="n"/>
      <c r="G528" s="20" t="n"/>
      <c r="H528" s="20" t="n"/>
      <c r="I528" s="28" t="n"/>
      <c r="J528" s="21">
        <f>I528</f>
        <v/>
      </c>
      <c r="K528" s="22" t="n"/>
      <c r="L528" s="20" t="n"/>
      <c r="M528" s="20" t="n"/>
      <c r="N528" s="20" t="n"/>
      <c r="O528" s="20" t="n"/>
      <c r="P528" s="28" t="n"/>
      <c r="Q528" s="21">
        <f>P528</f>
        <v/>
      </c>
      <c r="R528" s="21">
        <f>Q528</f>
        <v/>
      </c>
      <c r="S528" s="18" t="n"/>
    </row>
    <row r="529" ht="18" customHeight="1" s="43">
      <c r="B529" s="59" t="inlineStr">
        <is>
          <t>富士機材/葉物野菜</t>
        </is>
      </c>
      <c r="C529" s="31" t="inlineStr">
        <is>
          <t>58期</t>
        </is>
      </c>
      <c r="D529" s="8" t="n"/>
      <c r="E529" s="8" t="n"/>
      <c r="F529" s="8" t="n"/>
      <c r="G529" s="8" t="n"/>
      <c r="H529" s="8" t="n"/>
      <c r="I529" s="9" t="n"/>
      <c r="J529" s="10">
        <f>SUM(D529:I529)</f>
        <v/>
      </c>
      <c r="K529" s="11" t="n"/>
      <c r="L529" s="8" t="n"/>
      <c r="M529" s="8" t="n"/>
      <c r="N529" s="8" t="n"/>
      <c r="O529" s="8" t="n"/>
      <c r="P529" s="9" t="n"/>
      <c r="Q529" s="10">
        <f>SUM(K529:P529)</f>
        <v/>
      </c>
      <c r="R529" s="10">
        <f>J529+Q529</f>
        <v/>
      </c>
      <c r="S529" s="16" t="n"/>
    </row>
    <row r="530" ht="18" customHeight="1" s="43">
      <c r="B530" s="48" t="n"/>
      <c r="C530" s="7" t="inlineStr">
        <is>
          <t>59期</t>
        </is>
      </c>
      <c r="D530" s="12" t="n"/>
      <c r="E530" s="12" t="n"/>
      <c r="F530" s="12" t="n"/>
      <c r="G530" s="12" t="n"/>
      <c r="H530" s="12" t="n"/>
      <c r="I530" s="13" t="n"/>
      <c r="J530" s="14">
        <f>SUM(D530:I530)</f>
        <v/>
      </c>
      <c r="K530" s="15" t="n"/>
      <c r="L530" s="12" t="n"/>
      <c r="M530" s="12" t="n"/>
      <c r="N530" s="12" t="n"/>
      <c r="O530" s="12" t="n"/>
      <c r="P530" s="13" t="n"/>
      <c r="Q530" s="14">
        <f>SUM(K530:P530)</f>
        <v/>
      </c>
      <c r="R530" s="14">
        <f>J530+Q530</f>
        <v/>
      </c>
      <c r="S530" s="17" t="n"/>
    </row>
    <row r="531" ht="18" customHeight="1" s="43">
      <c r="B531" s="48" t="n"/>
      <c r="C531" s="23" t="inlineStr">
        <is>
          <t>増　減</t>
        </is>
      </c>
      <c r="D531" s="24">
        <f>D530-D529</f>
        <v/>
      </c>
      <c r="E531" s="24">
        <f>E530-E529</f>
        <v/>
      </c>
      <c r="F531" s="24">
        <f>F530-F529</f>
        <v/>
      </c>
      <c r="G531" s="24">
        <f>G530-G529</f>
        <v/>
      </c>
      <c r="H531" s="24">
        <f>H530-H529</f>
        <v/>
      </c>
      <c r="I531" s="27">
        <f>I530-I529</f>
        <v/>
      </c>
      <c r="J531" s="30">
        <f>SUM(D531:I531)</f>
        <v/>
      </c>
      <c r="K531" s="29">
        <f>K530-K529</f>
        <v/>
      </c>
      <c r="L531" s="24">
        <f>L530-L529</f>
        <v/>
      </c>
      <c r="M531" s="24">
        <f>M530-M529</f>
        <v/>
      </c>
      <c r="N531" s="24">
        <f>N530-N529</f>
        <v/>
      </c>
      <c r="O531" s="24">
        <f>O530-O529</f>
        <v/>
      </c>
      <c r="P531" s="27">
        <f>P530-P529</f>
        <v/>
      </c>
      <c r="Q531" s="30">
        <f>SUM(K531:P531)</f>
        <v/>
      </c>
      <c r="R531" s="30">
        <f>J531+Q531</f>
        <v/>
      </c>
      <c r="S531" s="17" t="n"/>
    </row>
    <row r="532" ht="18" customHeight="1" s="43" thickBot="1">
      <c r="B532" s="60" t="n"/>
      <c r="C532" s="25" t="inlineStr">
        <is>
          <t>稼働棟数</t>
        </is>
      </c>
      <c r="D532" s="20" t="n"/>
      <c r="E532" s="20" t="n"/>
      <c r="F532" s="20" t="n"/>
      <c r="G532" s="20" t="n"/>
      <c r="H532" s="20" t="n"/>
      <c r="I532" s="28" t="n"/>
      <c r="J532" s="21">
        <f>I532</f>
        <v/>
      </c>
      <c r="K532" s="22" t="n"/>
      <c r="L532" s="20" t="n"/>
      <c r="M532" s="20" t="n"/>
      <c r="N532" s="20" t="n"/>
      <c r="O532" s="20" t="n"/>
      <c r="P532" s="28" t="n"/>
      <c r="Q532" s="21">
        <f>P532</f>
        <v/>
      </c>
      <c r="R532" s="21">
        <f>Q532</f>
        <v/>
      </c>
      <c r="S532" s="18" t="n"/>
    </row>
    <row r="533" ht="18" customHeight="1" s="43">
      <c r="B533" s="59" t="inlineStr">
        <is>
          <t>マルテー/イチゴ</t>
        </is>
      </c>
      <c r="C533" s="31" t="inlineStr">
        <is>
          <t>58期</t>
        </is>
      </c>
      <c r="D533" s="8" t="n"/>
      <c r="E533" s="8" t="n"/>
      <c r="F533" s="8" t="n"/>
      <c r="G533" s="8" t="n">
        <v>2.66</v>
      </c>
      <c r="H533" s="8" t="n"/>
      <c r="I533" s="9" t="n"/>
      <c r="J533" s="10" t="n">
        <v>2.66</v>
      </c>
      <c r="K533" s="11" t="n"/>
      <c r="L533" s="8" t="n"/>
      <c r="M533" s="8" t="n"/>
      <c r="N533" s="8" t="n"/>
      <c r="O533" s="8" t="n"/>
      <c r="P533" s="9" t="n"/>
      <c r="Q533" s="10" t="n">
        <v>0</v>
      </c>
      <c r="R533" s="10" t="n">
        <v>2.66</v>
      </c>
      <c r="S533" s="16" t="n"/>
    </row>
    <row r="534" ht="18" customHeight="1" s="43">
      <c r="B534" s="48" t="n"/>
      <c r="C534" s="7" t="inlineStr">
        <is>
          <t>59期</t>
        </is>
      </c>
      <c r="D534" s="12" t="n"/>
      <c r="E534" s="12" t="n"/>
      <c r="F534" s="12" t="n"/>
      <c r="G534" s="12" t="n"/>
      <c r="H534" s="12" t="n"/>
      <c r="I534" s="13" t="n"/>
      <c r="J534" s="14">
        <f>SUM(D534:I534)</f>
        <v/>
      </c>
      <c r="K534" s="15" t="n"/>
      <c r="L534" s="12" t="n"/>
      <c r="M534" s="12" t="n"/>
      <c r="N534" s="12" t="n"/>
      <c r="O534" s="12" t="n"/>
      <c r="P534" s="13" t="n"/>
      <c r="Q534" s="14">
        <f>SUM(K534:P534)</f>
        <v/>
      </c>
      <c r="R534" s="14">
        <f>J534+Q534</f>
        <v/>
      </c>
      <c r="S534" s="17" t="n"/>
    </row>
    <row r="535" ht="18" customHeight="1" s="43">
      <c r="B535" s="48" t="n"/>
      <c r="C535" s="23" t="inlineStr">
        <is>
          <t>増　減</t>
        </is>
      </c>
      <c r="D535" s="24">
        <f>D534-D533</f>
        <v/>
      </c>
      <c r="E535" s="24">
        <f>E534-E533</f>
        <v/>
      </c>
      <c r="F535" s="24">
        <f>F534-F533</f>
        <v/>
      </c>
      <c r="G535" s="24">
        <f>G534-G533</f>
        <v/>
      </c>
      <c r="H535" s="24">
        <f>H534-H533</f>
        <v/>
      </c>
      <c r="I535" s="27">
        <f>I534-I533</f>
        <v/>
      </c>
      <c r="J535" s="30">
        <f>SUM(D535:I535)</f>
        <v/>
      </c>
      <c r="K535" s="29">
        <f>K534-K533</f>
        <v/>
      </c>
      <c r="L535" s="24">
        <f>L534-L533</f>
        <v/>
      </c>
      <c r="M535" s="24">
        <f>M534-M533</f>
        <v/>
      </c>
      <c r="N535" s="24">
        <f>N534-N533</f>
        <v/>
      </c>
      <c r="O535" s="24">
        <f>O534-O533</f>
        <v/>
      </c>
      <c r="P535" s="27">
        <f>P534-P533</f>
        <v/>
      </c>
      <c r="Q535" s="30">
        <f>SUM(K535:P535)</f>
        <v/>
      </c>
      <c r="R535" s="30">
        <f>J535+Q535</f>
        <v/>
      </c>
      <c r="S535" s="17" t="n"/>
    </row>
    <row r="536" ht="18" customHeight="1" s="43" thickBot="1">
      <c r="B536" s="60" t="n"/>
      <c r="C536" s="25" t="inlineStr">
        <is>
          <t>稼働棟数</t>
        </is>
      </c>
      <c r="D536" s="20" t="n"/>
      <c r="E536" s="20" t="n"/>
      <c r="F536" s="20" t="n"/>
      <c r="G536" s="20" t="n"/>
      <c r="H536" s="20" t="n"/>
      <c r="I536" s="28" t="n"/>
      <c r="J536" s="21">
        <f>I536</f>
        <v/>
      </c>
      <c r="K536" s="22" t="n"/>
      <c r="L536" s="20" t="n"/>
      <c r="M536" s="20" t="n"/>
      <c r="N536" s="20" t="n"/>
      <c r="O536" s="20" t="n"/>
      <c r="P536" s="28" t="n"/>
      <c r="Q536" s="21">
        <f>P536</f>
        <v/>
      </c>
      <c r="R536" s="21">
        <f>Q536</f>
        <v/>
      </c>
      <c r="S536" s="18" t="n"/>
    </row>
    <row r="537" ht="18" customHeight="1" s="43">
      <c r="B537" s="59" t="inlineStr">
        <is>
          <t>マルテー/トマト</t>
        </is>
      </c>
      <c r="C537" s="31" t="inlineStr">
        <is>
          <t>58期</t>
        </is>
      </c>
      <c r="D537" s="8" t="n"/>
      <c r="E537" s="8" t="n"/>
      <c r="F537" s="8" t="n"/>
      <c r="G537" s="8" t="n"/>
      <c r="H537" s="8" t="n"/>
      <c r="I537" s="9" t="n"/>
      <c r="J537" s="10">
        <f>SUM(D537:I537)</f>
        <v/>
      </c>
      <c r="K537" s="11" t="n"/>
      <c r="L537" s="8" t="n"/>
      <c r="M537" s="8" t="n"/>
      <c r="N537" s="8" t="n"/>
      <c r="O537" s="8" t="n"/>
      <c r="P537" s="9" t="n"/>
      <c r="Q537" s="10">
        <f>SUM(K537:P537)</f>
        <v/>
      </c>
      <c r="R537" s="10">
        <f>J537+Q537</f>
        <v/>
      </c>
      <c r="S537" s="16" t="n"/>
    </row>
    <row r="538" ht="18" customHeight="1" s="43">
      <c r="B538" s="48" t="n"/>
      <c r="C538" s="7" t="inlineStr">
        <is>
          <t>59期</t>
        </is>
      </c>
      <c r="D538" s="12" t="n"/>
      <c r="E538" s="12" t="n"/>
      <c r="F538" s="12" t="n"/>
      <c r="G538" s="12" t="n"/>
      <c r="H538" s="12" t="n"/>
      <c r="I538" s="13" t="n"/>
      <c r="J538" s="14">
        <f>SUM(D538:I538)</f>
        <v/>
      </c>
      <c r="K538" s="15" t="n"/>
      <c r="L538" s="12" t="n"/>
      <c r="M538" s="12" t="n"/>
      <c r="N538" s="12" t="n"/>
      <c r="O538" s="12" t="n"/>
      <c r="P538" s="13" t="n"/>
      <c r="Q538" s="14">
        <f>SUM(K538:P538)</f>
        <v/>
      </c>
      <c r="R538" s="14">
        <f>J538+Q538</f>
        <v/>
      </c>
      <c r="S538" s="17" t="n"/>
    </row>
    <row r="539" ht="18" customHeight="1" s="43">
      <c r="B539" s="48" t="n"/>
      <c r="C539" s="23" t="inlineStr">
        <is>
          <t>増　減</t>
        </is>
      </c>
      <c r="D539" s="24">
        <f>D538-D537</f>
        <v/>
      </c>
      <c r="E539" s="24">
        <f>E538-E537</f>
        <v/>
      </c>
      <c r="F539" s="24">
        <f>F538-F537</f>
        <v/>
      </c>
      <c r="G539" s="24">
        <f>G538-G537</f>
        <v/>
      </c>
      <c r="H539" s="24">
        <f>H538-H537</f>
        <v/>
      </c>
      <c r="I539" s="27">
        <f>I538-I537</f>
        <v/>
      </c>
      <c r="J539" s="30">
        <f>SUM(D539:I539)</f>
        <v/>
      </c>
      <c r="K539" s="29">
        <f>K538-K537</f>
        <v/>
      </c>
      <c r="L539" s="24">
        <f>L538-L537</f>
        <v/>
      </c>
      <c r="M539" s="24">
        <f>M538-M537</f>
        <v/>
      </c>
      <c r="N539" s="24">
        <f>N538-N537</f>
        <v/>
      </c>
      <c r="O539" s="24">
        <f>O538-O537</f>
        <v/>
      </c>
      <c r="P539" s="27">
        <f>P538-P537</f>
        <v/>
      </c>
      <c r="Q539" s="30">
        <f>SUM(K539:P539)</f>
        <v/>
      </c>
      <c r="R539" s="30">
        <f>J539+Q539</f>
        <v/>
      </c>
      <c r="S539" s="17" t="n"/>
    </row>
    <row r="540" ht="18" customHeight="1" s="43" thickBot="1">
      <c r="B540" s="60" t="n"/>
      <c r="C540" s="25" t="inlineStr">
        <is>
          <t>稼働棟数</t>
        </is>
      </c>
      <c r="D540" s="20" t="n"/>
      <c r="E540" s="20" t="n"/>
      <c r="F540" s="20" t="n"/>
      <c r="G540" s="20" t="n"/>
      <c r="H540" s="20" t="n"/>
      <c r="I540" s="28" t="n"/>
      <c r="J540" s="21">
        <f>I540</f>
        <v/>
      </c>
      <c r="K540" s="22" t="n"/>
      <c r="L540" s="20" t="n"/>
      <c r="M540" s="20" t="n"/>
      <c r="N540" s="20" t="n"/>
      <c r="O540" s="20" t="n"/>
      <c r="P540" s="28" t="n"/>
      <c r="Q540" s="21">
        <f>P540</f>
        <v/>
      </c>
      <c r="R540" s="21">
        <f>Q540</f>
        <v/>
      </c>
      <c r="S540" s="18" t="n"/>
    </row>
    <row r="541" ht="18" customHeight="1" s="43">
      <c r="B541" s="59" t="inlineStr">
        <is>
          <t>マルテー/ナス</t>
        </is>
      </c>
      <c r="C541" s="31" t="inlineStr">
        <is>
          <t>58期</t>
        </is>
      </c>
      <c r="D541" s="8" t="n"/>
      <c r="E541" s="8" t="n"/>
      <c r="F541" s="8" t="n"/>
      <c r="G541" s="8" t="n"/>
      <c r="H541" s="8" t="n"/>
      <c r="I541" s="9" t="n"/>
      <c r="J541" s="10">
        <f>SUM(D541:I541)</f>
        <v/>
      </c>
      <c r="K541" s="11" t="n"/>
      <c r="L541" s="8" t="n"/>
      <c r="M541" s="8" t="n"/>
      <c r="N541" s="8" t="n"/>
      <c r="O541" s="8" t="n"/>
      <c r="P541" s="9" t="n"/>
      <c r="Q541" s="10">
        <f>SUM(K541:P541)</f>
        <v/>
      </c>
      <c r="R541" s="10">
        <f>J541+Q541</f>
        <v/>
      </c>
      <c r="S541" s="16" t="n"/>
    </row>
    <row r="542" ht="18" customHeight="1" s="43">
      <c r="B542" s="48" t="n"/>
      <c r="C542" s="7" t="inlineStr">
        <is>
          <t>59期</t>
        </is>
      </c>
      <c r="D542" s="12" t="n"/>
      <c r="E542" s="12" t="n"/>
      <c r="F542" s="12" t="n"/>
      <c r="G542" s="12" t="n"/>
      <c r="H542" s="12" t="n"/>
      <c r="I542" s="13" t="n"/>
      <c r="J542" s="14">
        <f>SUM(D542:I542)</f>
        <v/>
      </c>
      <c r="K542" s="15" t="n"/>
      <c r="L542" s="12" t="n"/>
      <c r="M542" s="12" t="n"/>
      <c r="N542" s="12" t="n"/>
      <c r="O542" s="12" t="n"/>
      <c r="P542" s="13" t="n"/>
      <c r="Q542" s="14">
        <f>SUM(K542:P542)</f>
        <v/>
      </c>
      <c r="R542" s="14">
        <f>J542+Q542</f>
        <v/>
      </c>
      <c r="S542" s="17" t="n"/>
    </row>
    <row r="543" ht="18" customHeight="1" s="43">
      <c r="B543" s="48" t="n"/>
      <c r="C543" s="23" t="inlineStr">
        <is>
          <t>増　減</t>
        </is>
      </c>
      <c r="D543" s="24">
        <f>D542-D541</f>
        <v/>
      </c>
      <c r="E543" s="24">
        <f>E542-E541</f>
        <v/>
      </c>
      <c r="F543" s="24">
        <f>F542-F541</f>
        <v/>
      </c>
      <c r="G543" s="24">
        <f>G542-G541</f>
        <v/>
      </c>
      <c r="H543" s="24">
        <f>H542-H541</f>
        <v/>
      </c>
      <c r="I543" s="27">
        <f>I542-I541</f>
        <v/>
      </c>
      <c r="J543" s="30">
        <f>SUM(D543:I543)</f>
        <v/>
      </c>
      <c r="K543" s="29">
        <f>K542-K541</f>
        <v/>
      </c>
      <c r="L543" s="24">
        <f>L542-L541</f>
        <v/>
      </c>
      <c r="M543" s="24">
        <f>M542-M541</f>
        <v/>
      </c>
      <c r="N543" s="24">
        <f>N542-N541</f>
        <v/>
      </c>
      <c r="O543" s="24">
        <f>O542-O541</f>
        <v/>
      </c>
      <c r="P543" s="27">
        <f>P542-P541</f>
        <v/>
      </c>
      <c r="Q543" s="30">
        <f>SUM(K543:P543)</f>
        <v/>
      </c>
      <c r="R543" s="30">
        <f>J543+Q543</f>
        <v/>
      </c>
      <c r="S543" s="17" t="n"/>
    </row>
    <row r="544" ht="18" customHeight="1" s="43" thickBot="1">
      <c r="B544" s="60" t="n"/>
      <c r="C544" s="25" t="inlineStr">
        <is>
          <t>稼働棟数</t>
        </is>
      </c>
      <c r="D544" s="20" t="n"/>
      <c r="E544" s="20" t="n"/>
      <c r="F544" s="20" t="n"/>
      <c r="G544" s="20" t="n"/>
      <c r="H544" s="20" t="n"/>
      <c r="I544" s="28" t="n"/>
      <c r="J544" s="21">
        <f>I544</f>
        <v/>
      </c>
      <c r="K544" s="22" t="n"/>
      <c r="L544" s="20" t="n"/>
      <c r="M544" s="20" t="n"/>
      <c r="N544" s="20" t="n"/>
      <c r="O544" s="20" t="n"/>
      <c r="P544" s="28" t="n"/>
      <c r="Q544" s="21">
        <f>P544</f>
        <v/>
      </c>
      <c r="R544" s="21">
        <f>Q544</f>
        <v/>
      </c>
      <c r="S544" s="18" t="n"/>
    </row>
    <row r="545" ht="18" customHeight="1" s="43">
      <c r="B545" s="59" t="inlineStr">
        <is>
          <t>マルテー/ハーブ</t>
        </is>
      </c>
      <c r="C545" s="31" t="inlineStr">
        <is>
          <t>58期</t>
        </is>
      </c>
      <c r="D545" s="8" t="n"/>
      <c r="E545" s="8" t="n"/>
      <c r="F545" s="8" t="n"/>
      <c r="G545" s="8" t="n"/>
      <c r="H545" s="8" t="n"/>
      <c r="I545" s="9" t="n"/>
      <c r="J545" s="10">
        <f>SUM(D545:I545)</f>
        <v/>
      </c>
      <c r="K545" s="11" t="n"/>
      <c r="L545" s="8" t="n"/>
      <c r="M545" s="8" t="n"/>
      <c r="N545" s="8" t="n"/>
      <c r="O545" s="8" t="n"/>
      <c r="P545" s="9" t="n"/>
      <c r="Q545" s="10">
        <f>SUM(K545:P545)</f>
        <v/>
      </c>
      <c r="R545" s="10">
        <f>J545+Q545</f>
        <v/>
      </c>
      <c r="S545" s="16" t="n"/>
    </row>
    <row r="546" ht="18" customHeight="1" s="43">
      <c r="B546" s="48" t="n"/>
      <c r="C546" s="7" t="inlineStr">
        <is>
          <t>59期</t>
        </is>
      </c>
      <c r="D546" s="12" t="n"/>
      <c r="E546" s="12" t="n"/>
      <c r="F546" s="12" t="n"/>
      <c r="G546" s="12" t="n"/>
      <c r="H546" s="12" t="n"/>
      <c r="I546" s="13" t="n"/>
      <c r="J546" s="14">
        <f>SUM(D546:I546)</f>
        <v/>
      </c>
      <c r="K546" s="15" t="n"/>
      <c r="L546" s="12" t="n"/>
      <c r="M546" s="12" t="n"/>
      <c r="N546" s="12" t="n"/>
      <c r="O546" s="12" t="n"/>
      <c r="P546" s="13" t="n"/>
      <c r="Q546" s="14">
        <f>SUM(K546:P546)</f>
        <v/>
      </c>
      <c r="R546" s="14">
        <f>J546+Q546</f>
        <v/>
      </c>
      <c r="S546" s="17" t="n"/>
    </row>
    <row r="547" ht="18" customHeight="1" s="43">
      <c r="B547" s="48" t="n"/>
      <c r="C547" s="23" t="inlineStr">
        <is>
          <t>増　減</t>
        </is>
      </c>
      <c r="D547" s="24">
        <f>D546-D545</f>
        <v/>
      </c>
      <c r="E547" s="24">
        <f>E546-E545</f>
        <v/>
      </c>
      <c r="F547" s="24">
        <f>F546-F545</f>
        <v/>
      </c>
      <c r="G547" s="24">
        <f>G546-G545</f>
        <v/>
      </c>
      <c r="H547" s="24">
        <f>H546-H545</f>
        <v/>
      </c>
      <c r="I547" s="27">
        <f>I546-I545</f>
        <v/>
      </c>
      <c r="J547" s="30">
        <f>SUM(D547:I547)</f>
        <v/>
      </c>
      <c r="K547" s="29">
        <f>K546-K545</f>
        <v/>
      </c>
      <c r="L547" s="24">
        <f>L546-L545</f>
        <v/>
      </c>
      <c r="M547" s="24">
        <f>M546-M545</f>
        <v/>
      </c>
      <c r="N547" s="24">
        <f>N546-N545</f>
        <v/>
      </c>
      <c r="O547" s="24">
        <f>O546-O545</f>
        <v/>
      </c>
      <c r="P547" s="27">
        <f>P546-P545</f>
        <v/>
      </c>
      <c r="Q547" s="30">
        <f>SUM(K547:P547)</f>
        <v/>
      </c>
      <c r="R547" s="30">
        <f>J547+Q547</f>
        <v/>
      </c>
      <c r="S547" s="17" t="n"/>
    </row>
    <row r="548" ht="18" customHeight="1" s="43" thickBot="1">
      <c r="B548" s="60" t="n"/>
      <c r="C548" s="25" t="inlineStr">
        <is>
          <t>稼働棟数</t>
        </is>
      </c>
      <c r="D548" s="20" t="n"/>
      <c r="E548" s="20" t="n"/>
      <c r="F548" s="20" t="n"/>
      <c r="G548" s="20" t="n"/>
      <c r="H548" s="20" t="n"/>
      <c r="I548" s="28" t="n"/>
      <c r="J548" s="21">
        <f>I548</f>
        <v/>
      </c>
      <c r="K548" s="22" t="n"/>
      <c r="L548" s="20" t="n"/>
      <c r="M548" s="20" t="n"/>
      <c r="N548" s="20" t="n"/>
      <c r="O548" s="20" t="n"/>
      <c r="P548" s="28" t="n"/>
      <c r="Q548" s="21">
        <f>P548</f>
        <v/>
      </c>
      <c r="R548" s="21">
        <f>Q548</f>
        <v/>
      </c>
      <c r="S548" s="18" t="n"/>
    </row>
    <row r="549" ht="18" customHeight="1" s="43">
      <c r="B549" s="59" t="inlineStr">
        <is>
          <t>マルテー/パプリカ</t>
        </is>
      </c>
      <c r="C549" s="31" t="inlineStr">
        <is>
          <t>58期</t>
        </is>
      </c>
      <c r="D549" s="8" t="n"/>
      <c r="E549" s="8" t="n"/>
      <c r="F549" s="8" t="n"/>
      <c r="G549" s="8" t="n"/>
      <c r="H549" s="8" t="n"/>
      <c r="I549" s="9" t="n"/>
      <c r="J549" s="10">
        <f>SUM(D549:I549)</f>
        <v/>
      </c>
      <c r="K549" s="11" t="n"/>
      <c r="L549" s="8" t="n"/>
      <c r="M549" s="8" t="n"/>
      <c r="N549" s="8" t="n"/>
      <c r="O549" s="8" t="n"/>
      <c r="P549" s="9" t="n"/>
      <c r="Q549" s="10">
        <f>SUM(K549:P549)</f>
        <v/>
      </c>
      <c r="R549" s="10">
        <f>J549+Q549</f>
        <v/>
      </c>
      <c r="S549" s="16" t="n"/>
    </row>
    <row r="550" ht="18" customHeight="1" s="43">
      <c r="B550" s="48" t="n"/>
      <c r="C550" s="7" t="inlineStr">
        <is>
          <t>59期</t>
        </is>
      </c>
      <c r="D550" s="12" t="n"/>
      <c r="E550" s="12" t="n"/>
      <c r="F550" s="12" t="n"/>
      <c r="G550" s="12" t="n"/>
      <c r="H550" s="12" t="n"/>
      <c r="I550" s="13" t="n"/>
      <c r="J550" s="14">
        <f>SUM(D550:I550)</f>
        <v/>
      </c>
      <c r="K550" s="15" t="n"/>
      <c r="L550" s="12" t="n"/>
      <c r="M550" s="12" t="n"/>
      <c r="N550" s="12" t="n"/>
      <c r="O550" s="12" t="n"/>
      <c r="P550" s="13" t="n"/>
      <c r="Q550" s="14">
        <f>SUM(K550:P550)</f>
        <v/>
      </c>
      <c r="R550" s="14">
        <f>J550+Q550</f>
        <v/>
      </c>
      <c r="S550" s="17" t="n"/>
    </row>
    <row r="551" ht="18" customHeight="1" s="43">
      <c r="B551" s="48" t="n"/>
      <c r="C551" s="23" t="inlineStr">
        <is>
          <t>増　減</t>
        </is>
      </c>
      <c r="D551" s="24">
        <f>D550-D549</f>
        <v/>
      </c>
      <c r="E551" s="24">
        <f>E550-E549</f>
        <v/>
      </c>
      <c r="F551" s="24">
        <f>F550-F549</f>
        <v/>
      </c>
      <c r="G551" s="24">
        <f>G550-G549</f>
        <v/>
      </c>
      <c r="H551" s="24">
        <f>H550-H549</f>
        <v/>
      </c>
      <c r="I551" s="27">
        <f>I550-I549</f>
        <v/>
      </c>
      <c r="J551" s="30">
        <f>SUM(D551:I551)</f>
        <v/>
      </c>
      <c r="K551" s="29">
        <f>K550-K549</f>
        <v/>
      </c>
      <c r="L551" s="24">
        <f>L550-L549</f>
        <v/>
      </c>
      <c r="M551" s="24">
        <f>M550-M549</f>
        <v/>
      </c>
      <c r="N551" s="24">
        <f>N550-N549</f>
        <v/>
      </c>
      <c r="O551" s="24">
        <f>O550-O549</f>
        <v/>
      </c>
      <c r="P551" s="27">
        <f>P550-P549</f>
        <v/>
      </c>
      <c r="Q551" s="30">
        <f>SUM(K551:P551)</f>
        <v/>
      </c>
      <c r="R551" s="30">
        <f>J551+Q551</f>
        <v/>
      </c>
      <c r="S551" s="17" t="n"/>
    </row>
    <row r="552" ht="18" customHeight="1" s="43" thickBot="1">
      <c r="B552" s="60" t="n"/>
      <c r="C552" s="25" t="inlineStr">
        <is>
          <t>稼働棟数</t>
        </is>
      </c>
      <c r="D552" s="20" t="n"/>
      <c r="E552" s="20" t="n"/>
      <c r="F552" s="20" t="n"/>
      <c r="G552" s="20" t="n"/>
      <c r="H552" s="20" t="n"/>
      <c r="I552" s="28" t="n"/>
      <c r="J552" s="21">
        <f>I552</f>
        <v/>
      </c>
      <c r="K552" s="22" t="n"/>
      <c r="L552" s="20" t="n"/>
      <c r="M552" s="20" t="n"/>
      <c r="N552" s="20" t="n"/>
      <c r="O552" s="20" t="n"/>
      <c r="P552" s="28" t="n"/>
      <c r="Q552" s="21">
        <f>P552</f>
        <v/>
      </c>
      <c r="R552" s="21">
        <f>Q552</f>
        <v/>
      </c>
      <c r="S552" s="18" t="n"/>
    </row>
    <row r="553" ht="18" customHeight="1" s="43">
      <c r="B553" s="59" t="inlineStr">
        <is>
          <t>マルテー/ピーマン</t>
        </is>
      </c>
      <c r="C553" s="31" t="inlineStr">
        <is>
          <t>58期</t>
        </is>
      </c>
      <c r="D553" s="8" t="n"/>
      <c r="E553" s="8" t="n"/>
      <c r="F553" s="8" t="n"/>
      <c r="G553" s="8" t="n"/>
      <c r="H553" s="8" t="n"/>
      <c r="I553" s="9" t="n"/>
      <c r="J553" s="10">
        <f>SUM(D553:I553)</f>
        <v/>
      </c>
      <c r="K553" s="11" t="n"/>
      <c r="L553" s="8" t="n"/>
      <c r="M553" s="8" t="n"/>
      <c r="N553" s="8" t="n"/>
      <c r="O553" s="8" t="n"/>
      <c r="P553" s="9" t="n"/>
      <c r="Q553" s="10">
        <f>SUM(K553:P553)</f>
        <v/>
      </c>
      <c r="R553" s="10">
        <f>J553+Q553</f>
        <v/>
      </c>
      <c r="S553" s="16" t="n"/>
    </row>
    <row r="554" ht="18" customHeight="1" s="43">
      <c r="B554" s="48" t="n"/>
      <c r="C554" s="7" t="inlineStr">
        <is>
          <t>59期</t>
        </is>
      </c>
      <c r="D554" s="12" t="n"/>
      <c r="E554" s="12" t="n"/>
      <c r="F554" s="12" t="n"/>
      <c r="G554" s="12" t="n"/>
      <c r="H554" s="12" t="n"/>
      <c r="I554" s="13" t="n"/>
      <c r="J554" s="14">
        <f>SUM(D554:I554)</f>
        <v/>
      </c>
      <c r="K554" s="15" t="n"/>
      <c r="L554" s="12" t="n"/>
      <c r="M554" s="12" t="n"/>
      <c r="N554" s="12" t="n"/>
      <c r="O554" s="12" t="n"/>
      <c r="P554" s="13" t="n"/>
      <c r="Q554" s="14">
        <f>SUM(K554:P554)</f>
        <v/>
      </c>
      <c r="R554" s="14">
        <f>J554+Q554</f>
        <v/>
      </c>
      <c r="S554" s="17" t="n"/>
    </row>
    <row r="555" ht="18" customHeight="1" s="43">
      <c r="B555" s="48" t="n"/>
      <c r="C555" s="23" t="inlineStr">
        <is>
          <t>増　減</t>
        </is>
      </c>
      <c r="D555" s="24">
        <f>D554-D553</f>
        <v/>
      </c>
      <c r="E555" s="24">
        <f>E554-E553</f>
        <v/>
      </c>
      <c r="F555" s="24">
        <f>F554-F553</f>
        <v/>
      </c>
      <c r="G555" s="24">
        <f>G554-G553</f>
        <v/>
      </c>
      <c r="H555" s="24">
        <f>H554-H553</f>
        <v/>
      </c>
      <c r="I555" s="27">
        <f>I554-I553</f>
        <v/>
      </c>
      <c r="J555" s="30">
        <f>SUM(D555:I555)</f>
        <v/>
      </c>
      <c r="K555" s="29">
        <f>K554-K553</f>
        <v/>
      </c>
      <c r="L555" s="24">
        <f>L554-L553</f>
        <v/>
      </c>
      <c r="M555" s="24">
        <f>M554-M553</f>
        <v/>
      </c>
      <c r="N555" s="24">
        <f>N554-N553</f>
        <v/>
      </c>
      <c r="O555" s="24">
        <f>O554-O553</f>
        <v/>
      </c>
      <c r="P555" s="27">
        <f>P554-P553</f>
        <v/>
      </c>
      <c r="Q555" s="30">
        <f>SUM(K555:P555)</f>
        <v/>
      </c>
      <c r="R555" s="30">
        <f>J555+Q555</f>
        <v/>
      </c>
      <c r="S555" s="17" t="n"/>
    </row>
    <row r="556" ht="18" customHeight="1" s="43" thickBot="1">
      <c r="B556" s="60" t="n"/>
      <c r="C556" s="25" t="inlineStr">
        <is>
          <t>稼働棟数</t>
        </is>
      </c>
      <c r="D556" s="20" t="n"/>
      <c r="E556" s="20" t="n"/>
      <c r="F556" s="20" t="n"/>
      <c r="G556" s="20" t="n"/>
      <c r="H556" s="20" t="n"/>
      <c r="I556" s="28" t="n"/>
      <c r="J556" s="21">
        <f>I556</f>
        <v/>
      </c>
      <c r="K556" s="22" t="n"/>
      <c r="L556" s="20" t="n"/>
      <c r="M556" s="20" t="n"/>
      <c r="N556" s="20" t="n"/>
      <c r="O556" s="20" t="n"/>
      <c r="P556" s="28" t="n"/>
      <c r="Q556" s="21">
        <f>P556</f>
        <v/>
      </c>
      <c r="R556" s="21">
        <f>Q556</f>
        <v/>
      </c>
      <c r="S556" s="18" t="n"/>
    </row>
    <row r="557" ht="18" customHeight="1" s="43">
      <c r="B557" s="59" t="inlineStr">
        <is>
          <t>マルテー/マイクロ</t>
        </is>
      </c>
      <c r="C557" s="31" t="inlineStr">
        <is>
          <t>58期</t>
        </is>
      </c>
      <c r="D557" s="8" t="n"/>
      <c r="E557" s="8" t="n"/>
      <c r="F557" s="8" t="n"/>
      <c r="G557" s="8" t="n"/>
      <c r="H557" s="8" t="n"/>
      <c r="I557" s="9" t="n"/>
      <c r="J557" s="10">
        <f>SUM(D557:I557)</f>
        <v/>
      </c>
      <c r="K557" s="11" t="n"/>
      <c r="L557" s="8" t="n"/>
      <c r="M557" s="8" t="n"/>
      <c r="N557" s="8" t="n"/>
      <c r="O557" s="8" t="n"/>
      <c r="P557" s="9" t="n"/>
      <c r="Q557" s="10">
        <f>SUM(K557:P557)</f>
        <v/>
      </c>
      <c r="R557" s="10">
        <f>J557+Q557</f>
        <v/>
      </c>
      <c r="S557" s="16" t="n"/>
    </row>
    <row r="558" ht="18" customHeight="1" s="43">
      <c r="B558" s="48" t="n"/>
      <c r="C558" s="7" t="inlineStr">
        <is>
          <t>59期</t>
        </is>
      </c>
      <c r="D558" s="12" t="n"/>
      <c r="E558" s="12" t="n"/>
      <c r="F558" s="12" t="n"/>
      <c r="G558" s="12" t="n"/>
      <c r="H558" s="12" t="n"/>
      <c r="I558" s="13" t="n"/>
      <c r="J558" s="14">
        <f>SUM(D558:I558)</f>
        <v/>
      </c>
      <c r="K558" s="15" t="n"/>
      <c r="L558" s="12" t="n"/>
      <c r="M558" s="12" t="n"/>
      <c r="N558" s="12" t="n"/>
      <c r="O558" s="12" t="n"/>
      <c r="P558" s="13" t="n"/>
      <c r="Q558" s="14">
        <f>SUM(K558:P558)</f>
        <v/>
      </c>
      <c r="R558" s="14">
        <f>J558+Q558</f>
        <v/>
      </c>
      <c r="S558" s="17" t="n"/>
    </row>
    <row r="559" ht="18" customHeight="1" s="43">
      <c r="B559" s="48" t="n"/>
      <c r="C559" s="23" t="inlineStr">
        <is>
          <t>増　減</t>
        </is>
      </c>
      <c r="D559" s="24">
        <f>D558-D557</f>
        <v/>
      </c>
      <c r="E559" s="24">
        <f>E558-E557</f>
        <v/>
      </c>
      <c r="F559" s="24">
        <f>F558-F557</f>
        <v/>
      </c>
      <c r="G559" s="24">
        <f>G558-G557</f>
        <v/>
      </c>
      <c r="H559" s="24">
        <f>H558-H557</f>
        <v/>
      </c>
      <c r="I559" s="27">
        <f>I558-I557</f>
        <v/>
      </c>
      <c r="J559" s="30">
        <f>SUM(D559:I559)</f>
        <v/>
      </c>
      <c r="K559" s="29">
        <f>K558-K557</f>
        <v/>
      </c>
      <c r="L559" s="24">
        <f>L558-L557</f>
        <v/>
      </c>
      <c r="M559" s="24">
        <f>M558-M557</f>
        <v/>
      </c>
      <c r="N559" s="24">
        <f>N558-N557</f>
        <v/>
      </c>
      <c r="O559" s="24">
        <f>O558-O557</f>
        <v/>
      </c>
      <c r="P559" s="27">
        <f>P558-P557</f>
        <v/>
      </c>
      <c r="Q559" s="30">
        <f>SUM(K559:P559)</f>
        <v/>
      </c>
      <c r="R559" s="30">
        <f>J559+Q559</f>
        <v/>
      </c>
      <c r="S559" s="17" t="n"/>
    </row>
    <row r="560" ht="18" customHeight="1" s="43" thickBot="1">
      <c r="B560" s="60" t="n"/>
      <c r="C560" s="25" t="inlineStr">
        <is>
          <t>稼働棟数</t>
        </is>
      </c>
      <c r="D560" s="20" t="n"/>
      <c r="E560" s="20" t="n"/>
      <c r="F560" s="20" t="n"/>
      <c r="G560" s="20" t="n"/>
      <c r="H560" s="20" t="n"/>
      <c r="I560" s="28" t="n"/>
      <c r="J560" s="21">
        <f>I560</f>
        <v/>
      </c>
      <c r="K560" s="22" t="n"/>
      <c r="L560" s="20" t="n"/>
      <c r="M560" s="20" t="n"/>
      <c r="N560" s="20" t="n"/>
      <c r="O560" s="20" t="n"/>
      <c r="P560" s="28" t="n"/>
      <c r="Q560" s="21">
        <f>P560</f>
        <v/>
      </c>
      <c r="R560" s="21">
        <f>Q560</f>
        <v/>
      </c>
      <c r="S560" s="18" t="n"/>
    </row>
    <row r="561" ht="18" customHeight="1" s="43">
      <c r="B561" s="59" t="inlineStr">
        <is>
          <t>マルテー/ミニトマト</t>
        </is>
      </c>
      <c r="C561" s="31" t="inlineStr">
        <is>
          <t>58期</t>
        </is>
      </c>
      <c r="D561" s="8" t="n"/>
      <c r="E561" s="8" t="n"/>
      <c r="F561" s="8" t="n"/>
      <c r="G561" s="8" t="n"/>
      <c r="H561" s="8" t="n"/>
      <c r="I561" s="9" t="n"/>
      <c r="J561" s="10">
        <f>SUM(D561:I561)</f>
        <v/>
      </c>
      <c r="K561" s="11" t="n"/>
      <c r="L561" s="8" t="n"/>
      <c r="M561" s="8" t="n"/>
      <c r="N561" s="8" t="n"/>
      <c r="O561" s="8" t="n"/>
      <c r="P561" s="9" t="n"/>
      <c r="Q561" s="10">
        <f>SUM(K561:P561)</f>
        <v/>
      </c>
      <c r="R561" s="10">
        <f>J561+Q561</f>
        <v/>
      </c>
      <c r="S561" s="16" t="n"/>
    </row>
    <row r="562" ht="18" customHeight="1" s="43">
      <c r="B562" s="48" t="n"/>
      <c r="C562" s="7" t="inlineStr">
        <is>
          <t>59期</t>
        </is>
      </c>
      <c r="D562" s="12" t="n"/>
      <c r="E562" s="12" t="n"/>
      <c r="F562" s="12" t="n"/>
      <c r="G562" s="12" t="n"/>
      <c r="H562" s="12" t="n"/>
      <c r="I562" s="13" t="n"/>
      <c r="J562" s="14">
        <f>SUM(D562:I562)</f>
        <v/>
      </c>
      <c r="K562" s="15" t="n"/>
      <c r="L562" s="12" t="n"/>
      <c r="M562" s="12" t="n"/>
      <c r="N562" s="12" t="n"/>
      <c r="O562" s="12" t="n"/>
      <c r="P562" s="13" t="n"/>
      <c r="Q562" s="14">
        <f>SUM(K562:P562)</f>
        <v/>
      </c>
      <c r="R562" s="14">
        <f>J562+Q562</f>
        <v/>
      </c>
      <c r="S562" s="17" t="n"/>
    </row>
    <row r="563" ht="18" customHeight="1" s="43">
      <c r="B563" s="48" t="n"/>
      <c r="C563" s="23" t="inlineStr">
        <is>
          <t>増　減</t>
        </is>
      </c>
      <c r="D563" s="24">
        <f>D562-D561</f>
        <v/>
      </c>
      <c r="E563" s="24">
        <f>E562-E561</f>
        <v/>
      </c>
      <c r="F563" s="24">
        <f>F562-F561</f>
        <v/>
      </c>
      <c r="G563" s="24">
        <f>G562-G561</f>
        <v/>
      </c>
      <c r="H563" s="24">
        <f>H562-H561</f>
        <v/>
      </c>
      <c r="I563" s="27">
        <f>I562-I561</f>
        <v/>
      </c>
      <c r="J563" s="30">
        <f>SUM(D563:I563)</f>
        <v/>
      </c>
      <c r="K563" s="29">
        <f>K562-K561</f>
        <v/>
      </c>
      <c r="L563" s="24">
        <f>L562-L561</f>
        <v/>
      </c>
      <c r="M563" s="24">
        <f>M562-M561</f>
        <v/>
      </c>
      <c r="N563" s="24">
        <f>N562-N561</f>
        <v/>
      </c>
      <c r="O563" s="24">
        <f>O562-O561</f>
        <v/>
      </c>
      <c r="P563" s="27">
        <f>P562-P561</f>
        <v/>
      </c>
      <c r="Q563" s="30">
        <f>SUM(K563:P563)</f>
        <v/>
      </c>
      <c r="R563" s="30">
        <f>J563+Q563</f>
        <v/>
      </c>
      <c r="S563" s="17" t="n"/>
    </row>
    <row r="564" ht="18" customHeight="1" s="43" thickBot="1">
      <c r="B564" s="60" t="n"/>
      <c r="C564" s="25" t="inlineStr">
        <is>
          <t>稼働棟数</t>
        </is>
      </c>
      <c r="D564" s="20" t="n"/>
      <c r="E564" s="20" t="n"/>
      <c r="F564" s="20" t="n"/>
      <c r="G564" s="20" t="n"/>
      <c r="H564" s="20" t="n"/>
      <c r="I564" s="28" t="n"/>
      <c r="J564" s="21">
        <f>I564</f>
        <v/>
      </c>
      <c r="K564" s="22" t="n"/>
      <c r="L564" s="20" t="n"/>
      <c r="M564" s="20" t="n"/>
      <c r="N564" s="20" t="n"/>
      <c r="O564" s="20" t="n"/>
      <c r="P564" s="28" t="n"/>
      <c r="Q564" s="21">
        <f>P564</f>
        <v/>
      </c>
      <c r="R564" s="21">
        <f>Q564</f>
        <v/>
      </c>
      <c r="S564" s="18" t="n"/>
    </row>
    <row r="565" ht="18" customHeight="1" s="43">
      <c r="B565" s="59" t="inlineStr">
        <is>
          <t>マルテー/根物野菜</t>
        </is>
      </c>
      <c r="C565" s="31" t="inlineStr">
        <is>
          <t>58期</t>
        </is>
      </c>
      <c r="D565" s="8" t="n"/>
      <c r="E565" s="8" t="n"/>
      <c r="F565" s="8" t="n"/>
      <c r="G565" s="8" t="n"/>
      <c r="H565" s="8" t="n"/>
      <c r="I565" s="9" t="n"/>
      <c r="J565" s="10">
        <f>SUM(D565:I565)</f>
        <v/>
      </c>
      <c r="K565" s="11" t="n"/>
      <c r="L565" s="8" t="n"/>
      <c r="M565" s="8" t="n"/>
      <c r="N565" s="8" t="n"/>
      <c r="O565" s="8" t="n"/>
      <c r="P565" s="9" t="n"/>
      <c r="Q565" s="10">
        <f>SUM(K565:P565)</f>
        <v/>
      </c>
      <c r="R565" s="10">
        <f>J565+Q565</f>
        <v/>
      </c>
      <c r="S565" s="16" t="n"/>
    </row>
    <row r="566" ht="18" customHeight="1" s="43">
      <c r="B566" s="48" t="n"/>
      <c r="C566" s="7" t="inlineStr">
        <is>
          <t>59期</t>
        </is>
      </c>
      <c r="D566" s="12" t="n"/>
      <c r="E566" s="12" t="n"/>
      <c r="F566" s="12" t="n"/>
      <c r="G566" s="12" t="n"/>
      <c r="H566" s="12" t="n"/>
      <c r="I566" s="13" t="n"/>
      <c r="J566" s="14">
        <f>SUM(D566:I566)</f>
        <v/>
      </c>
      <c r="K566" s="15" t="n"/>
      <c r="L566" s="12" t="n"/>
      <c r="M566" s="12" t="n"/>
      <c r="N566" s="12" t="n"/>
      <c r="O566" s="12" t="n"/>
      <c r="P566" s="13" t="n"/>
      <c r="Q566" s="14">
        <f>SUM(K566:P566)</f>
        <v/>
      </c>
      <c r="R566" s="14">
        <f>J566+Q566</f>
        <v/>
      </c>
      <c r="S566" s="17" t="n"/>
    </row>
    <row r="567" ht="18" customHeight="1" s="43">
      <c r="B567" s="48" t="n"/>
      <c r="C567" s="23" t="inlineStr">
        <is>
          <t>増　減</t>
        </is>
      </c>
      <c r="D567" s="24">
        <f>D566-D565</f>
        <v/>
      </c>
      <c r="E567" s="24">
        <f>E566-E565</f>
        <v/>
      </c>
      <c r="F567" s="24">
        <f>F566-F565</f>
        <v/>
      </c>
      <c r="G567" s="24">
        <f>G566-G565</f>
        <v/>
      </c>
      <c r="H567" s="24">
        <f>H566-H565</f>
        <v/>
      </c>
      <c r="I567" s="27">
        <f>I566-I565</f>
        <v/>
      </c>
      <c r="J567" s="30">
        <f>SUM(D567:I567)</f>
        <v/>
      </c>
      <c r="K567" s="29">
        <f>K566-K565</f>
        <v/>
      </c>
      <c r="L567" s="24">
        <f>L566-L565</f>
        <v/>
      </c>
      <c r="M567" s="24">
        <f>M566-M565</f>
        <v/>
      </c>
      <c r="N567" s="24">
        <f>N566-N565</f>
        <v/>
      </c>
      <c r="O567" s="24">
        <f>O566-O565</f>
        <v/>
      </c>
      <c r="P567" s="27">
        <f>P566-P565</f>
        <v/>
      </c>
      <c r="Q567" s="30">
        <f>SUM(K567:P567)</f>
        <v/>
      </c>
      <c r="R567" s="30">
        <f>J567+Q567</f>
        <v/>
      </c>
      <c r="S567" s="17" t="n"/>
    </row>
    <row r="568" ht="18" customHeight="1" s="43" thickBot="1">
      <c r="B568" s="60" t="n"/>
      <c r="C568" s="25" t="inlineStr">
        <is>
          <t>稼働棟数</t>
        </is>
      </c>
      <c r="D568" s="20" t="n"/>
      <c r="E568" s="20" t="n"/>
      <c r="F568" s="20" t="n"/>
      <c r="G568" s="20" t="n"/>
      <c r="H568" s="20" t="n"/>
      <c r="I568" s="28" t="n"/>
      <c r="J568" s="21">
        <f>I568</f>
        <v/>
      </c>
      <c r="K568" s="22" t="n"/>
      <c r="L568" s="20" t="n"/>
      <c r="M568" s="20" t="n"/>
      <c r="N568" s="20" t="n"/>
      <c r="O568" s="20" t="n"/>
      <c r="P568" s="28" t="n"/>
      <c r="Q568" s="21">
        <f>P568</f>
        <v/>
      </c>
      <c r="R568" s="21">
        <f>Q568</f>
        <v/>
      </c>
      <c r="S568" s="18" t="n"/>
    </row>
    <row r="569" ht="18" customHeight="1" s="43">
      <c r="B569" s="59" t="inlineStr">
        <is>
          <t>マルテー/実物野菜</t>
        </is>
      </c>
      <c r="C569" s="31" t="inlineStr">
        <is>
          <t>58期</t>
        </is>
      </c>
      <c r="D569" s="8" t="n"/>
      <c r="E569" s="8" t="n"/>
      <c r="F569" s="8" t="n"/>
      <c r="G569" s="8" t="n"/>
      <c r="H569" s="8" t="n"/>
      <c r="I569" s="9" t="n"/>
      <c r="J569" s="10">
        <f>SUM(D569:I569)</f>
        <v/>
      </c>
      <c r="K569" s="11" t="n"/>
      <c r="L569" s="8" t="n"/>
      <c r="M569" s="8" t="n"/>
      <c r="N569" s="8" t="n"/>
      <c r="O569" s="8" t="n"/>
      <c r="P569" s="9" t="n"/>
      <c r="Q569" s="10">
        <f>SUM(K569:P569)</f>
        <v/>
      </c>
      <c r="R569" s="10">
        <f>J569+Q569</f>
        <v/>
      </c>
      <c r="S569" s="16" t="n"/>
    </row>
    <row r="570" ht="18" customHeight="1" s="43">
      <c r="B570" s="48" t="n"/>
      <c r="C570" s="7" t="inlineStr">
        <is>
          <t>59期</t>
        </is>
      </c>
      <c r="D570" s="12" t="n"/>
      <c r="E570" s="12" t="n"/>
      <c r="F570" s="12" t="n"/>
      <c r="G570" s="12" t="n"/>
      <c r="H570" s="12" t="n"/>
      <c r="I570" s="13" t="n"/>
      <c r="J570" s="14">
        <f>SUM(D570:I570)</f>
        <v/>
      </c>
      <c r="K570" s="15" t="n"/>
      <c r="L570" s="12" t="n"/>
      <c r="M570" s="12" t="n"/>
      <c r="N570" s="12" t="n"/>
      <c r="O570" s="12" t="n"/>
      <c r="P570" s="13" t="n"/>
      <c r="Q570" s="14">
        <f>SUM(K570:P570)</f>
        <v/>
      </c>
      <c r="R570" s="14">
        <f>J570+Q570</f>
        <v/>
      </c>
      <c r="S570" s="17" t="n"/>
    </row>
    <row r="571" ht="18" customHeight="1" s="43">
      <c r="B571" s="48" t="n"/>
      <c r="C571" s="23" t="inlineStr">
        <is>
          <t>増　減</t>
        </is>
      </c>
      <c r="D571" s="24">
        <f>D570-D569</f>
        <v/>
      </c>
      <c r="E571" s="24">
        <f>E570-E569</f>
        <v/>
      </c>
      <c r="F571" s="24">
        <f>F570-F569</f>
        <v/>
      </c>
      <c r="G571" s="24">
        <f>G570-G569</f>
        <v/>
      </c>
      <c r="H571" s="24">
        <f>H570-H569</f>
        <v/>
      </c>
      <c r="I571" s="27">
        <f>I570-I569</f>
        <v/>
      </c>
      <c r="J571" s="30">
        <f>SUM(D571:I571)</f>
        <v/>
      </c>
      <c r="K571" s="29">
        <f>K570-K569</f>
        <v/>
      </c>
      <c r="L571" s="24">
        <f>L570-L569</f>
        <v/>
      </c>
      <c r="M571" s="24">
        <f>M570-M569</f>
        <v/>
      </c>
      <c r="N571" s="24">
        <f>N570-N569</f>
        <v/>
      </c>
      <c r="O571" s="24">
        <f>O570-O569</f>
        <v/>
      </c>
      <c r="P571" s="27">
        <f>P570-P569</f>
        <v/>
      </c>
      <c r="Q571" s="30">
        <f>SUM(K571:P571)</f>
        <v/>
      </c>
      <c r="R571" s="30">
        <f>J571+Q571</f>
        <v/>
      </c>
      <c r="S571" s="17" t="n"/>
    </row>
    <row r="572" ht="18" customHeight="1" s="43" thickBot="1">
      <c r="B572" s="60" t="n"/>
      <c r="C572" s="25" t="inlineStr">
        <is>
          <t>稼働棟数</t>
        </is>
      </c>
      <c r="D572" s="20" t="n"/>
      <c r="E572" s="20" t="n"/>
      <c r="F572" s="20" t="n"/>
      <c r="G572" s="20" t="n"/>
      <c r="H572" s="20" t="n"/>
      <c r="I572" s="28" t="n"/>
      <c r="J572" s="21">
        <f>I572</f>
        <v/>
      </c>
      <c r="K572" s="22" t="n"/>
      <c r="L572" s="20" t="n"/>
      <c r="M572" s="20" t="n"/>
      <c r="N572" s="20" t="n"/>
      <c r="O572" s="20" t="n"/>
      <c r="P572" s="28" t="n"/>
      <c r="Q572" s="21">
        <f>P572</f>
        <v/>
      </c>
      <c r="R572" s="21">
        <f>Q572</f>
        <v/>
      </c>
      <c r="S572" s="18" t="n"/>
    </row>
    <row r="573" ht="18" customHeight="1" s="43">
      <c r="B573" s="59" t="inlineStr">
        <is>
          <t>マルテー/食用花</t>
        </is>
      </c>
      <c r="C573" s="31" t="inlineStr">
        <is>
          <t>58期</t>
        </is>
      </c>
      <c r="D573" s="8" t="n"/>
      <c r="E573" s="8" t="n"/>
      <c r="F573" s="8" t="n"/>
      <c r="G573" s="8" t="n"/>
      <c r="H573" s="8" t="n"/>
      <c r="I573" s="9" t="n"/>
      <c r="J573" s="10">
        <f>SUM(D573:I573)</f>
        <v/>
      </c>
      <c r="K573" s="11" t="n"/>
      <c r="L573" s="8" t="n"/>
      <c r="M573" s="8" t="n"/>
      <c r="N573" s="8" t="n"/>
      <c r="O573" s="8" t="n"/>
      <c r="P573" s="9" t="n"/>
      <c r="Q573" s="10">
        <f>SUM(K573:P573)</f>
        <v/>
      </c>
      <c r="R573" s="10">
        <f>J573+Q573</f>
        <v/>
      </c>
      <c r="S573" s="16" t="n"/>
    </row>
    <row r="574" ht="18" customHeight="1" s="43">
      <c r="B574" s="48" t="n"/>
      <c r="C574" s="7" t="inlineStr">
        <is>
          <t>59期</t>
        </is>
      </c>
      <c r="D574" s="12" t="n"/>
      <c r="E574" s="12" t="n"/>
      <c r="F574" s="12" t="n"/>
      <c r="G574" s="12" t="n"/>
      <c r="H574" s="12" t="n"/>
      <c r="I574" s="13" t="n"/>
      <c r="J574" s="14">
        <f>SUM(D574:I574)</f>
        <v/>
      </c>
      <c r="K574" s="15" t="n"/>
      <c r="L574" s="12" t="n"/>
      <c r="M574" s="12" t="n"/>
      <c r="N574" s="12" t="n"/>
      <c r="O574" s="12" t="n"/>
      <c r="P574" s="13" t="n"/>
      <c r="Q574" s="14">
        <f>SUM(K574:P574)</f>
        <v/>
      </c>
      <c r="R574" s="14">
        <f>J574+Q574</f>
        <v/>
      </c>
      <c r="S574" s="17" t="n"/>
    </row>
    <row r="575" ht="18" customHeight="1" s="43">
      <c r="B575" s="48" t="n"/>
      <c r="C575" s="23" t="inlineStr">
        <is>
          <t>増　減</t>
        </is>
      </c>
      <c r="D575" s="24">
        <f>D574-D573</f>
        <v/>
      </c>
      <c r="E575" s="24">
        <f>E574-E573</f>
        <v/>
      </c>
      <c r="F575" s="24">
        <f>F574-F573</f>
        <v/>
      </c>
      <c r="G575" s="24">
        <f>G574-G573</f>
        <v/>
      </c>
      <c r="H575" s="24">
        <f>H574-H573</f>
        <v/>
      </c>
      <c r="I575" s="27">
        <f>I574-I573</f>
        <v/>
      </c>
      <c r="J575" s="30">
        <f>SUM(D575:I575)</f>
        <v/>
      </c>
      <c r="K575" s="29">
        <f>K574-K573</f>
        <v/>
      </c>
      <c r="L575" s="24">
        <f>L574-L573</f>
        <v/>
      </c>
      <c r="M575" s="24">
        <f>M574-M573</f>
        <v/>
      </c>
      <c r="N575" s="24">
        <f>N574-N573</f>
        <v/>
      </c>
      <c r="O575" s="24">
        <f>O574-O573</f>
        <v/>
      </c>
      <c r="P575" s="27">
        <f>P574-P573</f>
        <v/>
      </c>
      <c r="Q575" s="30">
        <f>SUM(K575:P575)</f>
        <v/>
      </c>
      <c r="R575" s="30">
        <f>J575+Q575</f>
        <v/>
      </c>
      <c r="S575" s="17" t="n"/>
    </row>
    <row r="576" ht="18" customHeight="1" s="43" thickBot="1">
      <c r="B576" s="60" t="n"/>
      <c r="C576" s="25" t="inlineStr">
        <is>
          <t>稼働棟数</t>
        </is>
      </c>
      <c r="D576" s="20" t="n"/>
      <c r="E576" s="20" t="n"/>
      <c r="F576" s="20" t="n"/>
      <c r="G576" s="20" t="n"/>
      <c r="H576" s="20" t="n"/>
      <c r="I576" s="28" t="n"/>
      <c r="J576" s="21">
        <f>I576</f>
        <v/>
      </c>
      <c r="K576" s="22" t="n"/>
      <c r="L576" s="20" t="n"/>
      <c r="M576" s="20" t="n"/>
      <c r="N576" s="20" t="n"/>
      <c r="O576" s="20" t="n"/>
      <c r="P576" s="28" t="n"/>
      <c r="Q576" s="21">
        <f>P576</f>
        <v/>
      </c>
      <c r="R576" s="21">
        <f>Q576</f>
        <v/>
      </c>
      <c r="S576" s="18" t="n"/>
    </row>
    <row r="577" ht="18" customHeight="1" s="43">
      <c r="B577" s="59" t="inlineStr">
        <is>
          <t>マルテー/葉物野菜</t>
        </is>
      </c>
      <c r="C577" s="31" t="inlineStr">
        <is>
          <t>58期</t>
        </is>
      </c>
      <c r="D577" s="8" t="n"/>
      <c r="E577" s="8" t="n"/>
      <c r="F577" s="8" t="n"/>
      <c r="G577" s="8" t="n"/>
      <c r="H577" s="8" t="n"/>
      <c r="I577" s="9" t="n"/>
      <c r="J577" s="10">
        <f>SUM(D577:I577)</f>
        <v/>
      </c>
      <c r="K577" s="11" t="n"/>
      <c r="L577" s="8" t="n"/>
      <c r="M577" s="8" t="n"/>
      <c r="N577" s="8" t="n"/>
      <c r="O577" s="8" t="n"/>
      <c r="P577" s="9" t="n"/>
      <c r="Q577" s="10">
        <f>SUM(K577:P577)</f>
        <v/>
      </c>
      <c r="R577" s="10">
        <f>J577+Q577</f>
        <v/>
      </c>
      <c r="S577" s="16" t="n"/>
    </row>
    <row r="578" ht="18" customHeight="1" s="43">
      <c r="B578" s="48" t="n"/>
      <c r="C578" s="7" t="inlineStr">
        <is>
          <t>59期</t>
        </is>
      </c>
      <c r="D578" s="12" t="n"/>
      <c r="E578" s="12" t="n"/>
      <c r="F578" s="12" t="n"/>
      <c r="G578" s="12" t="n"/>
      <c r="H578" s="12" t="n"/>
      <c r="I578" s="13" t="n"/>
      <c r="J578" s="14">
        <f>SUM(D578:I578)</f>
        <v/>
      </c>
      <c r="K578" s="15" t="n"/>
      <c r="L578" s="12" t="n"/>
      <c r="M578" s="12" t="n"/>
      <c r="N578" s="12" t="n"/>
      <c r="O578" s="12" t="n"/>
      <c r="P578" s="13" t="n"/>
      <c r="Q578" s="14">
        <f>SUM(K578:P578)</f>
        <v/>
      </c>
      <c r="R578" s="14">
        <f>J578+Q578</f>
        <v/>
      </c>
      <c r="S578" s="17" t="n"/>
    </row>
    <row r="579" ht="18" customHeight="1" s="43">
      <c r="B579" s="48" t="n"/>
      <c r="C579" s="23" t="inlineStr">
        <is>
          <t>増　減</t>
        </is>
      </c>
      <c r="D579" s="24">
        <f>D578-D577</f>
        <v/>
      </c>
      <c r="E579" s="24">
        <f>E578-E577</f>
        <v/>
      </c>
      <c r="F579" s="24">
        <f>F578-F577</f>
        <v/>
      </c>
      <c r="G579" s="24">
        <f>G578-G577</f>
        <v/>
      </c>
      <c r="H579" s="24">
        <f>H578-H577</f>
        <v/>
      </c>
      <c r="I579" s="27">
        <f>I578-I577</f>
        <v/>
      </c>
      <c r="J579" s="30">
        <f>SUM(D579:I579)</f>
        <v/>
      </c>
      <c r="K579" s="29">
        <f>K578-K577</f>
        <v/>
      </c>
      <c r="L579" s="24">
        <f>L578-L577</f>
        <v/>
      </c>
      <c r="M579" s="24">
        <f>M578-M577</f>
        <v/>
      </c>
      <c r="N579" s="24">
        <f>N578-N577</f>
        <v/>
      </c>
      <c r="O579" s="24">
        <f>O578-O577</f>
        <v/>
      </c>
      <c r="P579" s="27">
        <f>P578-P577</f>
        <v/>
      </c>
      <c r="Q579" s="30">
        <f>SUM(K579:P579)</f>
        <v/>
      </c>
      <c r="R579" s="30">
        <f>J579+Q579</f>
        <v/>
      </c>
      <c r="S579" s="17" t="n"/>
    </row>
    <row r="580" ht="18" customHeight="1" s="43" thickBot="1">
      <c r="B580" s="60" t="n"/>
      <c r="C580" s="25" t="inlineStr">
        <is>
          <t>稼働棟数</t>
        </is>
      </c>
      <c r="D580" s="20" t="n"/>
      <c r="E580" s="20" t="n"/>
      <c r="F580" s="20" t="n"/>
      <c r="G580" s="20" t="n"/>
      <c r="H580" s="20" t="n"/>
      <c r="I580" s="28" t="n"/>
      <c r="J580" s="21">
        <f>I580</f>
        <v/>
      </c>
      <c r="K580" s="22" t="n"/>
      <c r="L580" s="20" t="n"/>
      <c r="M580" s="20" t="n"/>
      <c r="N580" s="20" t="n"/>
      <c r="O580" s="20" t="n"/>
      <c r="P580" s="28" t="n"/>
      <c r="Q580" s="21">
        <f>P580</f>
        <v/>
      </c>
      <c r="R580" s="21">
        <f>Q580</f>
        <v/>
      </c>
      <c r="S580" s="18" t="n"/>
    </row>
    <row r="581" ht="18" customHeight="1" s="43">
      <c r="B581" s="59" t="inlineStr">
        <is>
          <t>ソリトン/イチゴ</t>
        </is>
      </c>
      <c r="C581" s="31" t="inlineStr">
        <is>
          <t>58期</t>
        </is>
      </c>
      <c r="D581" s="8" t="n"/>
      <c r="E581" s="8" t="n"/>
      <c r="F581" s="8" t="n"/>
      <c r="G581" s="8" t="n">
        <v>2.29</v>
      </c>
      <c r="H581" s="8" t="n"/>
      <c r="I581" s="9" t="n"/>
      <c r="J581" s="10" t="n">
        <v>2.29</v>
      </c>
      <c r="K581" s="11" t="n"/>
      <c r="L581" s="8" t="n"/>
      <c r="M581" s="8" t="n"/>
      <c r="N581" s="8" t="n"/>
      <c r="O581" s="8" t="n"/>
      <c r="P581" s="9" t="n"/>
      <c r="Q581" s="10" t="n">
        <v>0</v>
      </c>
      <c r="R581" s="10" t="n">
        <v>2.29</v>
      </c>
      <c r="S581" s="16" t="n"/>
    </row>
    <row r="582" ht="18" customHeight="1" s="43">
      <c r="B582" s="48" t="n"/>
      <c r="C582" s="7" t="inlineStr">
        <is>
          <t>59期</t>
        </is>
      </c>
      <c r="D582" s="12" t="n"/>
      <c r="E582" s="12" t="n"/>
      <c r="F582" s="12" t="n"/>
      <c r="G582" s="12" t="n"/>
      <c r="H582" s="12" t="n"/>
      <c r="I582" s="13" t="n"/>
      <c r="J582" s="14">
        <f>SUM(D582:I582)</f>
        <v/>
      </c>
      <c r="K582" s="15" t="n"/>
      <c r="L582" s="12" t="n"/>
      <c r="M582" s="12" t="n"/>
      <c r="N582" s="12" t="n"/>
      <c r="O582" s="12" t="n"/>
      <c r="P582" s="13" t="n"/>
      <c r="Q582" s="14">
        <f>SUM(K582:P582)</f>
        <v/>
      </c>
      <c r="R582" s="14">
        <f>J582+Q582</f>
        <v/>
      </c>
      <c r="S582" s="17" t="n"/>
    </row>
    <row r="583" ht="18" customHeight="1" s="43">
      <c r="B583" s="48" t="n"/>
      <c r="C583" s="23" t="inlineStr">
        <is>
          <t>増　減</t>
        </is>
      </c>
      <c r="D583" s="24">
        <f>D582-D581</f>
        <v/>
      </c>
      <c r="E583" s="24">
        <f>E582-E581</f>
        <v/>
      </c>
      <c r="F583" s="24">
        <f>F582-F581</f>
        <v/>
      </c>
      <c r="G583" s="24">
        <f>G582-G581</f>
        <v/>
      </c>
      <c r="H583" s="24">
        <f>H582-H581</f>
        <v/>
      </c>
      <c r="I583" s="27">
        <f>I582-I581</f>
        <v/>
      </c>
      <c r="J583" s="30">
        <f>SUM(D583:I583)</f>
        <v/>
      </c>
      <c r="K583" s="29">
        <f>K582-K581</f>
        <v/>
      </c>
      <c r="L583" s="24">
        <f>L582-L581</f>
        <v/>
      </c>
      <c r="M583" s="24">
        <f>M582-M581</f>
        <v/>
      </c>
      <c r="N583" s="24">
        <f>N582-N581</f>
        <v/>
      </c>
      <c r="O583" s="24">
        <f>O582-O581</f>
        <v/>
      </c>
      <c r="P583" s="27">
        <f>P582-P581</f>
        <v/>
      </c>
      <c r="Q583" s="30">
        <f>SUM(K583:P583)</f>
        <v/>
      </c>
      <c r="R583" s="30">
        <f>J583+Q583</f>
        <v/>
      </c>
      <c r="S583" s="17" t="n"/>
    </row>
    <row r="584" ht="18" customHeight="1" s="43" thickBot="1">
      <c r="B584" s="60" t="n"/>
      <c r="C584" s="25" t="inlineStr">
        <is>
          <t>稼働棟数</t>
        </is>
      </c>
      <c r="D584" s="20" t="n"/>
      <c r="E584" s="20" t="n"/>
      <c r="F584" s="20" t="n"/>
      <c r="G584" s="20" t="n"/>
      <c r="H584" s="20" t="n"/>
      <c r="I584" s="28" t="n"/>
      <c r="J584" s="21">
        <f>I584</f>
        <v/>
      </c>
      <c r="K584" s="22" t="n"/>
      <c r="L584" s="20" t="n"/>
      <c r="M584" s="20" t="n"/>
      <c r="N584" s="20" t="n"/>
      <c r="O584" s="20" t="n"/>
      <c r="P584" s="28" t="n"/>
      <c r="Q584" s="21">
        <f>P584</f>
        <v/>
      </c>
      <c r="R584" s="21">
        <f>Q584</f>
        <v/>
      </c>
      <c r="S584" s="18" t="n"/>
    </row>
    <row r="585" ht="18" customHeight="1" s="43">
      <c r="B585" s="59" t="inlineStr">
        <is>
          <t>ソリトン/トマト</t>
        </is>
      </c>
      <c r="C585" s="31" t="inlineStr">
        <is>
          <t>58期</t>
        </is>
      </c>
      <c r="D585" s="8" t="n"/>
      <c r="E585" s="8" t="n"/>
      <c r="F585" s="8" t="n"/>
      <c r="G585" s="8" t="n"/>
      <c r="H585" s="8" t="n"/>
      <c r="I585" s="9" t="n"/>
      <c r="J585" s="10">
        <f>SUM(D585:I585)</f>
        <v/>
      </c>
      <c r="K585" s="11" t="n"/>
      <c r="L585" s="8" t="n"/>
      <c r="M585" s="8" t="n"/>
      <c r="N585" s="8" t="n"/>
      <c r="O585" s="8" t="n"/>
      <c r="P585" s="9" t="n"/>
      <c r="Q585" s="10">
        <f>SUM(K585:P585)</f>
        <v/>
      </c>
      <c r="R585" s="10">
        <f>J585+Q585</f>
        <v/>
      </c>
      <c r="S585" s="16" t="n"/>
    </row>
    <row r="586" ht="18" customHeight="1" s="43">
      <c r="B586" s="48" t="n"/>
      <c r="C586" s="7" t="inlineStr">
        <is>
          <t>59期</t>
        </is>
      </c>
      <c r="D586" s="12" t="n"/>
      <c r="E586" s="12" t="n"/>
      <c r="F586" s="12" t="n"/>
      <c r="G586" s="12" t="n"/>
      <c r="H586" s="12" t="n"/>
      <c r="I586" s="13" t="n"/>
      <c r="J586" s="14">
        <f>SUM(D586:I586)</f>
        <v/>
      </c>
      <c r="K586" s="15" t="n"/>
      <c r="L586" s="12" t="n"/>
      <c r="M586" s="12" t="n"/>
      <c r="N586" s="12" t="n"/>
      <c r="O586" s="12" t="n"/>
      <c r="P586" s="13" t="n"/>
      <c r="Q586" s="14">
        <f>SUM(K586:P586)</f>
        <v/>
      </c>
      <c r="R586" s="14">
        <f>J586+Q586</f>
        <v/>
      </c>
      <c r="S586" s="17" t="n"/>
    </row>
    <row r="587" ht="18" customHeight="1" s="43">
      <c r="B587" s="48" t="n"/>
      <c r="C587" s="23" t="inlineStr">
        <is>
          <t>増　減</t>
        </is>
      </c>
      <c r="D587" s="24">
        <f>D586-D585</f>
        <v/>
      </c>
      <c r="E587" s="24">
        <f>E586-E585</f>
        <v/>
      </c>
      <c r="F587" s="24">
        <f>F586-F585</f>
        <v/>
      </c>
      <c r="G587" s="24">
        <f>G586-G585</f>
        <v/>
      </c>
      <c r="H587" s="24">
        <f>H586-H585</f>
        <v/>
      </c>
      <c r="I587" s="27">
        <f>I586-I585</f>
        <v/>
      </c>
      <c r="J587" s="30">
        <f>SUM(D587:I587)</f>
        <v/>
      </c>
      <c r="K587" s="29">
        <f>K586-K585</f>
        <v/>
      </c>
      <c r="L587" s="24">
        <f>L586-L585</f>
        <v/>
      </c>
      <c r="M587" s="24">
        <f>M586-M585</f>
        <v/>
      </c>
      <c r="N587" s="24">
        <f>N586-N585</f>
        <v/>
      </c>
      <c r="O587" s="24">
        <f>O586-O585</f>
        <v/>
      </c>
      <c r="P587" s="27">
        <f>P586-P585</f>
        <v/>
      </c>
      <c r="Q587" s="30">
        <f>SUM(K587:P587)</f>
        <v/>
      </c>
      <c r="R587" s="30">
        <f>J587+Q587</f>
        <v/>
      </c>
      <c r="S587" s="17" t="n"/>
    </row>
    <row r="588" ht="18" customHeight="1" s="43" thickBot="1">
      <c r="B588" s="60" t="n"/>
      <c r="C588" s="25" t="inlineStr">
        <is>
          <t>稼働棟数</t>
        </is>
      </c>
      <c r="D588" s="20" t="n"/>
      <c r="E588" s="20" t="n"/>
      <c r="F588" s="20" t="n"/>
      <c r="G588" s="20" t="n"/>
      <c r="H588" s="20" t="n"/>
      <c r="I588" s="28" t="n"/>
      <c r="J588" s="21">
        <f>I588</f>
        <v/>
      </c>
      <c r="K588" s="22" t="n"/>
      <c r="L588" s="20" t="n"/>
      <c r="M588" s="20" t="n"/>
      <c r="N588" s="20" t="n"/>
      <c r="O588" s="20" t="n"/>
      <c r="P588" s="28" t="n"/>
      <c r="Q588" s="21">
        <f>P588</f>
        <v/>
      </c>
      <c r="R588" s="21">
        <f>Q588</f>
        <v/>
      </c>
      <c r="S588" s="18" t="n"/>
    </row>
    <row r="589" ht="18" customHeight="1" s="43">
      <c r="B589" s="59" t="inlineStr">
        <is>
          <t>ソリトン/ナス</t>
        </is>
      </c>
      <c r="C589" s="31" t="inlineStr">
        <is>
          <t>58期</t>
        </is>
      </c>
      <c r="D589" s="8" t="n"/>
      <c r="E589" s="8" t="n"/>
      <c r="F589" s="8" t="n"/>
      <c r="G589" s="8" t="n"/>
      <c r="H589" s="8" t="n"/>
      <c r="I589" s="9" t="n"/>
      <c r="J589" s="10">
        <f>SUM(D589:I589)</f>
        <v/>
      </c>
      <c r="K589" s="11" t="n"/>
      <c r="L589" s="8" t="n"/>
      <c r="M589" s="8" t="n"/>
      <c r="N589" s="8" t="n"/>
      <c r="O589" s="8" t="n"/>
      <c r="P589" s="9" t="n"/>
      <c r="Q589" s="10">
        <f>SUM(K589:P589)</f>
        <v/>
      </c>
      <c r="R589" s="10">
        <f>J589+Q589</f>
        <v/>
      </c>
      <c r="S589" s="16" t="n"/>
    </row>
    <row r="590" ht="18" customHeight="1" s="43">
      <c r="B590" s="48" t="n"/>
      <c r="C590" s="7" t="inlineStr">
        <is>
          <t>59期</t>
        </is>
      </c>
      <c r="D590" s="12" t="n"/>
      <c r="E590" s="12" t="n"/>
      <c r="F590" s="12" t="n"/>
      <c r="G590" s="12" t="n"/>
      <c r="H590" s="12" t="n"/>
      <c r="I590" s="13" t="n"/>
      <c r="J590" s="14">
        <f>SUM(D590:I590)</f>
        <v/>
      </c>
      <c r="K590" s="15" t="n"/>
      <c r="L590" s="12" t="n"/>
      <c r="M590" s="12" t="n"/>
      <c r="N590" s="12" t="n"/>
      <c r="O590" s="12" t="n"/>
      <c r="P590" s="13" t="n"/>
      <c r="Q590" s="14">
        <f>SUM(K590:P590)</f>
        <v/>
      </c>
      <c r="R590" s="14">
        <f>J590+Q590</f>
        <v/>
      </c>
      <c r="S590" s="17" t="n"/>
    </row>
    <row r="591" ht="18" customHeight="1" s="43">
      <c r="B591" s="48" t="n"/>
      <c r="C591" s="23" t="inlineStr">
        <is>
          <t>増　減</t>
        </is>
      </c>
      <c r="D591" s="24">
        <f>D590-D589</f>
        <v/>
      </c>
      <c r="E591" s="24">
        <f>E590-E589</f>
        <v/>
      </c>
      <c r="F591" s="24">
        <f>F590-F589</f>
        <v/>
      </c>
      <c r="G591" s="24">
        <f>G590-G589</f>
        <v/>
      </c>
      <c r="H591" s="24">
        <f>H590-H589</f>
        <v/>
      </c>
      <c r="I591" s="27">
        <f>I590-I589</f>
        <v/>
      </c>
      <c r="J591" s="30">
        <f>SUM(D591:I591)</f>
        <v/>
      </c>
      <c r="K591" s="29">
        <f>K590-K589</f>
        <v/>
      </c>
      <c r="L591" s="24">
        <f>L590-L589</f>
        <v/>
      </c>
      <c r="M591" s="24">
        <f>M590-M589</f>
        <v/>
      </c>
      <c r="N591" s="24">
        <f>N590-N589</f>
        <v/>
      </c>
      <c r="O591" s="24">
        <f>O590-O589</f>
        <v/>
      </c>
      <c r="P591" s="27">
        <f>P590-P589</f>
        <v/>
      </c>
      <c r="Q591" s="30">
        <f>SUM(K591:P591)</f>
        <v/>
      </c>
      <c r="R591" s="30">
        <f>J591+Q591</f>
        <v/>
      </c>
      <c r="S591" s="17" t="n"/>
    </row>
    <row r="592" ht="18" customHeight="1" s="43" thickBot="1">
      <c r="B592" s="60" t="n"/>
      <c r="C592" s="25" t="inlineStr">
        <is>
          <t>稼働棟数</t>
        </is>
      </c>
      <c r="D592" s="20" t="n"/>
      <c r="E592" s="20" t="n"/>
      <c r="F592" s="20" t="n"/>
      <c r="G592" s="20" t="n"/>
      <c r="H592" s="20" t="n"/>
      <c r="I592" s="28" t="n"/>
      <c r="J592" s="21">
        <f>I592</f>
        <v/>
      </c>
      <c r="K592" s="22" t="n"/>
      <c r="L592" s="20" t="n"/>
      <c r="M592" s="20" t="n"/>
      <c r="N592" s="20" t="n"/>
      <c r="O592" s="20" t="n"/>
      <c r="P592" s="28" t="n"/>
      <c r="Q592" s="21">
        <f>P592</f>
        <v/>
      </c>
      <c r="R592" s="21">
        <f>Q592</f>
        <v/>
      </c>
      <c r="S592" s="18" t="n"/>
    </row>
    <row r="593" ht="18" customHeight="1" s="43">
      <c r="B593" s="59" t="inlineStr">
        <is>
          <t>ソリトン/ハーブ</t>
        </is>
      </c>
      <c r="C593" s="31" t="inlineStr">
        <is>
          <t>58期</t>
        </is>
      </c>
      <c r="D593" s="8" t="n"/>
      <c r="E593" s="8" t="n"/>
      <c r="F593" s="8" t="n"/>
      <c r="G593" s="8" t="n"/>
      <c r="H593" s="8" t="n"/>
      <c r="I593" s="9" t="n"/>
      <c r="J593" s="10">
        <f>SUM(D593:I593)</f>
        <v/>
      </c>
      <c r="K593" s="11" t="n"/>
      <c r="L593" s="8" t="n"/>
      <c r="M593" s="8" t="n"/>
      <c r="N593" s="8" t="n"/>
      <c r="O593" s="8" t="n"/>
      <c r="P593" s="9" t="n"/>
      <c r="Q593" s="10">
        <f>SUM(K593:P593)</f>
        <v/>
      </c>
      <c r="R593" s="10">
        <f>J593+Q593</f>
        <v/>
      </c>
      <c r="S593" s="16" t="n"/>
    </row>
    <row r="594" ht="18" customHeight="1" s="43">
      <c r="B594" s="48" t="n"/>
      <c r="C594" s="7" t="inlineStr">
        <is>
          <t>59期</t>
        </is>
      </c>
      <c r="D594" s="12" t="n"/>
      <c r="E594" s="12" t="n"/>
      <c r="F594" s="12" t="n"/>
      <c r="G594" s="12" t="n"/>
      <c r="H594" s="12" t="n"/>
      <c r="I594" s="13" t="n"/>
      <c r="J594" s="14">
        <f>SUM(D594:I594)</f>
        <v/>
      </c>
      <c r="K594" s="15" t="n"/>
      <c r="L594" s="12" t="n"/>
      <c r="M594" s="12" t="n"/>
      <c r="N594" s="12" t="n"/>
      <c r="O594" s="12" t="n"/>
      <c r="P594" s="13" t="n"/>
      <c r="Q594" s="14">
        <f>SUM(K594:P594)</f>
        <v/>
      </c>
      <c r="R594" s="14">
        <f>J594+Q594</f>
        <v/>
      </c>
      <c r="S594" s="17" t="n"/>
    </row>
    <row r="595" ht="18" customHeight="1" s="43">
      <c r="B595" s="48" t="n"/>
      <c r="C595" s="23" t="inlineStr">
        <is>
          <t>増　減</t>
        </is>
      </c>
      <c r="D595" s="24">
        <f>D594-D593</f>
        <v/>
      </c>
      <c r="E595" s="24">
        <f>E594-E593</f>
        <v/>
      </c>
      <c r="F595" s="24">
        <f>F594-F593</f>
        <v/>
      </c>
      <c r="G595" s="24">
        <f>G594-G593</f>
        <v/>
      </c>
      <c r="H595" s="24">
        <f>H594-H593</f>
        <v/>
      </c>
      <c r="I595" s="27">
        <f>I594-I593</f>
        <v/>
      </c>
      <c r="J595" s="30">
        <f>SUM(D595:I595)</f>
        <v/>
      </c>
      <c r="K595" s="29">
        <f>K594-K593</f>
        <v/>
      </c>
      <c r="L595" s="24">
        <f>L594-L593</f>
        <v/>
      </c>
      <c r="M595" s="24">
        <f>M594-M593</f>
        <v/>
      </c>
      <c r="N595" s="24">
        <f>N594-N593</f>
        <v/>
      </c>
      <c r="O595" s="24">
        <f>O594-O593</f>
        <v/>
      </c>
      <c r="P595" s="27">
        <f>P594-P593</f>
        <v/>
      </c>
      <c r="Q595" s="30">
        <f>SUM(K595:P595)</f>
        <v/>
      </c>
      <c r="R595" s="30">
        <f>J595+Q595</f>
        <v/>
      </c>
      <c r="S595" s="17" t="n"/>
    </row>
    <row r="596" ht="18" customHeight="1" s="43" thickBot="1">
      <c r="B596" s="60" t="n"/>
      <c r="C596" s="25" t="inlineStr">
        <is>
          <t>稼働棟数</t>
        </is>
      </c>
      <c r="D596" s="20" t="n"/>
      <c r="E596" s="20" t="n"/>
      <c r="F596" s="20" t="n"/>
      <c r="G596" s="20" t="n"/>
      <c r="H596" s="20" t="n"/>
      <c r="I596" s="28" t="n"/>
      <c r="J596" s="21">
        <f>I596</f>
        <v/>
      </c>
      <c r="K596" s="22" t="n"/>
      <c r="L596" s="20" t="n"/>
      <c r="M596" s="20" t="n"/>
      <c r="N596" s="20" t="n"/>
      <c r="O596" s="20" t="n"/>
      <c r="P596" s="28" t="n"/>
      <c r="Q596" s="21">
        <f>P596</f>
        <v/>
      </c>
      <c r="R596" s="21">
        <f>Q596</f>
        <v/>
      </c>
      <c r="S596" s="18" t="n"/>
    </row>
    <row r="597" ht="18" customHeight="1" s="43">
      <c r="B597" s="59" t="inlineStr">
        <is>
          <t>ソリトン/パプリカ</t>
        </is>
      </c>
      <c r="C597" s="31" t="inlineStr">
        <is>
          <t>58期</t>
        </is>
      </c>
      <c r="D597" s="8" t="n"/>
      <c r="E597" s="8" t="n"/>
      <c r="F597" s="8" t="n"/>
      <c r="G597" s="8" t="n"/>
      <c r="H597" s="8" t="n"/>
      <c r="I597" s="9" t="n"/>
      <c r="J597" s="10">
        <f>SUM(D597:I597)</f>
        <v/>
      </c>
      <c r="K597" s="11" t="n"/>
      <c r="L597" s="8" t="n"/>
      <c r="M597" s="8" t="n"/>
      <c r="N597" s="8" t="n"/>
      <c r="O597" s="8" t="n"/>
      <c r="P597" s="9" t="n"/>
      <c r="Q597" s="10">
        <f>SUM(K597:P597)</f>
        <v/>
      </c>
      <c r="R597" s="10">
        <f>J597+Q597</f>
        <v/>
      </c>
      <c r="S597" s="16" t="n"/>
    </row>
    <row r="598" ht="18" customHeight="1" s="43">
      <c r="B598" s="48" t="n"/>
      <c r="C598" s="7" t="inlineStr">
        <is>
          <t>59期</t>
        </is>
      </c>
      <c r="D598" s="12" t="n"/>
      <c r="E598" s="12" t="n"/>
      <c r="F598" s="12" t="n"/>
      <c r="G598" s="12" t="n"/>
      <c r="H598" s="12" t="n"/>
      <c r="I598" s="13" t="n"/>
      <c r="J598" s="14">
        <f>SUM(D598:I598)</f>
        <v/>
      </c>
      <c r="K598" s="15" t="n"/>
      <c r="L598" s="12" t="n"/>
      <c r="M598" s="12" t="n"/>
      <c r="N598" s="12" t="n"/>
      <c r="O598" s="12" t="n"/>
      <c r="P598" s="13" t="n"/>
      <c r="Q598" s="14">
        <f>SUM(K598:P598)</f>
        <v/>
      </c>
      <c r="R598" s="14">
        <f>J598+Q598</f>
        <v/>
      </c>
      <c r="S598" s="17" t="n"/>
    </row>
    <row r="599" ht="18" customHeight="1" s="43">
      <c r="B599" s="48" t="n"/>
      <c r="C599" s="23" t="inlineStr">
        <is>
          <t>増　減</t>
        </is>
      </c>
      <c r="D599" s="24">
        <f>D598-D597</f>
        <v/>
      </c>
      <c r="E599" s="24">
        <f>E598-E597</f>
        <v/>
      </c>
      <c r="F599" s="24">
        <f>F598-F597</f>
        <v/>
      </c>
      <c r="G599" s="24">
        <f>G598-G597</f>
        <v/>
      </c>
      <c r="H599" s="24">
        <f>H598-H597</f>
        <v/>
      </c>
      <c r="I599" s="27">
        <f>I598-I597</f>
        <v/>
      </c>
      <c r="J599" s="30">
        <f>SUM(D599:I599)</f>
        <v/>
      </c>
      <c r="K599" s="29">
        <f>K598-K597</f>
        <v/>
      </c>
      <c r="L599" s="24">
        <f>L598-L597</f>
        <v/>
      </c>
      <c r="M599" s="24">
        <f>M598-M597</f>
        <v/>
      </c>
      <c r="N599" s="24">
        <f>N598-N597</f>
        <v/>
      </c>
      <c r="O599" s="24">
        <f>O598-O597</f>
        <v/>
      </c>
      <c r="P599" s="27">
        <f>P598-P597</f>
        <v/>
      </c>
      <c r="Q599" s="30">
        <f>SUM(K599:P599)</f>
        <v/>
      </c>
      <c r="R599" s="30">
        <f>J599+Q599</f>
        <v/>
      </c>
      <c r="S599" s="17" t="n"/>
    </row>
    <row r="600" ht="18" customHeight="1" s="43" thickBot="1">
      <c r="B600" s="60" t="n"/>
      <c r="C600" s="25" t="inlineStr">
        <is>
          <t>稼働棟数</t>
        </is>
      </c>
      <c r="D600" s="20" t="n"/>
      <c r="E600" s="20" t="n"/>
      <c r="F600" s="20" t="n"/>
      <c r="G600" s="20" t="n"/>
      <c r="H600" s="20" t="n"/>
      <c r="I600" s="28" t="n"/>
      <c r="J600" s="21">
        <f>I600</f>
        <v/>
      </c>
      <c r="K600" s="22" t="n"/>
      <c r="L600" s="20" t="n"/>
      <c r="M600" s="20" t="n"/>
      <c r="N600" s="20" t="n"/>
      <c r="O600" s="20" t="n"/>
      <c r="P600" s="28" t="n"/>
      <c r="Q600" s="21">
        <f>P600</f>
        <v/>
      </c>
      <c r="R600" s="21">
        <f>Q600</f>
        <v/>
      </c>
      <c r="S600" s="18" t="n"/>
    </row>
    <row r="601" ht="18" customHeight="1" s="43">
      <c r="B601" s="59" t="inlineStr">
        <is>
          <t>ソリトン/ピーマン</t>
        </is>
      </c>
      <c r="C601" s="31" t="inlineStr">
        <is>
          <t>58期</t>
        </is>
      </c>
      <c r="D601" s="8" t="n"/>
      <c r="E601" s="8" t="n"/>
      <c r="F601" s="8" t="n"/>
      <c r="G601" s="8" t="n"/>
      <c r="H601" s="8" t="n"/>
      <c r="I601" s="9" t="n"/>
      <c r="J601" s="10">
        <f>SUM(D601:I601)</f>
        <v/>
      </c>
      <c r="K601" s="11" t="n"/>
      <c r="L601" s="8" t="n"/>
      <c r="M601" s="8" t="n"/>
      <c r="N601" s="8" t="n"/>
      <c r="O601" s="8" t="n"/>
      <c r="P601" s="9" t="n"/>
      <c r="Q601" s="10">
        <f>SUM(K601:P601)</f>
        <v/>
      </c>
      <c r="R601" s="10">
        <f>J601+Q601</f>
        <v/>
      </c>
      <c r="S601" s="16" t="n"/>
    </row>
    <row r="602" ht="18" customHeight="1" s="43">
      <c r="B602" s="48" t="n"/>
      <c r="C602" s="7" t="inlineStr">
        <is>
          <t>59期</t>
        </is>
      </c>
      <c r="D602" s="12" t="n"/>
      <c r="E602" s="12" t="n"/>
      <c r="F602" s="12" t="n"/>
      <c r="G602" s="12" t="n"/>
      <c r="H602" s="12" t="n"/>
      <c r="I602" s="13" t="n"/>
      <c r="J602" s="14">
        <f>SUM(D602:I602)</f>
        <v/>
      </c>
      <c r="K602" s="15" t="n"/>
      <c r="L602" s="12" t="n"/>
      <c r="M602" s="12" t="n"/>
      <c r="N602" s="12" t="n"/>
      <c r="O602" s="12" t="n"/>
      <c r="P602" s="13" t="n"/>
      <c r="Q602" s="14">
        <f>SUM(K602:P602)</f>
        <v/>
      </c>
      <c r="R602" s="14">
        <f>J602+Q602</f>
        <v/>
      </c>
      <c r="S602" s="17" t="n"/>
    </row>
    <row r="603" ht="18" customHeight="1" s="43">
      <c r="B603" s="48" t="n"/>
      <c r="C603" s="23" t="inlineStr">
        <is>
          <t>増　減</t>
        </is>
      </c>
      <c r="D603" s="24">
        <f>D602-D601</f>
        <v/>
      </c>
      <c r="E603" s="24">
        <f>E602-E601</f>
        <v/>
      </c>
      <c r="F603" s="24">
        <f>F602-F601</f>
        <v/>
      </c>
      <c r="G603" s="24">
        <f>G602-G601</f>
        <v/>
      </c>
      <c r="H603" s="24">
        <f>H602-H601</f>
        <v/>
      </c>
      <c r="I603" s="27">
        <f>I602-I601</f>
        <v/>
      </c>
      <c r="J603" s="30">
        <f>SUM(D603:I603)</f>
        <v/>
      </c>
      <c r="K603" s="29">
        <f>K602-K601</f>
        <v/>
      </c>
      <c r="L603" s="24">
        <f>L602-L601</f>
        <v/>
      </c>
      <c r="M603" s="24">
        <f>M602-M601</f>
        <v/>
      </c>
      <c r="N603" s="24">
        <f>N602-N601</f>
        <v/>
      </c>
      <c r="O603" s="24">
        <f>O602-O601</f>
        <v/>
      </c>
      <c r="P603" s="27">
        <f>P602-P601</f>
        <v/>
      </c>
      <c r="Q603" s="30">
        <f>SUM(K603:P603)</f>
        <v/>
      </c>
      <c r="R603" s="30">
        <f>J603+Q603</f>
        <v/>
      </c>
      <c r="S603" s="17" t="n"/>
    </row>
    <row r="604" ht="18" customHeight="1" s="43" thickBot="1">
      <c r="B604" s="60" t="n"/>
      <c r="C604" s="25" t="inlineStr">
        <is>
          <t>稼働棟数</t>
        </is>
      </c>
      <c r="D604" s="20" t="n"/>
      <c r="E604" s="20" t="n"/>
      <c r="F604" s="20" t="n"/>
      <c r="G604" s="20" t="n"/>
      <c r="H604" s="20" t="n"/>
      <c r="I604" s="28" t="n"/>
      <c r="J604" s="21">
        <f>I604</f>
        <v/>
      </c>
      <c r="K604" s="22" t="n"/>
      <c r="L604" s="20" t="n"/>
      <c r="M604" s="20" t="n"/>
      <c r="N604" s="20" t="n"/>
      <c r="O604" s="20" t="n"/>
      <c r="P604" s="28" t="n"/>
      <c r="Q604" s="21">
        <f>P604</f>
        <v/>
      </c>
      <c r="R604" s="21">
        <f>Q604</f>
        <v/>
      </c>
      <c r="S604" s="18" t="n"/>
    </row>
    <row r="605" ht="18" customHeight="1" s="43">
      <c r="B605" s="59" t="inlineStr">
        <is>
          <t>ソリトン/マイクロ</t>
        </is>
      </c>
      <c r="C605" s="31" t="inlineStr">
        <is>
          <t>58期</t>
        </is>
      </c>
      <c r="D605" s="8" t="n"/>
      <c r="E605" s="8" t="n"/>
      <c r="F605" s="8" t="n"/>
      <c r="G605" s="8" t="n"/>
      <c r="H605" s="8" t="n"/>
      <c r="I605" s="9" t="n"/>
      <c r="J605" s="10">
        <f>SUM(D605:I605)</f>
        <v/>
      </c>
      <c r="K605" s="11" t="n"/>
      <c r="L605" s="8" t="n"/>
      <c r="M605" s="8" t="n"/>
      <c r="N605" s="8" t="n"/>
      <c r="O605" s="8" t="n"/>
      <c r="P605" s="9" t="n"/>
      <c r="Q605" s="10">
        <f>SUM(K605:P605)</f>
        <v/>
      </c>
      <c r="R605" s="10">
        <f>J605+Q605</f>
        <v/>
      </c>
      <c r="S605" s="16" t="n"/>
    </row>
    <row r="606" ht="18" customHeight="1" s="43">
      <c r="B606" s="48" t="n"/>
      <c r="C606" s="7" t="inlineStr">
        <is>
          <t>59期</t>
        </is>
      </c>
      <c r="D606" s="12" t="n"/>
      <c r="E606" s="12" t="n"/>
      <c r="F606" s="12" t="n"/>
      <c r="G606" s="12" t="n"/>
      <c r="H606" s="12" t="n"/>
      <c r="I606" s="13" t="n"/>
      <c r="J606" s="14">
        <f>SUM(D606:I606)</f>
        <v/>
      </c>
      <c r="K606" s="15" t="n"/>
      <c r="L606" s="12" t="n"/>
      <c r="M606" s="12" t="n"/>
      <c r="N606" s="12" t="n"/>
      <c r="O606" s="12" t="n"/>
      <c r="P606" s="13" t="n"/>
      <c r="Q606" s="14">
        <f>SUM(K606:P606)</f>
        <v/>
      </c>
      <c r="R606" s="14">
        <f>J606+Q606</f>
        <v/>
      </c>
      <c r="S606" s="17" t="n"/>
    </row>
    <row r="607" ht="18" customHeight="1" s="43">
      <c r="B607" s="48" t="n"/>
      <c r="C607" s="23" t="inlineStr">
        <is>
          <t>増　減</t>
        </is>
      </c>
      <c r="D607" s="24">
        <f>D606-D605</f>
        <v/>
      </c>
      <c r="E607" s="24">
        <f>E606-E605</f>
        <v/>
      </c>
      <c r="F607" s="24">
        <f>F606-F605</f>
        <v/>
      </c>
      <c r="G607" s="24">
        <f>G606-G605</f>
        <v/>
      </c>
      <c r="H607" s="24">
        <f>H606-H605</f>
        <v/>
      </c>
      <c r="I607" s="27">
        <f>I606-I605</f>
        <v/>
      </c>
      <c r="J607" s="30">
        <f>SUM(D607:I607)</f>
        <v/>
      </c>
      <c r="K607" s="29">
        <f>K606-K605</f>
        <v/>
      </c>
      <c r="L607" s="24">
        <f>L606-L605</f>
        <v/>
      </c>
      <c r="M607" s="24">
        <f>M606-M605</f>
        <v/>
      </c>
      <c r="N607" s="24">
        <f>N606-N605</f>
        <v/>
      </c>
      <c r="O607" s="24">
        <f>O606-O605</f>
        <v/>
      </c>
      <c r="P607" s="27">
        <f>P606-P605</f>
        <v/>
      </c>
      <c r="Q607" s="30">
        <f>SUM(K607:P607)</f>
        <v/>
      </c>
      <c r="R607" s="30">
        <f>J607+Q607</f>
        <v/>
      </c>
      <c r="S607" s="17" t="n"/>
    </row>
    <row r="608" ht="18" customHeight="1" s="43" thickBot="1">
      <c r="B608" s="60" t="n"/>
      <c r="C608" s="25" t="inlineStr">
        <is>
          <t>稼働棟数</t>
        </is>
      </c>
      <c r="D608" s="20" t="n"/>
      <c r="E608" s="20" t="n"/>
      <c r="F608" s="20" t="n"/>
      <c r="G608" s="20" t="n"/>
      <c r="H608" s="20" t="n"/>
      <c r="I608" s="28" t="n"/>
      <c r="J608" s="21">
        <f>I608</f>
        <v/>
      </c>
      <c r="K608" s="22" t="n"/>
      <c r="L608" s="20" t="n"/>
      <c r="M608" s="20" t="n"/>
      <c r="N608" s="20" t="n"/>
      <c r="O608" s="20" t="n"/>
      <c r="P608" s="28" t="n"/>
      <c r="Q608" s="21">
        <f>P608</f>
        <v/>
      </c>
      <c r="R608" s="21">
        <f>Q608</f>
        <v/>
      </c>
      <c r="S608" s="18" t="n"/>
    </row>
    <row r="609" ht="18" customHeight="1" s="43">
      <c r="B609" s="59" t="inlineStr">
        <is>
          <t>ソリトン/ミニトマト</t>
        </is>
      </c>
      <c r="C609" s="31" t="inlineStr">
        <is>
          <t>58期</t>
        </is>
      </c>
      <c r="D609" s="8" t="n"/>
      <c r="E609" s="8" t="n"/>
      <c r="F609" s="8" t="n"/>
      <c r="G609" s="8" t="n"/>
      <c r="H609" s="8" t="n"/>
      <c r="I609" s="9" t="n"/>
      <c r="J609" s="10">
        <f>SUM(D609:I609)</f>
        <v/>
      </c>
      <c r="K609" s="11" t="n"/>
      <c r="L609" s="8" t="n"/>
      <c r="M609" s="8" t="n"/>
      <c r="N609" s="8" t="n"/>
      <c r="O609" s="8" t="n"/>
      <c r="P609" s="9" t="n"/>
      <c r="Q609" s="10">
        <f>SUM(K609:P609)</f>
        <v/>
      </c>
      <c r="R609" s="10">
        <f>J609+Q609</f>
        <v/>
      </c>
      <c r="S609" s="16" t="n"/>
    </row>
    <row r="610" ht="18" customHeight="1" s="43">
      <c r="B610" s="48" t="n"/>
      <c r="C610" s="7" t="inlineStr">
        <is>
          <t>59期</t>
        </is>
      </c>
      <c r="D610" s="12" t="n"/>
      <c r="E610" s="12" t="n"/>
      <c r="F610" s="12" t="n"/>
      <c r="G610" s="12" t="n"/>
      <c r="H610" s="12" t="n"/>
      <c r="I610" s="13" t="n"/>
      <c r="J610" s="14">
        <f>SUM(D610:I610)</f>
        <v/>
      </c>
      <c r="K610" s="15" t="n"/>
      <c r="L610" s="12" t="n"/>
      <c r="M610" s="12" t="n"/>
      <c r="N610" s="12" t="n"/>
      <c r="O610" s="12" t="n"/>
      <c r="P610" s="13" t="n"/>
      <c r="Q610" s="14">
        <f>SUM(K610:P610)</f>
        <v/>
      </c>
      <c r="R610" s="14">
        <f>J610+Q610</f>
        <v/>
      </c>
      <c r="S610" s="17" t="n"/>
    </row>
    <row r="611" ht="18" customHeight="1" s="43">
      <c r="B611" s="48" t="n"/>
      <c r="C611" s="23" t="inlineStr">
        <is>
          <t>増　減</t>
        </is>
      </c>
      <c r="D611" s="24">
        <f>D610-D609</f>
        <v/>
      </c>
      <c r="E611" s="24">
        <f>E610-E609</f>
        <v/>
      </c>
      <c r="F611" s="24">
        <f>F610-F609</f>
        <v/>
      </c>
      <c r="G611" s="24">
        <f>G610-G609</f>
        <v/>
      </c>
      <c r="H611" s="24">
        <f>H610-H609</f>
        <v/>
      </c>
      <c r="I611" s="27">
        <f>I610-I609</f>
        <v/>
      </c>
      <c r="J611" s="30">
        <f>SUM(D611:I611)</f>
        <v/>
      </c>
      <c r="K611" s="29">
        <f>K610-K609</f>
        <v/>
      </c>
      <c r="L611" s="24">
        <f>L610-L609</f>
        <v/>
      </c>
      <c r="M611" s="24">
        <f>M610-M609</f>
        <v/>
      </c>
      <c r="N611" s="24">
        <f>N610-N609</f>
        <v/>
      </c>
      <c r="O611" s="24">
        <f>O610-O609</f>
        <v/>
      </c>
      <c r="P611" s="27">
        <f>P610-P609</f>
        <v/>
      </c>
      <c r="Q611" s="30">
        <f>SUM(K611:P611)</f>
        <v/>
      </c>
      <c r="R611" s="30">
        <f>J611+Q611</f>
        <v/>
      </c>
      <c r="S611" s="17" t="n"/>
    </row>
    <row r="612" ht="18" customHeight="1" s="43" thickBot="1">
      <c r="B612" s="60" t="n"/>
      <c r="C612" s="25" t="inlineStr">
        <is>
          <t>稼働棟数</t>
        </is>
      </c>
      <c r="D612" s="20" t="n"/>
      <c r="E612" s="20" t="n"/>
      <c r="F612" s="20" t="n"/>
      <c r="G612" s="20" t="n"/>
      <c r="H612" s="20" t="n"/>
      <c r="I612" s="28" t="n"/>
      <c r="J612" s="21">
        <f>I612</f>
        <v/>
      </c>
      <c r="K612" s="22" t="n"/>
      <c r="L612" s="20" t="n"/>
      <c r="M612" s="20" t="n"/>
      <c r="N612" s="20" t="n"/>
      <c r="O612" s="20" t="n"/>
      <c r="P612" s="28" t="n"/>
      <c r="Q612" s="21">
        <f>P612</f>
        <v/>
      </c>
      <c r="R612" s="21">
        <f>Q612</f>
        <v/>
      </c>
      <c r="S612" s="18" t="n"/>
    </row>
    <row r="613" ht="18" customHeight="1" s="43">
      <c r="B613" s="59" t="inlineStr">
        <is>
          <t>ソリトン/根物野菜</t>
        </is>
      </c>
      <c r="C613" s="31" t="inlineStr">
        <is>
          <t>58期</t>
        </is>
      </c>
      <c r="D613" s="8" t="n"/>
      <c r="E613" s="8" t="n"/>
      <c r="F613" s="8" t="n"/>
      <c r="G613" s="8" t="n">
        <v>0.4</v>
      </c>
      <c r="H613" s="8" t="n"/>
      <c r="I613" s="9" t="n"/>
      <c r="J613" s="10" t="n">
        <v>0.4</v>
      </c>
      <c r="K613" s="11" t="n"/>
      <c r="L613" s="8" t="n"/>
      <c r="M613" s="8" t="n"/>
      <c r="N613" s="8" t="n"/>
      <c r="O613" s="8" t="n"/>
      <c r="P613" s="9" t="n"/>
      <c r="Q613" s="10" t="n">
        <v>0</v>
      </c>
      <c r="R613" s="10" t="n">
        <v>0.4</v>
      </c>
      <c r="S613" s="16" t="n"/>
    </row>
    <row r="614" ht="18" customHeight="1" s="43">
      <c r="B614" s="48" t="n"/>
      <c r="C614" s="7" t="inlineStr">
        <is>
          <t>59期</t>
        </is>
      </c>
      <c r="D614" s="12" t="n"/>
      <c r="E614" s="12" t="n"/>
      <c r="F614" s="12" t="n"/>
      <c r="G614" s="12" t="n"/>
      <c r="H614" s="12" t="n"/>
      <c r="I614" s="13" t="n"/>
      <c r="J614" s="14">
        <f>SUM(D614:I614)</f>
        <v/>
      </c>
      <c r="K614" s="15" t="n"/>
      <c r="L614" s="12" t="n"/>
      <c r="M614" s="12" t="n"/>
      <c r="N614" s="12" t="n"/>
      <c r="O614" s="12" t="n"/>
      <c r="P614" s="13" t="n"/>
      <c r="Q614" s="14">
        <f>SUM(K614:P614)</f>
        <v/>
      </c>
      <c r="R614" s="14">
        <f>J614+Q614</f>
        <v/>
      </c>
      <c r="S614" s="17" t="n"/>
    </row>
    <row r="615" ht="18" customHeight="1" s="43">
      <c r="B615" s="48" t="n"/>
      <c r="C615" s="23" t="inlineStr">
        <is>
          <t>増　減</t>
        </is>
      </c>
      <c r="D615" s="24">
        <f>D614-D613</f>
        <v/>
      </c>
      <c r="E615" s="24">
        <f>E614-E613</f>
        <v/>
      </c>
      <c r="F615" s="24">
        <f>F614-F613</f>
        <v/>
      </c>
      <c r="G615" s="24">
        <f>G614-G613</f>
        <v/>
      </c>
      <c r="H615" s="24">
        <f>H614-H613</f>
        <v/>
      </c>
      <c r="I615" s="27">
        <f>I614-I613</f>
        <v/>
      </c>
      <c r="J615" s="30">
        <f>SUM(D615:I615)</f>
        <v/>
      </c>
      <c r="K615" s="29">
        <f>K614-K613</f>
        <v/>
      </c>
      <c r="L615" s="24">
        <f>L614-L613</f>
        <v/>
      </c>
      <c r="M615" s="24">
        <f>M614-M613</f>
        <v/>
      </c>
      <c r="N615" s="24">
        <f>N614-N613</f>
        <v/>
      </c>
      <c r="O615" s="24">
        <f>O614-O613</f>
        <v/>
      </c>
      <c r="P615" s="27">
        <f>P614-P613</f>
        <v/>
      </c>
      <c r="Q615" s="30">
        <f>SUM(K615:P615)</f>
        <v/>
      </c>
      <c r="R615" s="30">
        <f>J615+Q615</f>
        <v/>
      </c>
      <c r="S615" s="17" t="n"/>
    </row>
    <row r="616" ht="18" customHeight="1" s="43" thickBot="1">
      <c r="B616" s="60" t="n"/>
      <c r="C616" s="25" t="inlineStr">
        <is>
          <t>稼働棟数</t>
        </is>
      </c>
      <c r="D616" s="20" t="n"/>
      <c r="E616" s="20" t="n"/>
      <c r="F616" s="20" t="n"/>
      <c r="G616" s="20" t="n"/>
      <c r="H616" s="20" t="n"/>
      <c r="I616" s="28" t="n"/>
      <c r="J616" s="21">
        <f>I616</f>
        <v/>
      </c>
      <c r="K616" s="22" t="n"/>
      <c r="L616" s="20" t="n"/>
      <c r="M616" s="20" t="n"/>
      <c r="N616" s="20" t="n"/>
      <c r="O616" s="20" t="n"/>
      <c r="P616" s="28" t="n"/>
      <c r="Q616" s="21">
        <f>P616</f>
        <v/>
      </c>
      <c r="R616" s="21">
        <f>Q616</f>
        <v/>
      </c>
      <c r="S616" s="18" t="n"/>
    </row>
    <row r="617" ht="18" customHeight="1" s="43">
      <c r="B617" s="59" t="inlineStr">
        <is>
          <t>ソリトン/実物野菜</t>
        </is>
      </c>
      <c r="C617" s="31" t="inlineStr">
        <is>
          <t>58期</t>
        </is>
      </c>
      <c r="D617" s="8" t="n"/>
      <c r="E617" s="8" t="n"/>
      <c r="F617" s="8" t="n"/>
      <c r="G617" s="8" t="n"/>
      <c r="H617" s="8" t="n"/>
      <c r="I617" s="9" t="n"/>
      <c r="J617" s="10">
        <f>SUM(D617:I617)</f>
        <v/>
      </c>
      <c r="K617" s="11" t="n"/>
      <c r="L617" s="8" t="n"/>
      <c r="M617" s="8" t="n"/>
      <c r="N617" s="8" t="n"/>
      <c r="O617" s="8" t="n"/>
      <c r="P617" s="9" t="n"/>
      <c r="Q617" s="10">
        <f>SUM(K617:P617)</f>
        <v/>
      </c>
      <c r="R617" s="10">
        <f>J617+Q617</f>
        <v/>
      </c>
      <c r="S617" s="16" t="n"/>
    </row>
    <row r="618" ht="18" customHeight="1" s="43">
      <c r="B618" s="48" t="n"/>
      <c r="C618" s="7" t="inlineStr">
        <is>
          <t>59期</t>
        </is>
      </c>
      <c r="D618" s="12" t="n"/>
      <c r="E618" s="12" t="n"/>
      <c r="F618" s="12" t="n"/>
      <c r="G618" s="12" t="n"/>
      <c r="H618" s="12" t="n"/>
      <c r="I618" s="13" t="n"/>
      <c r="J618" s="14">
        <f>SUM(D618:I618)</f>
        <v/>
      </c>
      <c r="K618" s="15" t="n"/>
      <c r="L618" s="12" t="n"/>
      <c r="M618" s="12" t="n"/>
      <c r="N618" s="12" t="n"/>
      <c r="O618" s="12" t="n"/>
      <c r="P618" s="13" t="n"/>
      <c r="Q618" s="14">
        <f>SUM(K618:P618)</f>
        <v/>
      </c>
      <c r="R618" s="14">
        <f>J618+Q618</f>
        <v/>
      </c>
      <c r="S618" s="17" t="n"/>
    </row>
    <row r="619" ht="18" customHeight="1" s="43">
      <c r="B619" s="48" t="n"/>
      <c r="C619" s="23" t="inlineStr">
        <is>
          <t>増　減</t>
        </is>
      </c>
      <c r="D619" s="24">
        <f>D618-D617</f>
        <v/>
      </c>
      <c r="E619" s="24">
        <f>E618-E617</f>
        <v/>
      </c>
      <c r="F619" s="24">
        <f>F618-F617</f>
        <v/>
      </c>
      <c r="G619" s="24">
        <f>G618-G617</f>
        <v/>
      </c>
      <c r="H619" s="24">
        <f>H618-H617</f>
        <v/>
      </c>
      <c r="I619" s="27">
        <f>I618-I617</f>
        <v/>
      </c>
      <c r="J619" s="30">
        <f>SUM(D619:I619)</f>
        <v/>
      </c>
      <c r="K619" s="29">
        <f>K618-K617</f>
        <v/>
      </c>
      <c r="L619" s="24">
        <f>L618-L617</f>
        <v/>
      </c>
      <c r="M619" s="24">
        <f>M618-M617</f>
        <v/>
      </c>
      <c r="N619" s="24">
        <f>N618-N617</f>
        <v/>
      </c>
      <c r="O619" s="24">
        <f>O618-O617</f>
        <v/>
      </c>
      <c r="P619" s="27">
        <f>P618-P617</f>
        <v/>
      </c>
      <c r="Q619" s="30">
        <f>SUM(K619:P619)</f>
        <v/>
      </c>
      <c r="R619" s="30">
        <f>J619+Q619</f>
        <v/>
      </c>
      <c r="S619" s="17" t="n"/>
    </row>
    <row r="620" ht="18" customHeight="1" s="43" thickBot="1">
      <c r="B620" s="60" t="n"/>
      <c r="C620" s="25" t="inlineStr">
        <is>
          <t>稼働棟数</t>
        </is>
      </c>
      <c r="D620" s="20" t="n"/>
      <c r="E620" s="20" t="n"/>
      <c r="F620" s="20" t="n"/>
      <c r="G620" s="20" t="n"/>
      <c r="H620" s="20" t="n"/>
      <c r="I620" s="28" t="n"/>
      <c r="J620" s="21">
        <f>I620</f>
        <v/>
      </c>
      <c r="K620" s="22" t="n"/>
      <c r="L620" s="20" t="n"/>
      <c r="M620" s="20" t="n"/>
      <c r="N620" s="20" t="n"/>
      <c r="O620" s="20" t="n"/>
      <c r="P620" s="28" t="n"/>
      <c r="Q620" s="21">
        <f>P620</f>
        <v/>
      </c>
      <c r="R620" s="21">
        <f>Q620</f>
        <v/>
      </c>
      <c r="S620" s="18" t="n"/>
    </row>
    <row r="621" ht="18" customHeight="1" s="43">
      <c r="B621" s="59" t="inlineStr">
        <is>
          <t>ソリトン/食用花</t>
        </is>
      </c>
      <c r="C621" s="31" t="inlineStr">
        <is>
          <t>58期</t>
        </is>
      </c>
      <c r="D621" s="8" t="n"/>
      <c r="E621" s="8" t="n"/>
      <c r="F621" s="8" t="n"/>
      <c r="G621" s="8" t="n"/>
      <c r="H621" s="8" t="n"/>
      <c r="I621" s="9" t="n"/>
      <c r="J621" s="10">
        <f>SUM(D621:I621)</f>
        <v/>
      </c>
      <c r="K621" s="11" t="n"/>
      <c r="L621" s="8" t="n"/>
      <c r="M621" s="8" t="n"/>
      <c r="N621" s="8" t="n"/>
      <c r="O621" s="8" t="n"/>
      <c r="P621" s="9" t="n"/>
      <c r="Q621" s="10">
        <f>SUM(K621:P621)</f>
        <v/>
      </c>
      <c r="R621" s="10">
        <f>J621+Q621</f>
        <v/>
      </c>
      <c r="S621" s="16" t="n"/>
    </row>
    <row r="622" ht="18" customHeight="1" s="43">
      <c r="B622" s="48" t="n"/>
      <c r="C622" s="7" t="inlineStr">
        <is>
          <t>59期</t>
        </is>
      </c>
      <c r="D622" s="12" t="n"/>
      <c r="E622" s="12" t="n"/>
      <c r="F622" s="12" t="n"/>
      <c r="G622" s="12" t="n"/>
      <c r="H622" s="12" t="n"/>
      <c r="I622" s="13" t="n"/>
      <c r="J622" s="14">
        <f>SUM(D622:I622)</f>
        <v/>
      </c>
      <c r="K622" s="15" t="n"/>
      <c r="L622" s="12" t="n"/>
      <c r="M622" s="12" t="n"/>
      <c r="N622" s="12" t="n"/>
      <c r="O622" s="12" t="n"/>
      <c r="P622" s="13" t="n"/>
      <c r="Q622" s="14">
        <f>SUM(K622:P622)</f>
        <v/>
      </c>
      <c r="R622" s="14">
        <f>J622+Q622</f>
        <v/>
      </c>
      <c r="S622" s="17" t="n"/>
    </row>
    <row r="623" ht="18" customHeight="1" s="43">
      <c r="B623" s="48" t="n"/>
      <c r="C623" s="23" t="inlineStr">
        <is>
          <t>増　減</t>
        </is>
      </c>
      <c r="D623" s="24">
        <f>D622-D621</f>
        <v/>
      </c>
      <c r="E623" s="24">
        <f>E622-E621</f>
        <v/>
      </c>
      <c r="F623" s="24">
        <f>F622-F621</f>
        <v/>
      </c>
      <c r="G623" s="24">
        <f>G622-G621</f>
        <v/>
      </c>
      <c r="H623" s="24">
        <f>H622-H621</f>
        <v/>
      </c>
      <c r="I623" s="27">
        <f>I622-I621</f>
        <v/>
      </c>
      <c r="J623" s="30">
        <f>SUM(D623:I623)</f>
        <v/>
      </c>
      <c r="K623" s="29">
        <f>K622-K621</f>
        <v/>
      </c>
      <c r="L623" s="24">
        <f>L622-L621</f>
        <v/>
      </c>
      <c r="M623" s="24">
        <f>M622-M621</f>
        <v/>
      </c>
      <c r="N623" s="24">
        <f>N622-N621</f>
        <v/>
      </c>
      <c r="O623" s="24">
        <f>O622-O621</f>
        <v/>
      </c>
      <c r="P623" s="27">
        <f>P622-P621</f>
        <v/>
      </c>
      <c r="Q623" s="30">
        <f>SUM(K623:P623)</f>
        <v/>
      </c>
      <c r="R623" s="30">
        <f>J623+Q623</f>
        <v/>
      </c>
      <c r="S623" s="17" t="n"/>
    </row>
    <row r="624" ht="18" customHeight="1" s="43" thickBot="1">
      <c r="B624" s="60" t="n"/>
      <c r="C624" s="25" t="inlineStr">
        <is>
          <t>稼働棟数</t>
        </is>
      </c>
      <c r="D624" s="20" t="n"/>
      <c r="E624" s="20" t="n"/>
      <c r="F624" s="20" t="n"/>
      <c r="G624" s="20" t="n"/>
      <c r="H624" s="20" t="n"/>
      <c r="I624" s="28" t="n"/>
      <c r="J624" s="21">
        <f>I624</f>
        <v/>
      </c>
      <c r="K624" s="22" t="n"/>
      <c r="L624" s="20" t="n"/>
      <c r="M624" s="20" t="n"/>
      <c r="N624" s="20" t="n"/>
      <c r="O624" s="20" t="n"/>
      <c r="P624" s="28" t="n"/>
      <c r="Q624" s="21">
        <f>P624</f>
        <v/>
      </c>
      <c r="R624" s="21">
        <f>Q624</f>
        <v/>
      </c>
      <c r="S624" s="18" t="n"/>
    </row>
    <row r="625" ht="18" customHeight="1" s="43">
      <c r="B625" s="59" t="inlineStr">
        <is>
          <t>ソリトン/葉物野菜</t>
        </is>
      </c>
      <c r="C625" s="31" t="inlineStr">
        <is>
          <t>58期</t>
        </is>
      </c>
      <c r="D625" s="8" t="n"/>
      <c r="E625" s="8" t="n"/>
      <c r="F625" s="8" t="n"/>
      <c r="G625" s="8" t="n">
        <v>5.55</v>
      </c>
      <c r="H625" s="8" t="n"/>
      <c r="I625" s="9" t="n"/>
      <c r="J625" s="10" t="n">
        <v>5.55</v>
      </c>
      <c r="K625" s="11" t="n"/>
      <c r="L625" s="8" t="n"/>
      <c r="M625" s="8" t="n"/>
      <c r="N625" s="8" t="n"/>
      <c r="O625" s="8" t="n"/>
      <c r="P625" s="9" t="n"/>
      <c r="Q625" s="10" t="n">
        <v>0</v>
      </c>
      <c r="R625" s="10" t="n">
        <v>5.55</v>
      </c>
      <c r="S625" s="16" t="n"/>
    </row>
    <row r="626" ht="18" customHeight="1" s="43">
      <c r="B626" s="48" t="n"/>
      <c r="C626" s="7" t="inlineStr">
        <is>
          <t>59期</t>
        </is>
      </c>
      <c r="D626" s="12" t="n"/>
      <c r="E626" s="12" t="n"/>
      <c r="F626" s="12" t="n"/>
      <c r="G626" s="12" t="n"/>
      <c r="H626" s="12" t="n"/>
      <c r="I626" s="13" t="n"/>
      <c r="J626" s="14">
        <f>SUM(D626:I626)</f>
        <v/>
      </c>
      <c r="K626" s="15" t="n"/>
      <c r="L626" s="12" t="n"/>
      <c r="M626" s="12" t="n"/>
      <c r="N626" s="12" t="n"/>
      <c r="O626" s="12" t="n"/>
      <c r="P626" s="13" t="n"/>
      <c r="Q626" s="14">
        <f>SUM(K626:P626)</f>
        <v/>
      </c>
      <c r="R626" s="14">
        <f>J626+Q626</f>
        <v/>
      </c>
      <c r="S626" s="17" t="n"/>
    </row>
    <row r="627" ht="18" customHeight="1" s="43">
      <c r="B627" s="48" t="n"/>
      <c r="C627" s="23" t="inlineStr">
        <is>
          <t>増　減</t>
        </is>
      </c>
      <c r="D627" s="24">
        <f>D626-D625</f>
        <v/>
      </c>
      <c r="E627" s="24">
        <f>E626-E625</f>
        <v/>
      </c>
      <c r="F627" s="24">
        <f>F626-F625</f>
        <v/>
      </c>
      <c r="G627" s="24">
        <f>G626-G625</f>
        <v/>
      </c>
      <c r="H627" s="24">
        <f>H626-H625</f>
        <v/>
      </c>
      <c r="I627" s="27">
        <f>I626-I625</f>
        <v/>
      </c>
      <c r="J627" s="30">
        <f>SUM(D627:I627)</f>
        <v/>
      </c>
      <c r="K627" s="29">
        <f>K626-K625</f>
        <v/>
      </c>
      <c r="L627" s="24">
        <f>L626-L625</f>
        <v/>
      </c>
      <c r="M627" s="24">
        <f>M626-M625</f>
        <v/>
      </c>
      <c r="N627" s="24">
        <f>N626-N625</f>
        <v/>
      </c>
      <c r="O627" s="24">
        <f>O626-O625</f>
        <v/>
      </c>
      <c r="P627" s="27">
        <f>P626-P625</f>
        <v/>
      </c>
      <c r="Q627" s="30">
        <f>SUM(K627:P627)</f>
        <v/>
      </c>
      <c r="R627" s="30">
        <f>J627+Q627</f>
        <v/>
      </c>
      <c r="S627" s="17" t="n"/>
    </row>
    <row r="628" ht="18" customHeight="1" s="43" thickBot="1">
      <c r="B628" s="60" t="n"/>
      <c r="C628" s="25" t="inlineStr">
        <is>
          <t>稼働棟数</t>
        </is>
      </c>
      <c r="D628" s="20" t="n"/>
      <c r="E628" s="20" t="n"/>
      <c r="F628" s="20" t="n"/>
      <c r="G628" s="20" t="n"/>
      <c r="H628" s="20" t="n"/>
      <c r="I628" s="28" t="n"/>
      <c r="J628" s="21">
        <f>I628</f>
        <v/>
      </c>
      <c r="K628" s="22" t="n"/>
      <c r="L628" s="20" t="n"/>
      <c r="M628" s="20" t="n"/>
      <c r="N628" s="20" t="n"/>
      <c r="O628" s="20" t="n"/>
      <c r="P628" s="28" t="n"/>
      <c r="Q628" s="21">
        <f>P628</f>
        <v/>
      </c>
      <c r="R628" s="21">
        <f>Q628</f>
        <v/>
      </c>
      <c r="S628" s="18" t="n"/>
    </row>
    <row r="629" ht="18" customHeight="1" s="43">
      <c r="B629" s="59" t="inlineStr">
        <is>
          <t>ケイアイ/イチゴ</t>
        </is>
      </c>
      <c r="C629" s="31" t="inlineStr">
        <is>
          <t>58期</t>
        </is>
      </c>
      <c r="D629" s="8" t="n"/>
      <c r="E629" s="8" t="n"/>
      <c r="F629" s="8" t="n"/>
      <c r="G629" s="8" t="n"/>
      <c r="H629" s="8" t="n"/>
      <c r="I629" s="9" t="n"/>
      <c r="J629" s="10">
        <f>SUM(D629:I629)</f>
        <v/>
      </c>
      <c r="K629" s="11" t="n"/>
      <c r="L629" s="8" t="n"/>
      <c r="M629" s="8" t="n"/>
      <c r="N629" s="8" t="n"/>
      <c r="O629" s="8" t="n"/>
      <c r="P629" s="9" t="n"/>
      <c r="Q629" s="10">
        <f>SUM(K629:P629)</f>
        <v/>
      </c>
      <c r="R629" s="10">
        <f>J629+Q629</f>
        <v/>
      </c>
      <c r="S629" s="16" t="n"/>
    </row>
    <row r="630" ht="18" customHeight="1" s="43">
      <c r="B630" s="48" t="n"/>
      <c r="C630" s="7" t="inlineStr">
        <is>
          <t>59期</t>
        </is>
      </c>
      <c r="D630" s="12" t="n"/>
      <c r="E630" s="12" t="n"/>
      <c r="F630" s="12" t="n"/>
      <c r="G630" s="12" t="n"/>
      <c r="H630" s="12" t="n"/>
      <c r="I630" s="13" t="n"/>
      <c r="J630" s="14">
        <f>SUM(D630:I630)</f>
        <v/>
      </c>
      <c r="K630" s="15" t="n"/>
      <c r="L630" s="12" t="n"/>
      <c r="M630" s="12" t="n"/>
      <c r="N630" s="12" t="n"/>
      <c r="O630" s="12" t="n"/>
      <c r="P630" s="13" t="n"/>
      <c r="Q630" s="14">
        <f>SUM(K630:P630)</f>
        <v/>
      </c>
      <c r="R630" s="14">
        <f>J630+Q630</f>
        <v/>
      </c>
      <c r="S630" s="17" t="n"/>
    </row>
    <row r="631" ht="18" customHeight="1" s="43">
      <c r="B631" s="48" t="n"/>
      <c r="C631" s="23" t="inlineStr">
        <is>
          <t>増　減</t>
        </is>
      </c>
      <c r="D631" s="24">
        <f>D630-D629</f>
        <v/>
      </c>
      <c r="E631" s="24">
        <f>E630-E629</f>
        <v/>
      </c>
      <c r="F631" s="24">
        <f>F630-F629</f>
        <v/>
      </c>
      <c r="G631" s="24">
        <f>G630-G629</f>
        <v/>
      </c>
      <c r="H631" s="24">
        <f>H630-H629</f>
        <v/>
      </c>
      <c r="I631" s="27">
        <f>I630-I629</f>
        <v/>
      </c>
      <c r="J631" s="30">
        <f>SUM(D631:I631)</f>
        <v/>
      </c>
      <c r="K631" s="29">
        <f>K630-K629</f>
        <v/>
      </c>
      <c r="L631" s="24">
        <f>L630-L629</f>
        <v/>
      </c>
      <c r="M631" s="24">
        <f>M630-M629</f>
        <v/>
      </c>
      <c r="N631" s="24">
        <f>N630-N629</f>
        <v/>
      </c>
      <c r="O631" s="24">
        <f>O630-O629</f>
        <v/>
      </c>
      <c r="P631" s="27">
        <f>P630-P629</f>
        <v/>
      </c>
      <c r="Q631" s="30">
        <f>SUM(K631:P631)</f>
        <v/>
      </c>
      <c r="R631" s="30">
        <f>J631+Q631</f>
        <v/>
      </c>
      <c r="S631" s="17" t="n"/>
    </row>
    <row r="632" ht="18" customHeight="1" s="43" thickBot="1">
      <c r="B632" s="60" t="n"/>
      <c r="C632" s="25" t="inlineStr">
        <is>
          <t>稼働棟数</t>
        </is>
      </c>
      <c r="D632" s="20" t="n"/>
      <c r="E632" s="20" t="n"/>
      <c r="F632" s="20" t="n"/>
      <c r="G632" s="20" t="n"/>
      <c r="H632" s="20" t="n"/>
      <c r="I632" s="28" t="n"/>
      <c r="J632" s="21">
        <f>I632</f>
        <v/>
      </c>
      <c r="K632" s="22" t="n"/>
      <c r="L632" s="20" t="n"/>
      <c r="M632" s="20" t="n"/>
      <c r="N632" s="20" t="n"/>
      <c r="O632" s="20" t="n"/>
      <c r="P632" s="28" t="n"/>
      <c r="Q632" s="21">
        <f>P632</f>
        <v/>
      </c>
      <c r="R632" s="21">
        <f>Q632</f>
        <v/>
      </c>
      <c r="S632" s="18" t="n"/>
    </row>
    <row r="633" ht="18" customHeight="1" s="43">
      <c r="B633" s="59" t="inlineStr">
        <is>
          <t>ケイアイ/トマト</t>
        </is>
      </c>
      <c r="C633" s="31" t="inlineStr">
        <is>
          <t>58期</t>
        </is>
      </c>
      <c r="D633" s="8" t="n"/>
      <c r="E633" s="8" t="n"/>
      <c r="F633" s="8" t="n"/>
      <c r="G633" s="8" t="n"/>
      <c r="H633" s="8" t="n"/>
      <c r="I633" s="9" t="n"/>
      <c r="J633" s="10">
        <f>SUM(D633:I633)</f>
        <v/>
      </c>
      <c r="K633" s="11" t="n"/>
      <c r="L633" s="8" t="n"/>
      <c r="M633" s="8" t="n"/>
      <c r="N633" s="8" t="n"/>
      <c r="O633" s="8" t="n"/>
      <c r="P633" s="9" t="n"/>
      <c r="Q633" s="10">
        <f>SUM(K633:P633)</f>
        <v/>
      </c>
      <c r="R633" s="10">
        <f>J633+Q633</f>
        <v/>
      </c>
      <c r="S633" s="16" t="n"/>
    </row>
    <row r="634" ht="18" customHeight="1" s="43">
      <c r="B634" s="48" t="n"/>
      <c r="C634" s="7" t="inlineStr">
        <is>
          <t>59期</t>
        </is>
      </c>
      <c r="D634" s="12" t="n"/>
      <c r="E634" s="12" t="n"/>
      <c r="F634" s="12" t="n"/>
      <c r="G634" s="12" t="n"/>
      <c r="H634" s="12" t="n"/>
      <c r="I634" s="13" t="n"/>
      <c r="J634" s="14">
        <f>SUM(D634:I634)</f>
        <v/>
      </c>
      <c r="K634" s="15" t="n"/>
      <c r="L634" s="12" t="n"/>
      <c r="M634" s="12" t="n"/>
      <c r="N634" s="12" t="n"/>
      <c r="O634" s="12" t="n"/>
      <c r="P634" s="13" t="n"/>
      <c r="Q634" s="14">
        <f>SUM(K634:P634)</f>
        <v/>
      </c>
      <c r="R634" s="14">
        <f>J634+Q634</f>
        <v/>
      </c>
      <c r="S634" s="17" t="n"/>
    </row>
    <row r="635" ht="18" customHeight="1" s="43">
      <c r="B635" s="48" t="n"/>
      <c r="C635" s="23" t="inlineStr">
        <is>
          <t>増　減</t>
        </is>
      </c>
      <c r="D635" s="24">
        <f>D634-D633</f>
        <v/>
      </c>
      <c r="E635" s="24">
        <f>E634-E633</f>
        <v/>
      </c>
      <c r="F635" s="24">
        <f>F634-F633</f>
        <v/>
      </c>
      <c r="G635" s="24">
        <f>G634-G633</f>
        <v/>
      </c>
      <c r="H635" s="24">
        <f>H634-H633</f>
        <v/>
      </c>
      <c r="I635" s="27">
        <f>I634-I633</f>
        <v/>
      </c>
      <c r="J635" s="30">
        <f>SUM(D635:I635)</f>
        <v/>
      </c>
      <c r="K635" s="29">
        <f>K634-K633</f>
        <v/>
      </c>
      <c r="L635" s="24">
        <f>L634-L633</f>
        <v/>
      </c>
      <c r="M635" s="24">
        <f>M634-M633</f>
        <v/>
      </c>
      <c r="N635" s="24">
        <f>N634-N633</f>
        <v/>
      </c>
      <c r="O635" s="24">
        <f>O634-O633</f>
        <v/>
      </c>
      <c r="P635" s="27">
        <f>P634-P633</f>
        <v/>
      </c>
      <c r="Q635" s="30">
        <f>SUM(K635:P635)</f>
        <v/>
      </c>
      <c r="R635" s="30">
        <f>J635+Q635</f>
        <v/>
      </c>
      <c r="S635" s="17" t="n"/>
    </row>
    <row r="636" ht="18" customHeight="1" s="43" thickBot="1">
      <c r="B636" s="60" t="n"/>
      <c r="C636" s="25" t="inlineStr">
        <is>
          <t>稼働棟数</t>
        </is>
      </c>
      <c r="D636" s="20" t="n"/>
      <c r="E636" s="20" t="n"/>
      <c r="F636" s="20" t="n"/>
      <c r="G636" s="20" t="n"/>
      <c r="H636" s="20" t="n"/>
      <c r="I636" s="28" t="n"/>
      <c r="J636" s="21">
        <f>I636</f>
        <v/>
      </c>
      <c r="K636" s="22" t="n"/>
      <c r="L636" s="20" t="n"/>
      <c r="M636" s="20" t="n"/>
      <c r="N636" s="20" t="n"/>
      <c r="O636" s="20" t="n"/>
      <c r="P636" s="28" t="n"/>
      <c r="Q636" s="21">
        <f>P636</f>
        <v/>
      </c>
      <c r="R636" s="21">
        <f>Q636</f>
        <v/>
      </c>
      <c r="S636" s="18" t="n"/>
    </row>
    <row r="637" ht="18" customHeight="1" s="43">
      <c r="B637" s="59" t="inlineStr">
        <is>
          <t>ケイアイ/ナス</t>
        </is>
      </c>
      <c r="C637" s="31" t="inlineStr">
        <is>
          <t>58期</t>
        </is>
      </c>
      <c r="D637" s="8" t="n"/>
      <c r="E637" s="8" t="n"/>
      <c r="F637" s="8" t="n"/>
      <c r="G637" s="8" t="n"/>
      <c r="H637" s="8" t="n"/>
      <c r="I637" s="9" t="n"/>
      <c r="J637" s="10">
        <f>SUM(D637:I637)</f>
        <v/>
      </c>
      <c r="K637" s="11" t="n"/>
      <c r="L637" s="8" t="n"/>
      <c r="M637" s="8" t="n"/>
      <c r="N637" s="8" t="n"/>
      <c r="O637" s="8" t="n"/>
      <c r="P637" s="9" t="n"/>
      <c r="Q637" s="10">
        <f>SUM(K637:P637)</f>
        <v/>
      </c>
      <c r="R637" s="10">
        <f>J637+Q637</f>
        <v/>
      </c>
      <c r="S637" s="16" t="n"/>
    </row>
    <row r="638" ht="18" customHeight="1" s="43">
      <c r="B638" s="48" t="n"/>
      <c r="C638" s="7" t="inlineStr">
        <is>
          <t>59期</t>
        </is>
      </c>
      <c r="D638" s="12" t="n"/>
      <c r="E638" s="12" t="n"/>
      <c r="F638" s="12" t="n"/>
      <c r="G638" s="12" t="n"/>
      <c r="H638" s="12" t="n"/>
      <c r="I638" s="13" t="n"/>
      <c r="J638" s="14">
        <f>SUM(D638:I638)</f>
        <v/>
      </c>
      <c r="K638" s="15" t="n"/>
      <c r="L638" s="12" t="n"/>
      <c r="M638" s="12" t="n"/>
      <c r="N638" s="12" t="n"/>
      <c r="O638" s="12" t="n"/>
      <c r="P638" s="13" t="n"/>
      <c r="Q638" s="14">
        <f>SUM(K638:P638)</f>
        <v/>
      </c>
      <c r="R638" s="14">
        <f>J638+Q638</f>
        <v/>
      </c>
      <c r="S638" s="17" t="n"/>
    </row>
    <row r="639" ht="18" customHeight="1" s="43">
      <c r="B639" s="48" t="n"/>
      <c r="C639" s="23" t="inlineStr">
        <is>
          <t>増　減</t>
        </is>
      </c>
      <c r="D639" s="24">
        <f>D638-D637</f>
        <v/>
      </c>
      <c r="E639" s="24">
        <f>E638-E637</f>
        <v/>
      </c>
      <c r="F639" s="24">
        <f>F638-F637</f>
        <v/>
      </c>
      <c r="G639" s="24">
        <f>G638-G637</f>
        <v/>
      </c>
      <c r="H639" s="24">
        <f>H638-H637</f>
        <v/>
      </c>
      <c r="I639" s="27">
        <f>I638-I637</f>
        <v/>
      </c>
      <c r="J639" s="30">
        <f>SUM(D639:I639)</f>
        <v/>
      </c>
      <c r="K639" s="29">
        <f>K638-K637</f>
        <v/>
      </c>
      <c r="L639" s="24">
        <f>L638-L637</f>
        <v/>
      </c>
      <c r="M639" s="24">
        <f>M638-M637</f>
        <v/>
      </c>
      <c r="N639" s="24">
        <f>N638-N637</f>
        <v/>
      </c>
      <c r="O639" s="24">
        <f>O638-O637</f>
        <v/>
      </c>
      <c r="P639" s="27">
        <f>P638-P637</f>
        <v/>
      </c>
      <c r="Q639" s="30">
        <f>SUM(K639:P639)</f>
        <v/>
      </c>
      <c r="R639" s="30">
        <f>J639+Q639</f>
        <v/>
      </c>
      <c r="S639" s="17" t="n"/>
    </row>
    <row r="640" ht="18" customHeight="1" s="43" thickBot="1">
      <c r="B640" s="60" t="n"/>
      <c r="C640" s="25" t="inlineStr">
        <is>
          <t>稼働棟数</t>
        </is>
      </c>
      <c r="D640" s="20" t="n"/>
      <c r="E640" s="20" t="n"/>
      <c r="F640" s="20" t="n"/>
      <c r="G640" s="20" t="n"/>
      <c r="H640" s="20" t="n"/>
      <c r="I640" s="28" t="n"/>
      <c r="J640" s="21">
        <f>I640</f>
        <v/>
      </c>
      <c r="K640" s="22" t="n"/>
      <c r="L640" s="20" t="n"/>
      <c r="M640" s="20" t="n"/>
      <c r="N640" s="20" t="n"/>
      <c r="O640" s="20" t="n"/>
      <c r="P640" s="28" t="n"/>
      <c r="Q640" s="21">
        <f>P640</f>
        <v/>
      </c>
      <c r="R640" s="21">
        <f>Q640</f>
        <v/>
      </c>
      <c r="S640" s="18" t="n"/>
    </row>
    <row r="641" ht="18" customHeight="1" s="43">
      <c r="B641" s="59" t="inlineStr">
        <is>
          <t>ケイアイ/ハーブ</t>
        </is>
      </c>
      <c r="C641" s="31" t="inlineStr">
        <is>
          <t>58期</t>
        </is>
      </c>
      <c r="D641" s="8" t="n"/>
      <c r="E641" s="8" t="n"/>
      <c r="F641" s="8" t="n"/>
      <c r="G641" s="8" t="n"/>
      <c r="H641" s="8" t="n"/>
      <c r="I641" s="9" t="n"/>
      <c r="J641" s="10">
        <f>SUM(D641:I641)</f>
        <v/>
      </c>
      <c r="K641" s="11" t="n"/>
      <c r="L641" s="8" t="n"/>
      <c r="M641" s="8" t="n"/>
      <c r="N641" s="8" t="n"/>
      <c r="O641" s="8" t="n"/>
      <c r="P641" s="9" t="n"/>
      <c r="Q641" s="10">
        <f>SUM(K641:P641)</f>
        <v/>
      </c>
      <c r="R641" s="10">
        <f>J641+Q641</f>
        <v/>
      </c>
      <c r="S641" s="16" t="n"/>
    </row>
    <row r="642" ht="18" customHeight="1" s="43">
      <c r="B642" s="48" t="n"/>
      <c r="C642" s="7" t="inlineStr">
        <is>
          <t>59期</t>
        </is>
      </c>
      <c r="D642" s="12" t="n"/>
      <c r="E642" s="12" t="n"/>
      <c r="F642" s="12" t="n"/>
      <c r="G642" s="12" t="n"/>
      <c r="H642" s="12" t="n"/>
      <c r="I642" s="13" t="n"/>
      <c r="J642" s="14">
        <f>SUM(D642:I642)</f>
        <v/>
      </c>
      <c r="K642" s="15" t="n"/>
      <c r="L642" s="12" t="n"/>
      <c r="M642" s="12" t="n"/>
      <c r="N642" s="12" t="n"/>
      <c r="O642" s="12" t="n"/>
      <c r="P642" s="13" t="n"/>
      <c r="Q642" s="14">
        <f>SUM(K642:P642)</f>
        <v/>
      </c>
      <c r="R642" s="14">
        <f>J642+Q642</f>
        <v/>
      </c>
      <c r="S642" s="17" t="n"/>
    </row>
    <row r="643" ht="18" customHeight="1" s="43">
      <c r="B643" s="48" t="n"/>
      <c r="C643" s="23" t="inlineStr">
        <is>
          <t>増　減</t>
        </is>
      </c>
      <c r="D643" s="24">
        <f>D642-D641</f>
        <v/>
      </c>
      <c r="E643" s="24">
        <f>E642-E641</f>
        <v/>
      </c>
      <c r="F643" s="24">
        <f>F642-F641</f>
        <v/>
      </c>
      <c r="G643" s="24">
        <f>G642-G641</f>
        <v/>
      </c>
      <c r="H643" s="24">
        <f>H642-H641</f>
        <v/>
      </c>
      <c r="I643" s="27">
        <f>I642-I641</f>
        <v/>
      </c>
      <c r="J643" s="30">
        <f>SUM(D643:I643)</f>
        <v/>
      </c>
      <c r="K643" s="29">
        <f>K642-K641</f>
        <v/>
      </c>
      <c r="L643" s="24">
        <f>L642-L641</f>
        <v/>
      </c>
      <c r="M643" s="24">
        <f>M642-M641</f>
        <v/>
      </c>
      <c r="N643" s="24">
        <f>N642-N641</f>
        <v/>
      </c>
      <c r="O643" s="24">
        <f>O642-O641</f>
        <v/>
      </c>
      <c r="P643" s="27">
        <f>P642-P641</f>
        <v/>
      </c>
      <c r="Q643" s="30">
        <f>SUM(K643:P643)</f>
        <v/>
      </c>
      <c r="R643" s="30">
        <f>J643+Q643</f>
        <v/>
      </c>
      <c r="S643" s="17" t="n"/>
    </row>
    <row r="644" ht="18" customHeight="1" s="43" thickBot="1">
      <c r="B644" s="60" t="n"/>
      <c r="C644" s="25" t="inlineStr">
        <is>
          <t>稼働棟数</t>
        </is>
      </c>
      <c r="D644" s="20" t="n"/>
      <c r="E644" s="20" t="n"/>
      <c r="F644" s="20" t="n"/>
      <c r="G644" s="20" t="n"/>
      <c r="H644" s="20" t="n"/>
      <c r="I644" s="28" t="n"/>
      <c r="J644" s="21">
        <f>I644</f>
        <v/>
      </c>
      <c r="K644" s="22" t="n"/>
      <c r="L644" s="20" t="n"/>
      <c r="M644" s="20" t="n"/>
      <c r="N644" s="20" t="n"/>
      <c r="O644" s="20" t="n"/>
      <c r="P644" s="28" t="n"/>
      <c r="Q644" s="21">
        <f>P644</f>
        <v/>
      </c>
      <c r="R644" s="21">
        <f>Q644</f>
        <v/>
      </c>
      <c r="S644" s="18" t="n"/>
    </row>
    <row r="645" ht="18" customHeight="1" s="43">
      <c r="B645" s="59" t="inlineStr">
        <is>
          <t>ケイアイ/パプリカ</t>
        </is>
      </c>
      <c r="C645" s="31" t="inlineStr">
        <is>
          <t>58期</t>
        </is>
      </c>
      <c r="D645" s="8" t="n"/>
      <c r="E645" s="8" t="n"/>
      <c r="F645" s="8" t="n"/>
      <c r="G645" s="8" t="n"/>
      <c r="H645" s="8" t="n"/>
      <c r="I645" s="9" t="n"/>
      <c r="J645" s="10">
        <f>SUM(D645:I645)</f>
        <v/>
      </c>
      <c r="K645" s="11" t="n"/>
      <c r="L645" s="8" t="n"/>
      <c r="M645" s="8" t="n"/>
      <c r="N645" s="8" t="n"/>
      <c r="O645" s="8" t="n"/>
      <c r="P645" s="9" t="n"/>
      <c r="Q645" s="10">
        <f>SUM(K645:P645)</f>
        <v/>
      </c>
      <c r="R645" s="10">
        <f>J645+Q645</f>
        <v/>
      </c>
      <c r="S645" s="16" t="n"/>
    </row>
    <row r="646" ht="18" customHeight="1" s="43">
      <c r="B646" s="48" t="n"/>
      <c r="C646" s="7" t="inlineStr">
        <is>
          <t>59期</t>
        </is>
      </c>
      <c r="D646" s="12" t="n"/>
      <c r="E646" s="12" t="n"/>
      <c r="F646" s="12" t="n"/>
      <c r="G646" s="12" t="n"/>
      <c r="H646" s="12" t="n"/>
      <c r="I646" s="13" t="n"/>
      <c r="J646" s="14">
        <f>SUM(D646:I646)</f>
        <v/>
      </c>
      <c r="K646" s="15" t="n"/>
      <c r="L646" s="12" t="n"/>
      <c r="M646" s="12" t="n"/>
      <c r="N646" s="12" t="n"/>
      <c r="O646" s="12" t="n"/>
      <c r="P646" s="13" t="n"/>
      <c r="Q646" s="14">
        <f>SUM(K646:P646)</f>
        <v/>
      </c>
      <c r="R646" s="14">
        <f>J646+Q646</f>
        <v/>
      </c>
      <c r="S646" s="17" t="n"/>
    </row>
    <row r="647" ht="18" customHeight="1" s="43">
      <c r="B647" s="48" t="n"/>
      <c r="C647" s="23" t="inlineStr">
        <is>
          <t>増　減</t>
        </is>
      </c>
      <c r="D647" s="24">
        <f>D646-D645</f>
        <v/>
      </c>
      <c r="E647" s="24">
        <f>E646-E645</f>
        <v/>
      </c>
      <c r="F647" s="24">
        <f>F646-F645</f>
        <v/>
      </c>
      <c r="G647" s="24">
        <f>G646-G645</f>
        <v/>
      </c>
      <c r="H647" s="24">
        <f>H646-H645</f>
        <v/>
      </c>
      <c r="I647" s="27">
        <f>I646-I645</f>
        <v/>
      </c>
      <c r="J647" s="30">
        <f>SUM(D647:I647)</f>
        <v/>
      </c>
      <c r="K647" s="29">
        <f>K646-K645</f>
        <v/>
      </c>
      <c r="L647" s="24">
        <f>L646-L645</f>
        <v/>
      </c>
      <c r="M647" s="24">
        <f>M646-M645</f>
        <v/>
      </c>
      <c r="N647" s="24">
        <f>N646-N645</f>
        <v/>
      </c>
      <c r="O647" s="24">
        <f>O646-O645</f>
        <v/>
      </c>
      <c r="P647" s="27">
        <f>P646-P645</f>
        <v/>
      </c>
      <c r="Q647" s="30">
        <f>SUM(K647:P647)</f>
        <v/>
      </c>
      <c r="R647" s="30">
        <f>J647+Q647</f>
        <v/>
      </c>
      <c r="S647" s="17" t="n"/>
    </row>
    <row r="648" ht="18" customHeight="1" s="43" thickBot="1">
      <c r="B648" s="60" t="n"/>
      <c r="C648" s="25" t="inlineStr">
        <is>
          <t>稼働棟数</t>
        </is>
      </c>
      <c r="D648" s="20" t="n"/>
      <c r="E648" s="20" t="n"/>
      <c r="F648" s="20" t="n"/>
      <c r="G648" s="20" t="n"/>
      <c r="H648" s="20" t="n"/>
      <c r="I648" s="28" t="n"/>
      <c r="J648" s="21">
        <f>I648</f>
        <v/>
      </c>
      <c r="K648" s="22" t="n"/>
      <c r="L648" s="20" t="n"/>
      <c r="M648" s="20" t="n"/>
      <c r="N648" s="20" t="n"/>
      <c r="O648" s="20" t="n"/>
      <c r="P648" s="28" t="n"/>
      <c r="Q648" s="21">
        <f>P648</f>
        <v/>
      </c>
      <c r="R648" s="21">
        <f>Q648</f>
        <v/>
      </c>
      <c r="S648" s="18" t="n"/>
    </row>
    <row r="649" ht="18" customHeight="1" s="43">
      <c r="B649" s="59" t="inlineStr">
        <is>
          <t>ケイアイ/ピーマン</t>
        </is>
      </c>
      <c r="C649" s="31" t="inlineStr">
        <is>
          <t>58期</t>
        </is>
      </c>
      <c r="D649" s="8" t="n"/>
      <c r="E649" s="8" t="n"/>
      <c r="F649" s="8" t="n"/>
      <c r="G649" s="8" t="n"/>
      <c r="H649" s="8" t="n"/>
      <c r="I649" s="9" t="n"/>
      <c r="J649" s="10">
        <f>SUM(D649:I649)</f>
        <v/>
      </c>
      <c r="K649" s="11" t="n"/>
      <c r="L649" s="8" t="n"/>
      <c r="M649" s="8" t="n"/>
      <c r="N649" s="8" t="n"/>
      <c r="O649" s="8" t="n"/>
      <c r="P649" s="9" t="n"/>
      <c r="Q649" s="10">
        <f>SUM(K649:P649)</f>
        <v/>
      </c>
      <c r="R649" s="10">
        <f>J649+Q649</f>
        <v/>
      </c>
      <c r="S649" s="16" t="n"/>
    </row>
    <row r="650" ht="18" customHeight="1" s="43">
      <c r="B650" s="48" t="n"/>
      <c r="C650" s="7" t="inlineStr">
        <is>
          <t>59期</t>
        </is>
      </c>
      <c r="D650" s="12" t="n"/>
      <c r="E650" s="12" t="n"/>
      <c r="F650" s="12" t="n"/>
      <c r="G650" s="12" t="n"/>
      <c r="H650" s="12" t="n"/>
      <c r="I650" s="13" t="n"/>
      <c r="J650" s="14">
        <f>SUM(D650:I650)</f>
        <v/>
      </c>
      <c r="K650" s="15" t="n"/>
      <c r="L650" s="12" t="n"/>
      <c r="M650" s="12" t="n"/>
      <c r="N650" s="12" t="n"/>
      <c r="O650" s="12" t="n"/>
      <c r="P650" s="13" t="n"/>
      <c r="Q650" s="14">
        <f>SUM(K650:P650)</f>
        <v/>
      </c>
      <c r="R650" s="14">
        <f>J650+Q650</f>
        <v/>
      </c>
      <c r="S650" s="17" t="n"/>
    </row>
    <row r="651" ht="18" customHeight="1" s="43">
      <c r="B651" s="48" t="n"/>
      <c r="C651" s="23" t="inlineStr">
        <is>
          <t>増　減</t>
        </is>
      </c>
      <c r="D651" s="24">
        <f>D650-D649</f>
        <v/>
      </c>
      <c r="E651" s="24">
        <f>E650-E649</f>
        <v/>
      </c>
      <c r="F651" s="24">
        <f>F650-F649</f>
        <v/>
      </c>
      <c r="G651" s="24">
        <f>G650-G649</f>
        <v/>
      </c>
      <c r="H651" s="24">
        <f>H650-H649</f>
        <v/>
      </c>
      <c r="I651" s="27">
        <f>I650-I649</f>
        <v/>
      </c>
      <c r="J651" s="30">
        <f>SUM(D651:I651)</f>
        <v/>
      </c>
      <c r="K651" s="29">
        <f>K650-K649</f>
        <v/>
      </c>
      <c r="L651" s="24">
        <f>L650-L649</f>
        <v/>
      </c>
      <c r="M651" s="24">
        <f>M650-M649</f>
        <v/>
      </c>
      <c r="N651" s="24">
        <f>N650-N649</f>
        <v/>
      </c>
      <c r="O651" s="24">
        <f>O650-O649</f>
        <v/>
      </c>
      <c r="P651" s="27">
        <f>P650-P649</f>
        <v/>
      </c>
      <c r="Q651" s="30">
        <f>SUM(K651:P651)</f>
        <v/>
      </c>
      <c r="R651" s="30">
        <f>J651+Q651</f>
        <v/>
      </c>
      <c r="S651" s="17" t="n"/>
    </row>
    <row r="652" ht="18" customHeight="1" s="43" thickBot="1">
      <c r="B652" s="60" t="n"/>
      <c r="C652" s="25" t="inlineStr">
        <is>
          <t>稼働棟数</t>
        </is>
      </c>
      <c r="D652" s="20" t="n"/>
      <c r="E652" s="20" t="n"/>
      <c r="F652" s="20" t="n"/>
      <c r="G652" s="20" t="n"/>
      <c r="H652" s="20" t="n"/>
      <c r="I652" s="28" t="n"/>
      <c r="J652" s="21">
        <f>I652</f>
        <v/>
      </c>
      <c r="K652" s="22" t="n"/>
      <c r="L652" s="20" t="n"/>
      <c r="M652" s="20" t="n"/>
      <c r="N652" s="20" t="n"/>
      <c r="O652" s="20" t="n"/>
      <c r="P652" s="28" t="n"/>
      <c r="Q652" s="21">
        <f>P652</f>
        <v/>
      </c>
      <c r="R652" s="21">
        <f>Q652</f>
        <v/>
      </c>
      <c r="S652" s="18" t="n"/>
    </row>
    <row r="653" ht="18" customHeight="1" s="43">
      <c r="B653" s="59" t="inlineStr">
        <is>
          <t>ケイアイ/マイクロ</t>
        </is>
      </c>
      <c r="C653" s="31" t="inlineStr">
        <is>
          <t>58期</t>
        </is>
      </c>
      <c r="D653" s="8" t="n"/>
      <c r="E653" s="8" t="n"/>
      <c r="F653" s="8" t="n"/>
      <c r="G653" s="8" t="n"/>
      <c r="H653" s="8" t="n"/>
      <c r="I653" s="9" t="n"/>
      <c r="J653" s="10">
        <f>SUM(D653:I653)</f>
        <v/>
      </c>
      <c r="K653" s="11" t="n"/>
      <c r="L653" s="8" t="n"/>
      <c r="M653" s="8" t="n"/>
      <c r="N653" s="8" t="n"/>
      <c r="O653" s="8" t="n"/>
      <c r="P653" s="9" t="n"/>
      <c r="Q653" s="10">
        <f>SUM(K653:P653)</f>
        <v/>
      </c>
      <c r="R653" s="10">
        <f>J653+Q653</f>
        <v/>
      </c>
      <c r="S653" s="16" t="n"/>
    </row>
    <row r="654" ht="18" customHeight="1" s="43">
      <c r="B654" s="48" t="n"/>
      <c r="C654" s="7" t="inlineStr">
        <is>
          <t>59期</t>
        </is>
      </c>
      <c r="D654" s="12" t="n"/>
      <c r="E654" s="12" t="n"/>
      <c r="F654" s="12" t="n"/>
      <c r="G654" s="12" t="n"/>
      <c r="H654" s="12" t="n"/>
      <c r="I654" s="13" t="n"/>
      <c r="J654" s="14">
        <f>SUM(D654:I654)</f>
        <v/>
      </c>
      <c r="K654" s="15" t="n"/>
      <c r="L654" s="12" t="n"/>
      <c r="M654" s="12" t="n"/>
      <c r="N654" s="12" t="n"/>
      <c r="O654" s="12" t="n"/>
      <c r="P654" s="13" t="n"/>
      <c r="Q654" s="14">
        <f>SUM(K654:P654)</f>
        <v/>
      </c>
      <c r="R654" s="14">
        <f>J654+Q654</f>
        <v/>
      </c>
      <c r="S654" s="17" t="n"/>
    </row>
    <row r="655" ht="18" customHeight="1" s="43">
      <c r="B655" s="48" t="n"/>
      <c r="C655" s="23" t="inlineStr">
        <is>
          <t>増　減</t>
        </is>
      </c>
      <c r="D655" s="24">
        <f>D654-D653</f>
        <v/>
      </c>
      <c r="E655" s="24">
        <f>E654-E653</f>
        <v/>
      </c>
      <c r="F655" s="24">
        <f>F654-F653</f>
        <v/>
      </c>
      <c r="G655" s="24">
        <f>G654-G653</f>
        <v/>
      </c>
      <c r="H655" s="24">
        <f>H654-H653</f>
        <v/>
      </c>
      <c r="I655" s="27">
        <f>I654-I653</f>
        <v/>
      </c>
      <c r="J655" s="30">
        <f>SUM(D655:I655)</f>
        <v/>
      </c>
      <c r="K655" s="29">
        <f>K654-K653</f>
        <v/>
      </c>
      <c r="L655" s="24">
        <f>L654-L653</f>
        <v/>
      </c>
      <c r="M655" s="24">
        <f>M654-M653</f>
        <v/>
      </c>
      <c r="N655" s="24">
        <f>N654-N653</f>
        <v/>
      </c>
      <c r="O655" s="24">
        <f>O654-O653</f>
        <v/>
      </c>
      <c r="P655" s="27">
        <f>P654-P653</f>
        <v/>
      </c>
      <c r="Q655" s="30">
        <f>SUM(K655:P655)</f>
        <v/>
      </c>
      <c r="R655" s="30">
        <f>J655+Q655</f>
        <v/>
      </c>
      <c r="S655" s="17" t="n"/>
    </row>
    <row r="656" ht="18" customHeight="1" s="43" thickBot="1">
      <c r="B656" s="60" t="n"/>
      <c r="C656" s="25" t="inlineStr">
        <is>
          <t>稼働棟数</t>
        </is>
      </c>
      <c r="D656" s="20" t="n"/>
      <c r="E656" s="20" t="n"/>
      <c r="F656" s="20" t="n"/>
      <c r="G656" s="20" t="n"/>
      <c r="H656" s="20" t="n"/>
      <c r="I656" s="28" t="n"/>
      <c r="J656" s="21">
        <f>I656</f>
        <v/>
      </c>
      <c r="K656" s="22" t="n"/>
      <c r="L656" s="20" t="n"/>
      <c r="M656" s="20" t="n"/>
      <c r="N656" s="20" t="n"/>
      <c r="O656" s="20" t="n"/>
      <c r="P656" s="28" t="n"/>
      <c r="Q656" s="21">
        <f>P656</f>
        <v/>
      </c>
      <c r="R656" s="21">
        <f>Q656</f>
        <v/>
      </c>
      <c r="S656" s="18" t="n"/>
    </row>
    <row r="657" ht="18" customHeight="1" s="43">
      <c r="B657" s="59" t="inlineStr">
        <is>
          <t>ケイアイ/ミニトマト</t>
        </is>
      </c>
      <c r="C657" s="31" t="inlineStr">
        <is>
          <t>58期</t>
        </is>
      </c>
      <c r="D657" s="8" t="n"/>
      <c r="E657" s="8" t="n"/>
      <c r="F657" s="8" t="n"/>
      <c r="G657" s="8" t="n"/>
      <c r="H657" s="8" t="n"/>
      <c r="I657" s="9" t="n"/>
      <c r="J657" s="10">
        <f>SUM(D657:I657)</f>
        <v/>
      </c>
      <c r="K657" s="11" t="n"/>
      <c r="L657" s="8" t="n"/>
      <c r="M657" s="8" t="n"/>
      <c r="N657" s="8" t="n"/>
      <c r="O657" s="8" t="n"/>
      <c r="P657" s="9" t="n"/>
      <c r="Q657" s="10">
        <f>SUM(K657:P657)</f>
        <v/>
      </c>
      <c r="R657" s="10">
        <f>J657+Q657</f>
        <v/>
      </c>
      <c r="S657" s="16" t="n"/>
    </row>
    <row r="658" ht="18" customHeight="1" s="43">
      <c r="B658" s="48" t="n"/>
      <c r="C658" s="7" t="inlineStr">
        <is>
          <t>59期</t>
        </is>
      </c>
      <c r="D658" s="12" t="n"/>
      <c r="E658" s="12" t="n"/>
      <c r="F658" s="12" t="n"/>
      <c r="G658" s="12" t="n"/>
      <c r="H658" s="12" t="n"/>
      <c r="I658" s="13" t="n"/>
      <c r="J658" s="14">
        <f>SUM(D658:I658)</f>
        <v/>
      </c>
      <c r="K658" s="15" t="n"/>
      <c r="L658" s="12" t="n"/>
      <c r="M658" s="12" t="n"/>
      <c r="N658" s="12" t="n"/>
      <c r="O658" s="12" t="n"/>
      <c r="P658" s="13" t="n"/>
      <c r="Q658" s="14">
        <f>SUM(K658:P658)</f>
        <v/>
      </c>
      <c r="R658" s="14">
        <f>J658+Q658</f>
        <v/>
      </c>
      <c r="S658" s="17" t="n"/>
    </row>
    <row r="659" ht="18" customHeight="1" s="43">
      <c r="B659" s="48" t="n"/>
      <c r="C659" s="23" t="inlineStr">
        <is>
          <t>増　減</t>
        </is>
      </c>
      <c r="D659" s="24">
        <f>D658-D657</f>
        <v/>
      </c>
      <c r="E659" s="24">
        <f>E658-E657</f>
        <v/>
      </c>
      <c r="F659" s="24">
        <f>F658-F657</f>
        <v/>
      </c>
      <c r="G659" s="24">
        <f>G658-G657</f>
        <v/>
      </c>
      <c r="H659" s="24">
        <f>H658-H657</f>
        <v/>
      </c>
      <c r="I659" s="27">
        <f>I658-I657</f>
        <v/>
      </c>
      <c r="J659" s="30">
        <f>SUM(D659:I659)</f>
        <v/>
      </c>
      <c r="K659" s="29">
        <f>K658-K657</f>
        <v/>
      </c>
      <c r="L659" s="24">
        <f>L658-L657</f>
        <v/>
      </c>
      <c r="M659" s="24">
        <f>M658-M657</f>
        <v/>
      </c>
      <c r="N659" s="24">
        <f>N658-N657</f>
        <v/>
      </c>
      <c r="O659" s="24">
        <f>O658-O657</f>
        <v/>
      </c>
      <c r="P659" s="27">
        <f>P658-P657</f>
        <v/>
      </c>
      <c r="Q659" s="30">
        <f>SUM(K659:P659)</f>
        <v/>
      </c>
      <c r="R659" s="30">
        <f>J659+Q659</f>
        <v/>
      </c>
      <c r="S659" s="17" t="n"/>
    </row>
    <row r="660" ht="18" customHeight="1" s="43" thickBot="1">
      <c r="B660" s="60" t="n"/>
      <c r="C660" s="25" t="inlineStr">
        <is>
          <t>稼働棟数</t>
        </is>
      </c>
      <c r="D660" s="20" t="n"/>
      <c r="E660" s="20" t="n"/>
      <c r="F660" s="20" t="n"/>
      <c r="G660" s="20" t="n"/>
      <c r="H660" s="20" t="n"/>
      <c r="I660" s="28" t="n"/>
      <c r="J660" s="21">
        <f>I660</f>
        <v/>
      </c>
      <c r="K660" s="22" t="n"/>
      <c r="L660" s="20" t="n"/>
      <c r="M660" s="20" t="n"/>
      <c r="N660" s="20" t="n"/>
      <c r="O660" s="20" t="n"/>
      <c r="P660" s="28" t="n"/>
      <c r="Q660" s="21">
        <f>P660</f>
        <v/>
      </c>
      <c r="R660" s="21">
        <f>Q660</f>
        <v/>
      </c>
      <c r="S660" s="18" t="n"/>
    </row>
    <row r="661" ht="18" customHeight="1" s="43">
      <c r="B661" s="59" t="inlineStr">
        <is>
          <t>ケイアイ/根物野菜</t>
        </is>
      </c>
      <c r="C661" s="31" t="inlineStr">
        <is>
          <t>58期</t>
        </is>
      </c>
      <c r="D661" s="8" t="n"/>
      <c r="E661" s="8" t="n"/>
      <c r="F661" s="8" t="n"/>
      <c r="G661" s="8" t="n"/>
      <c r="H661" s="8" t="n"/>
      <c r="I661" s="9" t="n"/>
      <c r="J661" s="10">
        <f>SUM(D661:I661)</f>
        <v/>
      </c>
      <c r="K661" s="11" t="n"/>
      <c r="L661" s="8" t="n"/>
      <c r="M661" s="8" t="n"/>
      <c r="N661" s="8" t="n"/>
      <c r="O661" s="8" t="n"/>
      <c r="P661" s="9" t="n"/>
      <c r="Q661" s="10">
        <f>SUM(K661:P661)</f>
        <v/>
      </c>
      <c r="R661" s="10">
        <f>J661+Q661</f>
        <v/>
      </c>
      <c r="S661" s="16" t="n"/>
    </row>
    <row r="662" ht="18" customHeight="1" s="43">
      <c r="B662" s="48" t="n"/>
      <c r="C662" s="7" t="inlineStr">
        <is>
          <t>59期</t>
        </is>
      </c>
      <c r="D662" s="12" t="n"/>
      <c r="E662" s="12" t="n"/>
      <c r="F662" s="12" t="n"/>
      <c r="G662" s="12" t="n"/>
      <c r="H662" s="12" t="n"/>
      <c r="I662" s="13" t="n"/>
      <c r="J662" s="14">
        <f>SUM(D662:I662)</f>
        <v/>
      </c>
      <c r="K662" s="15" t="n"/>
      <c r="L662" s="12" t="n"/>
      <c r="M662" s="12" t="n"/>
      <c r="N662" s="12" t="n"/>
      <c r="O662" s="12" t="n"/>
      <c r="P662" s="13" t="n"/>
      <c r="Q662" s="14">
        <f>SUM(K662:P662)</f>
        <v/>
      </c>
      <c r="R662" s="14">
        <f>J662+Q662</f>
        <v/>
      </c>
      <c r="S662" s="17" t="n"/>
    </row>
    <row r="663" ht="18" customHeight="1" s="43">
      <c r="B663" s="48" t="n"/>
      <c r="C663" s="23" t="inlineStr">
        <is>
          <t>増　減</t>
        </is>
      </c>
      <c r="D663" s="24">
        <f>D662-D661</f>
        <v/>
      </c>
      <c r="E663" s="24">
        <f>E662-E661</f>
        <v/>
      </c>
      <c r="F663" s="24">
        <f>F662-F661</f>
        <v/>
      </c>
      <c r="G663" s="24">
        <f>G662-G661</f>
        <v/>
      </c>
      <c r="H663" s="24">
        <f>H662-H661</f>
        <v/>
      </c>
      <c r="I663" s="27">
        <f>I662-I661</f>
        <v/>
      </c>
      <c r="J663" s="30">
        <f>SUM(D663:I663)</f>
        <v/>
      </c>
      <c r="K663" s="29">
        <f>K662-K661</f>
        <v/>
      </c>
      <c r="L663" s="24">
        <f>L662-L661</f>
        <v/>
      </c>
      <c r="M663" s="24">
        <f>M662-M661</f>
        <v/>
      </c>
      <c r="N663" s="24">
        <f>N662-N661</f>
        <v/>
      </c>
      <c r="O663" s="24">
        <f>O662-O661</f>
        <v/>
      </c>
      <c r="P663" s="27">
        <f>P662-P661</f>
        <v/>
      </c>
      <c r="Q663" s="30">
        <f>SUM(K663:P663)</f>
        <v/>
      </c>
      <c r="R663" s="30">
        <f>J663+Q663</f>
        <v/>
      </c>
      <c r="S663" s="17" t="n"/>
    </row>
    <row r="664" ht="18" customHeight="1" s="43" thickBot="1">
      <c r="B664" s="60" t="n"/>
      <c r="C664" s="25" t="inlineStr">
        <is>
          <t>稼働棟数</t>
        </is>
      </c>
      <c r="D664" s="20" t="n"/>
      <c r="E664" s="20" t="n"/>
      <c r="F664" s="20" t="n"/>
      <c r="G664" s="20" t="n"/>
      <c r="H664" s="20" t="n"/>
      <c r="I664" s="28" t="n"/>
      <c r="J664" s="21">
        <f>I664</f>
        <v/>
      </c>
      <c r="K664" s="22" t="n"/>
      <c r="L664" s="20" t="n"/>
      <c r="M664" s="20" t="n"/>
      <c r="N664" s="20" t="n"/>
      <c r="O664" s="20" t="n"/>
      <c r="P664" s="28" t="n"/>
      <c r="Q664" s="21">
        <f>P664</f>
        <v/>
      </c>
      <c r="R664" s="21">
        <f>Q664</f>
        <v/>
      </c>
      <c r="S664" s="18" t="n"/>
    </row>
    <row r="665" ht="18" customHeight="1" s="43">
      <c r="B665" s="59" t="inlineStr">
        <is>
          <t>ケイアイ/実物野菜</t>
        </is>
      </c>
      <c r="C665" s="31" t="inlineStr">
        <is>
          <t>58期</t>
        </is>
      </c>
      <c r="D665" s="8" t="n"/>
      <c r="E665" s="8" t="n"/>
      <c r="F665" s="8" t="n"/>
      <c r="G665" s="8" t="n"/>
      <c r="H665" s="8" t="n"/>
      <c r="I665" s="9" t="n"/>
      <c r="J665" s="10">
        <f>SUM(D665:I665)</f>
        <v/>
      </c>
      <c r="K665" s="11" t="n"/>
      <c r="L665" s="8" t="n"/>
      <c r="M665" s="8" t="n"/>
      <c r="N665" s="8" t="n"/>
      <c r="O665" s="8" t="n"/>
      <c r="P665" s="9" t="n"/>
      <c r="Q665" s="10">
        <f>SUM(K665:P665)</f>
        <v/>
      </c>
      <c r="R665" s="10">
        <f>J665+Q665</f>
        <v/>
      </c>
      <c r="S665" s="16" t="n"/>
    </row>
    <row r="666" ht="18" customHeight="1" s="43">
      <c r="B666" s="48" t="n"/>
      <c r="C666" s="7" t="inlineStr">
        <is>
          <t>59期</t>
        </is>
      </c>
      <c r="D666" s="12" t="n"/>
      <c r="E666" s="12" t="n"/>
      <c r="F666" s="12" t="n"/>
      <c r="G666" s="12" t="n"/>
      <c r="H666" s="12" t="n"/>
      <c r="I666" s="13" t="n"/>
      <c r="J666" s="14">
        <f>SUM(D666:I666)</f>
        <v/>
      </c>
      <c r="K666" s="15" t="n"/>
      <c r="L666" s="12" t="n"/>
      <c r="M666" s="12" t="n"/>
      <c r="N666" s="12" t="n"/>
      <c r="O666" s="12" t="n"/>
      <c r="P666" s="13" t="n"/>
      <c r="Q666" s="14">
        <f>SUM(K666:P666)</f>
        <v/>
      </c>
      <c r="R666" s="14">
        <f>J666+Q666</f>
        <v/>
      </c>
      <c r="S666" s="17" t="n"/>
    </row>
    <row r="667" ht="18" customHeight="1" s="43">
      <c r="B667" s="48" t="n"/>
      <c r="C667" s="23" t="inlineStr">
        <is>
          <t>増　減</t>
        </is>
      </c>
      <c r="D667" s="24">
        <f>D666-D665</f>
        <v/>
      </c>
      <c r="E667" s="24">
        <f>E666-E665</f>
        <v/>
      </c>
      <c r="F667" s="24">
        <f>F666-F665</f>
        <v/>
      </c>
      <c r="G667" s="24">
        <f>G666-G665</f>
        <v/>
      </c>
      <c r="H667" s="24">
        <f>H666-H665</f>
        <v/>
      </c>
      <c r="I667" s="27">
        <f>I666-I665</f>
        <v/>
      </c>
      <c r="J667" s="30">
        <f>SUM(D667:I667)</f>
        <v/>
      </c>
      <c r="K667" s="29">
        <f>K666-K665</f>
        <v/>
      </c>
      <c r="L667" s="24">
        <f>L666-L665</f>
        <v/>
      </c>
      <c r="M667" s="24">
        <f>M666-M665</f>
        <v/>
      </c>
      <c r="N667" s="24">
        <f>N666-N665</f>
        <v/>
      </c>
      <c r="O667" s="24">
        <f>O666-O665</f>
        <v/>
      </c>
      <c r="P667" s="27">
        <f>P666-P665</f>
        <v/>
      </c>
      <c r="Q667" s="30">
        <f>SUM(K667:P667)</f>
        <v/>
      </c>
      <c r="R667" s="30">
        <f>J667+Q667</f>
        <v/>
      </c>
      <c r="S667" s="17" t="n"/>
    </row>
    <row r="668" ht="18" customHeight="1" s="43" thickBot="1">
      <c r="B668" s="60" t="n"/>
      <c r="C668" s="25" t="inlineStr">
        <is>
          <t>稼働棟数</t>
        </is>
      </c>
      <c r="D668" s="20" t="n"/>
      <c r="E668" s="20" t="n"/>
      <c r="F668" s="20" t="n"/>
      <c r="G668" s="20" t="n"/>
      <c r="H668" s="20" t="n"/>
      <c r="I668" s="28" t="n"/>
      <c r="J668" s="21">
        <f>I668</f>
        <v/>
      </c>
      <c r="K668" s="22" t="n"/>
      <c r="L668" s="20" t="n"/>
      <c r="M668" s="20" t="n"/>
      <c r="N668" s="20" t="n"/>
      <c r="O668" s="20" t="n"/>
      <c r="P668" s="28" t="n"/>
      <c r="Q668" s="21">
        <f>P668</f>
        <v/>
      </c>
      <c r="R668" s="21">
        <f>Q668</f>
        <v/>
      </c>
      <c r="S668" s="18" t="n"/>
    </row>
    <row r="669" ht="18" customHeight="1" s="43">
      <c r="B669" s="59" t="inlineStr">
        <is>
          <t>ケイアイ/食用花</t>
        </is>
      </c>
      <c r="C669" s="31" t="inlineStr">
        <is>
          <t>58期</t>
        </is>
      </c>
      <c r="D669" s="8" t="n"/>
      <c r="E669" s="8" t="n"/>
      <c r="F669" s="8" t="n"/>
      <c r="G669" s="8" t="n"/>
      <c r="H669" s="8" t="n"/>
      <c r="I669" s="9" t="n"/>
      <c r="J669" s="10">
        <f>SUM(D669:I669)</f>
        <v/>
      </c>
      <c r="K669" s="11" t="n"/>
      <c r="L669" s="8" t="n"/>
      <c r="M669" s="8" t="n"/>
      <c r="N669" s="8" t="n"/>
      <c r="O669" s="8" t="n"/>
      <c r="P669" s="9" t="n"/>
      <c r="Q669" s="10">
        <f>SUM(K669:P669)</f>
        <v/>
      </c>
      <c r="R669" s="10">
        <f>J669+Q669</f>
        <v/>
      </c>
      <c r="S669" s="16" t="n"/>
    </row>
    <row r="670" ht="18" customHeight="1" s="43">
      <c r="B670" s="48" t="n"/>
      <c r="C670" s="7" t="inlineStr">
        <is>
          <t>59期</t>
        </is>
      </c>
      <c r="D670" s="12" t="n"/>
      <c r="E670" s="12" t="n"/>
      <c r="F670" s="12" t="n"/>
      <c r="G670" s="12" t="n"/>
      <c r="H670" s="12" t="n"/>
      <c r="I670" s="13" t="n"/>
      <c r="J670" s="14">
        <f>SUM(D670:I670)</f>
        <v/>
      </c>
      <c r="K670" s="15" t="n"/>
      <c r="L670" s="12" t="n"/>
      <c r="M670" s="12" t="n"/>
      <c r="N670" s="12" t="n"/>
      <c r="O670" s="12" t="n"/>
      <c r="P670" s="13" t="n"/>
      <c r="Q670" s="14">
        <f>SUM(K670:P670)</f>
        <v/>
      </c>
      <c r="R670" s="14">
        <f>J670+Q670</f>
        <v/>
      </c>
      <c r="S670" s="17" t="n"/>
    </row>
    <row r="671" ht="18" customHeight="1" s="43">
      <c r="B671" s="48" t="n"/>
      <c r="C671" s="23" t="inlineStr">
        <is>
          <t>増　減</t>
        </is>
      </c>
      <c r="D671" s="24">
        <f>D670-D669</f>
        <v/>
      </c>
      <c r="E671" s="24">
        <f>E670-E669</f>
        <v/>
      </c>
      <c r="F671" s="24">
        <f>F670-F669</f>
        <v/>
      </c>
      <c r="G671" s="24">
        <f>G670-G669</f>
        <v/>
      </c>
      <c r="H671" s="24">
        <f>H670-H669</f>
        <v/>
      </c>
      <c r="I671" s="27">
        <f>I670-I669</f>
        <v/>
      </c>
      <c r="J671" s="30">
        <f>SUM(D671:I671)</f>
        <v/>
      </c>
      <c r="K671" s="29">
        <f>K670-K669</f>
        <v/>
      </c>
      <c r="L671" s="24">
        <f>L670-L669</f>
        <v/>
      </c>
      <c r="M671" s="24">
        <f>M670-M669</f>
        <v/>
      </c>
      <c r="N671" s="24">
        <f>N670-N669</f>
        <v/>
      </c>
      <c r="O671" s="24">
        <f>O670-O669</f>
        <v/>
      </c>
      <c r="P671" s="27">
        <f>P670-P669</f>
        <v/>
      </c>
      <c r="Q671" s="30">
        <f>SUM(K671:P671)</f>
        <v/>
      </c>
      <c r="R671" s="30">
        <f>J671+Q671</f>
        <v/>
      </c>
      <c r="S671" s="17" t="n"/>
    </row>
    <row r="672" ht="18" customHeight="1" s="43" thickBot="1">
      <c r="B672" s="60" t="n"/>
      <c r="C672" s="25" t="inlineStr">
        <is>
          <t>稼働棟数</t>
        </is>
      </c>
      <c r="D672" s="20" t="n"/>
      <c r="E672" s="20" t="n"/>
      <c r="F672" s="20" t="n"/>
      <c r="G672" s="20" t="n"/>
      <c r="H672" s="20" t="n"/>
      <c r="I672" s="28" t="n"/>
      <c r="J672" s="21">
        <f>I672</f>
        <v/>
      </c>
      <c r="K672" s="22" t="n"/>
      <c r="L672" s="20" t="n"/>
      <c r="M672" s="20" t="n"/>
      <c r="N672" s="20" t="n"/>
      <c r="O672" s="20" t="n"/>
      <c r="P672" s="28" t="n"/>
      <c r="Q672" s="21">
        <f>P672</f>
        <v/>
      </c>
      <c r="R672" s="21">
        <f>Q672</f>
        <v/>
      </c>
      <c r="S672" s="18" t="n"/>
    </row>
    <row r="673" ht="18" customHeight="1" s="43">
      <c r="B673" s="59" t="inlineStr">
        <is>
          <t>ケイアイ/葉物野菜</t>
        </is>
      </c>
      <c r="C673" s="31" t="inlineStr">
        <is>
          <t>58期</t>
        </is>
      </c>
      <c r="D673" s="8" t="n"/>
      <c r="E673" s="8" t="n"/>
      <c r="F673" s="8" t="n"/>
      <c r="G673" s="8" t="n">
        <v>7.76</v>
      </c>
      <c r="H673" s="8" t="n"/>
      <c r="I673" s="9" t="n"/>
      <c r="J673" s="10" t="n">
        <v>7.76</v>
      </c>
      <c r="K673" s="11" t="n"/>
      <c r="L673" s="8" t="n"/>
      <c r="M673" s="8" t="n"/>
      <c r="N673" s="8" t="n"/>
      <c r="O673" s="8" t="n"/>
      <c r="P673" s="9" t="n"/>
      <c r="Q673" s="10" t="n">
        <v>0</v>
      </c>
      <c r="R673" s="10" t="n">
        <v>7.76</v>
      </c>
      <c r="S673" s="16" t="n"/>
    </row>
    <row r="674" ht="18" customHeight="1" s="43">
      <c r="B674" s="48" t="n"/>
      <c r="C674" s="7" t="inlineStr">
        <is>
          <t>59期</t>
        </is>
      </c>
      <c r="D674" s="12" t="n"/>
      <c r="E674" s="12" t="n"/>
      <c r="F674" s="12" t="n"/>
      <c r="G674" s="12" t="n"/>
      <c r="H674" s="12" t="n"/>
      <c r="I674" s="13" t="n"/>
      <c r="J674" s="14">
        <f>SUM(D674:I674)</f>
        <v/>
      </c>
      <c r="K674" s="15" t="n"/>
      <c r="L674" s="12" t="n"/>
      <c r="M674" s="12" t="n"/>
      <c r="N674" s="12" t="n"/>
      <c r="O674" s="12" t="n"/>
      <c r="P674" s="13" t="n"/>
      <c r="Q674" s="14">
        <f>SUM(K674:P674)</f>
        <v/>
      </c>
      <c r="R674" s="14">
        <f>J674+Q674</f>
        <v/>
      </c>
      <c r="S674" s="17" t="n"/>
    </row>
    <row r="675" ht="18" customHeight="1" s="43">
      <c r="B675" s="48" t="n"/>
      <c r="C675" s="23" t="inlineStr">
        <is>
          <t>増　減</t>
        </is>
      </c>
      <c r="D675" s="24">
        <f>D674-D673</f>
        <v/>
      </c>
      <c r="E675" s="24">
        <f>E674-E673</f>
        <v/>
      </c>
      <c r="F675" s="24">
        <f>F674-F673</f>
        <v/>
      </c>
      <c r="G675" s="24">
        <f>G674-G673</f>
        <v/>
      </c>
      <c r="H675" s="24">
        <f>H674-H673</f>
        <v/>
      </c>
      <c r="I675" s="27">
        <f>I674-I673</f>
        <v/>
      </c>
      <c r="J675" s="30">
        <f>SUM(D675:I675)</f>
        <v/>
      </c>
      <c r="K675" s="29">
        <f>K674-K673</f>
        <v/>
      </c>
      <c r="L675" s="24">
        <f>L674-L673</f>
        <v/>
      </c>
      <c r="M675" s="24">
        <f>M674-M673</f>
        <v/>
      </c>
      <c r="N675" s="24">
        <f>N674-N673</f>
        <v/>
      </c>
      <c r="O675" s="24">
        <f>O674-O673</f>
        <v/>
      </c>
      <c r="P675" s="27">
        <f>P674-P673</f>
        <v/>
      </c>
      <c r="Q675" s="30">
        <f>SUM(K675:P675)</f>
        <v/>
      </c>
      <c r="R675" s="30">
        <f>J675+Q675</f>
        <v/>
      </c>
      <c r="S675" s="17" t="n"/>
    </row>
    <row r="676" ht="18" customHeight="1" s="43" thickBot="1">
      <c r="B676" s="60" t="n"/>
      <c r="C676" s="25" t="inlineStr">
        <is>
          <t>稼働棟数</t>
        </is>
      </c>
      <c r="D676" s="20" t="n"/>
      <c r="E676" s="20" t="n"/>
      <c r="F676" s="20" t="n"/>
      <c r="G676" s="20" t="n"/>
      <c r="H676" s="20" t="n"/>
      <c r="I676" s="28" t="n"/>
      <c r="J676" s="21">
        <f>I676</f>
        <v/>
      </c>
      <c r="K676" s="22" t="n"/>
      <c r="L676" s="20" t="n"/>
      <c r="M676" s="20" t="n"/>
      <c r="N676" s="20" t="n"/>
      <c r="O676" s="20" t="n"/>
      <c r="P676" s="28" t="n"/>
      <c r="Q676" s="21">
        <f>P676</f>
        <v/>
      </c>
      <c r="R676" s="21">
        <f>Q676</f>
        <v/>
      </c>
      <c r="S676" s="18" t="n"/>
    </row>
    <row r="677" ht="18" customHeight="1" s="43">
      <c r="B677" s="59" t="inlineStr">
        <is>
          <t>岡部/イチゴ</t>
        </is>
      </c>
      <c r="C677" s="31" t="inlineStr">
        <is>
          <t>58期</t>
        </is>
      </c>
      <c r="D677" s="8" t="n"/>
      <c r="E677" s="8" t="n"/>
      <c r="F677" s="8" t="n"/>
      <c r="G677" s="8" t="n">
        <v>0.14</v>
      </c>
      <c r="H677" s="8" t="n"/>
      <c r="I677" s="9" t="n"/>
      <c r="J677" s="10" t="n">
        <v>0.14</v>
      </c>
      <c r="K677" s="11" t="n"/>
      <c r="L677" s="8" t="n"/>
      <c r="M677" s="8" t="n"/>
      <c r="N677" s="8" t="n"/>
      <c r="O677" s="8" t="n"/>
      <c r="P677" s="9" t="n"/>
      <c r="Q677" s="10" t="n">
        <v>0</v>
      </c>
      <c r="R677" s="10" t="n">
        <v>0.14</v>
      </c>
      <c r="S677" s="16" t="n"/>
    </row>
    <row r="678" ht="18" customHeight="1" s="43">
      <c r="B678" s="48" t="n"/>
      <c r="C678" s="7" t="inlineStr">
        <is>
          <t>59期</t>
        </is>
      </c>
      <c r="D678" s="12" t="n"/>
      <c r="E678" s="12" t="n"/>
      <c r="F678" s="12" t="n"/>
      <c r="G678" s="12" t="n"/>
      <c r="H678" s="12" t="n"/>
      <c r="I678" s="13" t="n"/>
      <c r="J678" s="14">
        <f>SUM(D678:I678)</f>
        <v/>
      </c>
      <c r="K678" s="15" t="n"/>
      <c r="L678" s="12" t="n"/>
      <c r="M678" s="12" t="n"/>
      <c r="N678" s="12" t="n"/>
      <c r="O678" s="12" t="n"/>
      <c r="P678" s="13" t="n"/>
      <c r="Q678" s="14">
        <f>SUM(K678:P678)</f>
        <v/>
      </c>
      <c r="R678" s="14">
        <f>J678+Q678</f>
        <v/>
      </c>
      <c r="S678" s="17" t="n"/>
    </row>
    <row r="679" ht="18" customHeight="1" s="43">
      <c r="B679" s="48" t="n"/>
      <c r="C679" s="23" t="inlineStr">
        <is>
          <t>増　減</t>
        </is>
      </c>
      <c r="D679" s="24">
        <f>D678-D677</f>
        <v/>
      </c>
      <c r="E679" s="24">
        <f>E678-E677</f>
        <v/>
      </c>
      <c r="F679" s="24">
        <f>F678-F677</f>
        <v/>
      </c>
      <c r="G679" s="24">
        <f>G678-G677</f>
        <v/>
      </c>
      <c r="H679" s="24">
        <f>H678-H677</f>
        <v/>
      </c>
      <c r="I679" s="27">
        <f>I678-I677</f>
        <v/>
      </c>
      <c r="J679" s="30">
        <f>SUM(D679:I679)</f>
        <v/>
      </c>
      <c r="K679" s="29">
        <f>K678-K677</f>
        <v/>
      </c>
      <c r="L679" s="24">
        <f>L678-L677</f>
        <v/>
      </c>
      <c r="M679" s="24">
        <f>M678-M677</f>
        <v/>
      </c>
      <c r="N679" s="24">
        <f>N678-N677</f>
        <v/>
      </c>
      <c r="O679" s="24">
        <f>O678-O677</f>
        <v/>
      </c>
      <c r="P679" s="27">
        <f>P678-P677</f>
        <v/>
      </c>
      <c r="Q679" s="30">
        <f>SUM(K679:P679)</f>
        <v/>
      </c>
      <c r="R679" s="30">
        <f>J679+Q679</f>
        <v/>
      </c>
      <c r="S679" s="17" t="n"/>
    </row>
    <row r="680" ht="18" customHeight="1" s="43" thickBot="1">
      <c r="B680" s="60" t="n"/>
      <c r="C680" s="25" t="inlineStr">
        <is>
          <t>稼働棟数</t>
        </is>
      </c>
      <c r="D680" s="20" t="n"/>
      <c r="E680" s="20" t="n"/>
      <c r="F680" s="20" t="n"/>
      <c r="G680" s="20" t="n"/>
      <c r="H680" s="20" t="n"/>
      <c r="I680" s="28" t="n"/>
      <c r="J680" s="21">
        <f>I680</f>
        <v/>
      </c>
      <c r="K680" s="22" t="n"/>
      <c r="L680" s="20" t="n"/>
      <c r="M680" s="20" t="n"/>
      <c r="N680" s="20" t="n"/>
      <c r="O680" s="20" t="n"/>
      <c r="P680" s="28" t="n"/>
      <c r="Q680" s="21">
        <f>P680</f>
        <v/>
      </c>
      <c r="R680" s="21">
        <f>Q680</f>
        <v/>
      </c>
      <c r="S680" s="18" t="n"/>
    </row>
    <row r="681" ht="18" customHeight="1" s="43">
      <c r="B681" s="59" t="inlineStr">
        <is>
          <t>岡部/トマト</t>
        </is>
      </c>
      <c r="C681" s="31" t="inlineStr">
        <is>
          <t>58期</t>
        </is>
      </c>
      <c r="D681" s="8" t="n"/>
      <c r="E681" s="8" t="n"/>
      <c r="F681" s="8" t="n"/>
      <c r="G681" s="8" t="n"/>
      <c r="H681" s="8" t="n"/>
      <c r="I681" s="9" t="n"/>
      <c r="J681" s="10">
        <f>SUM(D681:I681)</f>
        <v/>
      </c>
      <c r="K681" s="11" t="n"/>
      <c r="L681" s="8" t="n"/>
      <c r="M681" s="8" t="n"/>
      <c r="N681" s="8" t="n"/>
      <c r="O681" s="8" t="n"/>
      <c r="P681" s="9" t="n"/>
      <c r="Q681" s="10">
        <f>SUM(K681:P681)</f>
        <v/>
      </c>
      <c r="R681" s="10">
        <f>J681+Q681</f>
        <v/>
      </c>
      <c r="S681" s="16" t="n"/>
    </row>
    <row r="682" ht="18" customHeight="1" s="43">
      <c r="B682" s="48" t="n"/>
      <c r="C682" s="7" t="inlineStr">
        <is>
          <t>59期</t>
        </is>
      </c>
      <c r="D682" s="12" t="n"/>
      <c r="E682" s="12" t="n"/>
      <c r="F682" s="12" t="n"/>
      <c r="G682" s="12" t="n"/>
      <c r="H682" s="12" t="n"/>
      <c r="I682" s="13" t="n"/>
      <c r="J682" s="14">
        <f>SUM(D682:I682)</f>
        <v/>
      </c>
      <c r="K682" s="15" t="n"/>
      <c r="L682" s="12" t="n"/>
      <c r="M682" s="12" t="n"/>
      <c r="N682" s="12" t="n"/>
      <c r="O682" s="12" t="n"/>
      <c r="P682" s="13" t="n"/>
      <c r="Q682" s="14">
        <f>SUM(K682:P682)</f>
        <v/>
      </c>
      <c r="R682" s="14">
        <f>J682+Q682</f>
        <v/>
      </c>
      <c r="S682" s="17" t="n"/>
    </row>
    <row r="683" ht="18" customHeight="1" s="43">
      <c r="B683" s="48" t="n"/>
      <c r="C683" s="23" t="inlineStr">
        <is>
          <t>増　減</t>
        </is>
      </c>
      <c r="D683" s="24">
        <f>D682-D681</f>
        <v/>
      </c>
      <c r="E683" s="24">
        <f>E682-E681</f>
        <v/>
      </c>
      <c r="F683" s="24">
        <f>F682-F681</f>
        <v/>
      </c>
      <c r="G683" s="24">
        <f>G682-G681</f>
        <v/>
      </c>
      <c r="H683" s="24">
        <f>H682-H681</f>
        <v/>
      </c>
      <c r="I683" s="27">
        <f>I682-I681</f>
        <v/>
      </c>
      <c r="J683" s="30">
        <f>SUM(D683:I683)</f>
        <v/>
      </c>
      <c r="K683" s="29">
        <f>K682-K681</f>
        <v/>
      </c>
      <c r="L683" s="24">
        <f>L682-L681</f>
        <v/>
      </c>
      <c r="M683" s="24">
        <f>M682-M681</f>
        <v/>
      </c>
      <c r="N683" s="24">
        <f>N682-N681</f>
        <v/>
      </c>
      <c r="O683" s="24">
        <f>O682-O681</f>
        <v/>
      </c>
      <c r="P683" s="27">
        <f>P682-P681</f>
        <v/>
      </c>
      <c r="Q683" s="30">
        <f>SUM(K683:P683)</f>
        <v/>
      </c>
      <c r="R683" s="30">
        <f>J683+Q683</f>
        <v/>
      </c>
      <c r="S683" s="17" t="n"/>
    </row>
    <row r="684" ht="18" customHeight="1" s="43" thickBot="1">
      <c r="B684" s="60" t="n"/>
      <c r="C684" s="25" t="inlineStr">
        <is>
          <t>稼働棟数</t>
        </is>
      </c>
      <c r="D684" s="20" t="n"/>
      <c r="E684" s="20" t="n"/>
      <c r="F684" s="20" t="n"/>
      <c r="G684" s="20" t="n"/>
      <c r="H684" s="20" t="n"/>
      <c r="I684" s="28" t="n"/>
      <c r="J684" s="21">
        <f>I684</f>
        <v/>
      </c>
      <c r="K684" s="22" t="n"/>
      <c r="L684" s="20" t="n"/>
      <c r="M684" s="20" t="n"/>
      <c r="N684" s="20" t="n"/>
      <c r="O684" s="20" t="n"/>
      <c r="P684" s="28" t="n"/>
      <c r="Q684" s="21">
        <f>P684</f>
        <v/>
      </c>
      <c r="R684" s="21">
        <f>Q684</f>
        <v/>
      </c>
      <c r="S684" s="18" t="n"/>
    </row>
    <row r="685" ht="18" customHeight="1" s="43">
      <c r="B685" s="59" t="inlineStr">
        <is>
          <t>岡部/ナス</t>
        </is>
      </c>
      <c r="C685" s="31" t="inlineStr">
        <is>
          <t>58期</t>
        </is>
      </c>
      <c r="D685" s="8" t="n"/>
      <c r="E685" s="8" t="n"/>
      <c r="F685" s="8" t="n"/>
      <c r="G685" s="8" t="n"/>
      <c r="H685" s="8" t="n"/>
      <c r="I685" s="9" t="n"/>
      <c r="J685" s="10">
        <f>SUM(D685:I685)</f>
        <v/>
      </c>
      <c r="K685" s="11" t="n"/>
      <c r="L685" s="8" t="n"/>
      <c r="M685" s="8" t="n"/>
      <c r="N685" s="8" t="n"/>
      <c r="O685" s="8" t="n"/>
      <c r="P685" s="9" t="n"/>
      <c r="Q685" s="10">
        <f>SUM(K685:P685)</f>
        <v/>
      </c>
      <c r="R685" s="10">
        <f>J685+Q685</f>
        <v/>
      </c>
      <c r="S685" s="16" t="n"/>
    </row>
    <row r="686" ht="18" customHeight="1" s="43">
      <c r="B686" s="48" t="n"/>
      <c r="C686" s="7" t="inlineStr">
        <is>
          <t>59期</t>
        </is>
      </c>
      <c r="D686" s="12" t="n"/>
      <c r="E686" s="12" t="n"/>
      <c r="F686" s="12" t="n"/>
      <c r="G686" s="12" t="n"/>
      <c r="H686" s="12" t="n"/>
      <c r="I686" s="13" t="n"/>
      <c r="J686" s="14">
        <f>SUM(D686:I686)</f>
        <v/>
      </c>
      <c r="K686" s="15" t="n"/>
      <c r="L686" s="12" t="n"/>
      <c r="M686" s="12" t="n"/>
      <c r="N686" s="12" t="n"/>
      <c r="O686" s="12" t="n"/>
      <c r="P686" s="13" t="n"/>
      <c r="Q686" s="14">
        <f>SUM(K686:P686)</f>
        <v/>
      </c>
      <c r="R686" s="14">
        <f>J686+Q686</f>
        <v/>
      </c>
      <c r="S686" s="17" t="n"/>
    </row>
    <row r="687" ht="18" customHeight="1" s="43">
      <c r="B687" s="48" t="n"/>
      <c r="C687" s="23" t="inlineStr">
        <is>
          <t>増　減</t>
        </is>
      </c>
      <c r="D687" s="24">
        <f>D686-D685</f>
        <v/>
      </c>
      <c r="E687" s="24">
        <f>E686-E685</f>
        <v/>
      </c>
      <c r="F687" s="24">
        <f>F686-F685</f>
        <v/>
      </c>
      <c r="G687" s="24">
        <f>G686-G685</f>
        <v/>
      </c>
      <c r="H687" s="24">
        <f>H686-H685</f>
        <v/>
      </c>
      <c r="I687" s="27">
        <f>I686-I685</f>
        <v/>
      </c>
      <c r="J687" s="30">
        <f>SUM(D687:I687)</f>
        <v/>
      </c>
      <c r="K687" s="29">
        <f>K686-K685</f>
        <v/>
      </c>
      <c r="L687" s="24">
        <f>L686-L685</f>
        <v/>
      </c>
      <c r="M687" s="24">
        <f>M686-M685</f>
        <v/>
      </c>
      <c r="N687" s="24">
        <f>N686-N685</f>
        <v/>
      </c>
      <c r="O687" s="24">
        <f>O686-O685</f>
        <v/>
      </c>
      <c r="P687" s="27">
        <f>P686-P685</f>
        <v/>
      </c>
      <c r="Q687" s="30">
        <f>SUM(K687:P687)</f>
        <v/>
      </c>
      <c r="R687" s="30">
        <f>J687+Q687</f>
        <v/>
      </c>
      <c r="S687" s="17" t="n"/>
    </row>
    <row r="688" ht="18" customHeight="1" s="43" thickBot="1">
      <c r="B688" s="60" t="n"/>
      <c r="C688" s="25" t="inlineStr">
        <is>
          <t>稼働棟数</t>
        </is>
      </c>
      <c r="D688" s="20" t="n"/>
      <c r="E688" s="20" t="n"/>
      <c r="F688" s="20" t="n"/>
      <c r="G688" s="20" t="n"/>
      <c r="H688" s="20" t="n"/>
      <c r="I688" s="28" t="n"/>
      <c r="J688" s="21">
        <f>I688</f>
        <v/>
      </c>
      <c r="K688" s="22" t="n"/>
      <c r="L688" s="20" t="n"/>
      <c r="M688" s="20" t="n"/>
      <c r="N688" s="20" t="n"/>
      <c r="O688" s="20" t="n"/>
      <c r="P688" s="28" t="n"/>
      <c r="Q688" s="21">
        <f>P688</f>
        <v/>
      </c>
      <c r="R688" s="21">
        <f>Q688</f>
        <v/>
      </c>
      <c r="S688" s="18" t="n"/>
    </row>
    <row r="689" ht="18" customHeight="1" s="43">
      <c r="B689" s="59" t="inlineStr">
        <is>
          <t>岡部/ハーブ</t>
        </is>
      </c>
      <c r="C689" s="31" t="inlineStr">
        <is>
          <t>58期</t>
        </is>
      </c>
      <c r="D689" s="8" t="n"/>
      <c r="E689" s="8" t="n"/>
      <c r="F689" s="8" t="n"/>
      <c r="G689" s="8" t="n"/>
      <c r="H689" s="8" t="n"/>
      <c r="I689" s="9" t="n"/>
      <c r="J689" s="10">
        <f>SUM(D689:I689)</f>
        <v/>
      </c>
      <c r="K689" s="11" t="n"/>
      <c r="L689" s="8" t="n"/>
      <c r="M689" s="8" t="n"/>
      <c r="N689" s="8" t="n"/>
      <c r="O689" s="8" t="n"/>
      <c r="P689" s="9" t="n"/>
      <c r="Q689" s="10">
        <f>SUM(K689:P689)</f>
        <v/>
      </c>
      <c r="R689" s="10">
        <f>J689+Q689</f>
        <v/>
      </c>
      <c r="S689" s="16" t="n"/>
    </row>
    <row r="690" ht="18" customHeight="1" s="43">
      <c r="B690" s="48" t="n"/>
      <c r="C690" s="7" t="inlineStr">
        <is>
          <t>59期</t>
        </is>
      </c>
      <c r="D690" s="12" t="n"/>
      <c r="E690" s="12" t="n"/>
      <c r="F690" s="12" t="n"/>
      <c r="G690" s="12" t="n"/>
      <c r="H690" s="12" t="n"/>
      <c r="I690" s="13" t="n"/>
      <c r="J690" s="14">
        <f>SUM(D690:I690)</f>
        <v/>
      </c>
      <c r="K690" s="15" t="n"/>
      <c r="L690" s="12" t="n"/>
      <c r="M690" s="12" t="n"/>
      <c r="N690" s="12" t="n"/>
      <c r="O690" s="12" t="n"/>
      <c r="P690" s="13" t="n"/>
      <c r="Q690" s="14">
        <f>SUM(K690:P690)</f>
        <v/>
      </c>
      <c r="R690" s="14">
        <f>J690+Q690</f>
        <v/>
      </c>
      <c r="S690" s="17" t="n"/>
    </row>
    <row r="691" ht="18" customHeight="1" s="43">
      <c r="B691" s="48" t="n"/>
      <c r="C691" s="23" t="inlineStr">
        <is>
          <t>増　減</t>
        </is>
      </c>
      <c r="D691" s="24">
        <f>D690-D689</f>
        <v/>
      </c>
      <c r="E691" s="24">
        <f>E690-E689</f>
        <v/>
      </c>
      <c r="F691" s="24">
        <f>F690-F689</f>
        <v/>
      </c>
      <c r="G691" s="24">
        <f>G690-G689</f>
        <v/>
      </c>
      <c r="H691" s="24">
        <f>H690-H689</f>
        <v/>
      </c>
      <c r="I691" s="27">
        <f>I690-I689</f>
        <v/>
      </c>
      <c r="J691" s="30">
        <f>SUM(D691:I691)</f>
        <v/>
      </c>
      <c r="K691" s="29">
        <f>K690-K689</f>
        <v/>
      </c>
      <c r="L691" s="24">
        <f>L690-L689</f>
        <v/>
      </c>
      <c r="M691" s="24">
        <f>M690-M689</f>
        <v/>
      </c>
      <c r="N691" s="24">
        <f>N690-N689</f>
        <v/>
      </c>
      <c r="O691" s="24">
        <f>O690-O689</f>
        <v/>
      </c>
      <c r="P691" s="27">
        <f>P690-P689</f>
        <v/>
      </c>
      <c r="Q691" s="30">
        <f>SUM(K691:P691)</f>
        <v/>
      </c>
      <c r="R691" s="30">
        <f>J691+Q691</f>
        <v/>
      </c>
      <c r="S691" s="17" t="n"/>
    </row>
    <row r="692" ht="18" customHeight="1" s="43" thickBot="1">
      <c r="B692" s="60" t="n"/>
      <c r="C692" s="25" t="inlineStr">
        <is>
          <t>稼働棟数</t>
        </is>
      </c>
      <c r="D692" s="20" t="n"/>
      <c r="E692" s="20" t="n"/>
      <c r="F692" s="20" t="n"/>
      <c r="G692" s="20" t="n"/>
      <c r="H692" s="20" t="n"/>
      <c r="I692" s="28" t="n"/>
      <c r="J692" s="21">
        <f>I692</f>
        <v/>
      </c>
      <c r="K692" s="22" t="n"/>
      <c r="L692" s="20" t="n"/>
      <c r="M692" s="20" t="n"/>
      <c r="N692" s="20" t="n"/>
      <c r="O692" s="20" t="n"/>
      <c r="P692" s="28" t="n"/>
      <c r="Q692" s="21">
        <f>P692</f>
        <v/>
      </c>
      <c r="R692" s="21">
        <f>Q692</f>
        <v/>
      </c>
      <c r="S692" s="18" t="n"/>
    </row>
    <row r="693" ht="18" customHeight="1" s="43">
      <c r="B693" s="59" t="inlineStr">
        <is>
          <t>岡部/パプリカ</t>
        </is>
      </c>
      <c r="C693" s="31" t="inlineStr">
        <is>
          <t>58期</t>
        </is>
      </c>
      <c r="D693" s="8" t="n"/>
      <c r="E693" s="8" t="n"/>
      <c r="F693" s="8" t="n"/>
      <c r="G693" s="8" t="n"/>
      <c r="H693" s="8" t="n"/>
      <c r="I693" s="9" t="n"/>
      <c r="J693" s="10">
        <f>SUM(D693:I693)</f>
        <v/>
      </c>
      <c r="K693" s="11" t="n"/>
      <c r="L693" s="8" t="n"/>
      <c r="M693" s="8" t="n"/>
      <c r="N693" s="8" t="n"/>
      <c r="O693" s="8" t="n"/>
      <c r="P693" s="9" t="n"/>
      <c r="Q693" s="10">
        <f>SUM(K693:P693)</f>
        <v/>
      </c>
      <c r="R693" s="10">
        <f>J693+Q693</f>
        <v/>
      </c>
      <c r="S693" s="16" t="n"/>
    </row>
    <row r="694" ht="18" customHeight="1" s="43">
      <c r="B694" s="48" t="n"/>
      <c r="C694" s="7" t="inlineStr">
        <is>
          <t>59期</t>
        </is>
      </c>
      <c r="D694" s="12" t="n"/>
      <c r="E694" s="12" t="n"/>
      <c r="F694" s="12" t="n"/>
      <c r="G694" s="12" t="n"/>
      <c r="H694" s="12" t="n"/>
      <c r="I694" s="13" t="n"/>
      <c r="J694" s="14">
        <f>SUM(D694:I694)</f>
        <v/>
      </c>
      <c r="K694" s="15" t="n"/>
      <c r="L694" s="12" t="n"/>
      <c r="M694" s="12" t="n"/>
      <c r="N694" s="12" t="n"/>
      <c r="O694" s="12" t="n"/>
      <c r="P694" s="13" t="n"/>
      <c r="Q694" s="14">
        <f>SUM(K694:P694)</f>
        <v/>
      </c>
      <c r="R694" s="14">
        <f>J694+Q694</f>
        <v/>
      </c>
      <c r="S694" s="17" t="n"/>
    </row>
    <row r="695" ht="18" customHeight="1" s="43">
      <c r="B695" s="48" t="n"/>
      <c r="C695" s="23" t="inlineStr">
        <is>
          <t>増　減</t>
        </is>
      </c>
      <c r="D695" s="24">
        <f>D694-D693</f>
        <v/>
      </c>
      <c r="E695" s="24">
        <f>E694-E693</f>
        <v/>
      </c>
      <c r="F695" s="24">
        <f>F694-F693</f>
        <v/>
      </c>
      <c r="G695" s="24">
        <f>G694-G693</f>
        <v/>
      </c>
      <c r="H695" s="24">
        <f>H694-H693</f>
        <v/>
      </c>
      <c r="I695" s="27">
        <f>I694-I693</f>
        <v/>
      </c>
      <c r="J695" s="30">
        <f>SUM(D695:I695)</f>
        <v/>
      </c>
      <c r="K695" s="29">
        <f>K694-K693</f>
        <v/>
      </c>
      <c r="L695" s="24">
        <f>L694-L693</f>
        <v/>
      </c>
      <c r="M695" s="24">
        <f>M694-M693</f>
        <v/>
      </c>
      <c r="N695" s="24">
        <f>N694-N693</f>
        <v/>
      </c>
      <c r="O695" s="24">
        <f>O694-O693</f>
        <v/>
      </c>
      <c r="P695" s="27">
        <f>P694-P693</f>
        <v/>
      </c>
      <c r="Q695" s="30">
        <f>SUM(K695:P695)</f>
        <v/>
      </c>
      <c r="R695" s="30">
        <f>J695+Q695</f>
        <v/>
      </c>
      <c r="S695" s="17" t="n"/>
    </row>
    <row r="696" ht="18" customHeight="1" s="43" thickBot="1">
      <c r="B696" s="60" t="n"/>
      <c r="C696" s="25" t="inlineStr">
        <is>
          <t>稼働棟数</t>
        </is>
      </c>
      <c r="D696" s="20" t="n"/>
      <c r="E696" s="20" t="n"/>
      <c r="F696" s="20" t="n"/>
      <c r="G696" s="20" t="n"/>
      <c r="H696" s="20" t="n"/>
      <c r="I696" s="28" t="n"/>
      <c r="J696" s="21">
        <f>I696</f>
        <v/>
      </c>
      <c r="K696" s="22" t="n"/>
      <c r="L696" s="20" t="n"/>
      <c r="M696" s="20" t="n"/>
      <c r="N696" s="20" t="n"/>
      <c r="O696" s="20" t="n"/>
      <c r="P696" s="28" t="n"/>
      <c r="Q696" s="21">
        <f>P696</f>
        <v/>
      </c>
      <c r="R696" s="21">
        <f>Q696</f>
        <v/>
      </c>
      <c r="S696" s="18" t="n"/>
    </row>
    <row r="697" ht="18" customHeight="1" s="43">
      <c r="B697" s="59" t="inlineStr">
        <is>
          <t>岡部/ピーマン</t>
        </is>
      </c>
      <c r="C697" s="31" t="inlineStr">
        <is>
          <t>58期</t>
        </is>
      </c>
      <c r="D697" s="8" t="n"/>
      <c r="E697" s="8" t="n"/>
      <c r="F697" s="8" t="n"/>
      <c r="G697" s="8" t="n"/>
      <c r="H697" s="8" t="n"/>
      <c r="I697" s="9" t="n"/>
      <c r="J697" s="10">
        <f>SUM(D697:I697)</f>
        <v/>
      </c>
      <c r="K697" s="11" t="n"/>
      <c r="L697" s="8" t="n"/>
      <c r="M697" s="8" t="n"/>
      <c r="N697" s="8" t="n"/>
      <c r="O697" s="8" t="n"/>
      <c r="P697" s="9" t="n"/>
      <c r="Q697" s="10">
        <f>SUM(K697:P697)</f>
        <v/>
      </c>
      <c r="R697" s="10">
        <f>J697+Q697</f>
        <v/>
      </c>
      <c r="S697" s="16" t="n"/>
    </row>
    <row r="698" ht="18" customHeight="1" s="43">
      <c r="B698" s="48" t="n"/>
      <c r="C698" s="7" t="inlineStr">
        <is>
          <t>59期</t>
        </is>
      </c>
      <c r="D698" s="12" t="n"/>
      <c r="E698" s="12" t="n"/>
      <c r="F698" s="12" t="n"/>
      <c r="G698" s="12" t="n"/>
      <c r="H698" s="12" t="n"/>
      <c r="I698" s="13" t="n"/>
      <c r="J698" s="14">
        <f>SUM(D698:I698)</f>
        <v/>
      </c>
      <c r="K698" s="15" t="n"/>
      <c r="L698" s="12" t="n"/>
      <c r="M698" s="12" t="n"/>
      <c r="N698" s="12" t="n"/>
      <c r="O698" s="12" t="n"/>
      <c r="P698" s="13" t="n"/>
      <c r="Q698" s="14">
        <f>SUM(K698:P698)</f>
        <v/>
      </c>
      <c r="R698" s="14">
        <f>J698+Q698</f>
        <v/>
      </c>
      <c r="S698" s="17" t="n"/>
    </row>
    <row r="699" ht="18" customHeight="1" s="43">
      <c r="B699" s="48" t="n"/>
      <c r="C699" s="23" t="inlineStr">
        <is>
          <t>増　減</t>
        </is>
      </c>
      <c r="D699" s="24">
        <f>D698-D697</f>
        <v/>
      </c>
      <c r="E699" s="24">
        <f>E698-E697</f>
        <v/>
      </c>
      <c r="F699" s="24">
        <f>F698-F697</f>
        <v/>
      </c>
      <c r="G699" s="24">
        <f>G698-G697</f>
        <v/>
      </c>
      <c r="H699" s="24">
        <f>H698-H697</f>
        <v/>
      </c>
      <c r="I699" s="27">
        <f>I698-I697</f>
        <v/>
      </c>
      <c r="J699" s="30">
        <f>SUM(D699:I699)</f>
        <v/>
      </c>
      <c r="K699" s="29">
        <f>K698-K697</f>
        <v/>
      </c>
      <c r="L699" s="24">
        <f>L698-L697</f>
        <v/>
      </c>
      <c r="M699" s="24">
        <f>M698-M697</f>
        <v/>
      </c>
      <c r="N699" s="24">
        <f>N698-N697</f>
        <v/>
      </c>
      <c r="O699" s="24">
        <f>O698-O697</f>
        <v/>
      </c>
      <c r="P699" s="27">
        <f>P698-P697</f>
        <v/>
      </c>
      <c r="Q699" s="30">
        <f>SUM(K699:P699)</f>
        <v/>
      </c>
      <c r="R699" s="30">
        <f>J699+Q699</f>
        <v/>
      </c>
      <c r="S699" s="17" t="n"/>
    </row>
    <row r="700" ht="18" customHeight="1" s="43" thickBot="1">
      <c r="B700" s="60" t="n"/>
      <c r="C700" s="25" t="inlineStr">
        <is>
          <t>稼働棟数</t>
        </is>
      </c>
      <c r="D700" s="20" t="n"/>
      <c r="E700" s="20" t="n"/>
      <c r="F700" s="20" t="n"/>
      <c r="G700" s="20" t="n"/>
      <c r="H700" s="20" t="n"/>
      <c r="I700" s="28" t="n"/>
      <c r="J700" s="21">
        <f>I700</f>
        <v/>
      </c>
      <c r="K700" s="22" t="n"/>
      <c r="L700" s="20" t="n"/>
      <c r="M700" s="20" t="n"/>
      <c r="N700" s="20" t="n"/>
      <c r="O700" s="20" t="n"/>
      <c r="P700" s="28" t="n"/>
      <c r="Q700" s="21">
        <f>P700</f>
        <v/>
      </c>
      <c r="R700" s="21">
        <f>Q700</f>
        <v/>
      </c>
      <c r="S700" s="18" t="n"/>
    </row>
    <row r="701" ht="18" customHeight="1" s="43">
      <c r="B701" s="59" t="inlineStr">
        <is>
          <t>岡部/マイクロ</t>
        </is>
      </c>
      <c r="C701" s="31" t="inlineStr">
        <is>
          <t>58期</t>
        </is>
      </c>
      <c r="D701" s="8" t="n"/>
      <c r="E701" s="8" t="n"/>
      <c r="F701" s="8" t="n"/>
      <c r="G701" s="8" t="n"/>
      <c r="H701" s="8" t="n"/>
      <c r="I701" s="9" t="n"/>
      <c r="J701" s="10">
        <f>SUM(D701:I701)</f>
        <v/>
      </c>
      <c r="K701" s="11" t="n"/>
      <c r="L701" s="8" t="n"/>
      <c r="M701" s="8" t="n"/>
      <c r="N701" s="8" t="n"/>
      <c r="O701" s="8" t="n"/>
      <c r="P701" s="9" t="n"/>
      <c r="Q701" s="10">
        <f>SUM(K701:P701)</f>
        <v/>
      </c>
      <c r="R701" s="10">
        <f>J701+Q701</f>
        <v/>
      </c>
      <c r="S701" s="16" t="n"/>
    </row>
    <row r="702" ht="18" customHeight="1" s="43">
      <c r="B702" s="48" t="n"/>
      <c r="C702" s="7" t="inlineStr">
        <is>
          <t>59期</t>
        </is>
      </c>
      <c r="D702" s="12" t="n"/>
      <c r="E702" s="12" t="n"/>
      <c r="F702" s="12" t="n"/>
      <c r="G702" s="12" t="n"/>
      <c r="H702" s="12" t="n"/>
      <c r="I702" s="13" t="n"/>
      <c r="J702" s="14">
        <f>SUM(D702:I702)</f>
        <v/>
      </c>
      <c r="K702" s="15" t="n"/>
      <c r="L702" s="12" t="n"/>
      <c r="M702" s="12" t="n"/>
      <c r="N702" s="12" t="n"/>
      <c r="O702" s="12" t="n"/>
      <c r="P702" s="13" t="n"/>
      <c r="Q702" s="14">
        <f>SUM(K702:P702)</f>
        <v/>
      </c>
      <c r="R702" s="14">
        <f>J702+Q702</f>
        <v/>
      </c>
      <c r="S702" s="17" t="n"/>
    </row>
    <row r="703" ht="18" customHeight="1" s="43">
      <c r="B703" s="48" t="n"/>
      <c r="C703" s="23" t="inlineStr">
        <is>
          <t>増　減</t>
        </is>
      </c>
      <c r="D703" s="24">
        <f>D702-D701</f>
        <v/>
      </c>
      <c r="E703" s="24">
        <f>E702-E701</f>
        <v/>
      </c>
      <c r="F703" s="24">
        <f>F702-F701</f>
        <v/>
      </c>
      <c r="G703" s="24">
        <f>G702-G701</f>
        <v/>
      </c>
      <c r="H703" s="24">
        <f>H702-H701</f>
        <v/>
      </c>
      <c r="I703" s="27">
        <f>I702-I701</f>
        <v/>
      </c>
      <c r="J703" s="30">
        <f>SUM(D703:I703)</f>
        <v/>
      </c>
      <c r="K703" s="29">
        <f>K702-K701</f>
        <v/>
      </c>
      <c r="L703" s="24">
        <f>L702-L701</f>
        <v/>
      </c>
      <c r="M703" s="24">
        <f>M702-M701</f>
        <v/>
      </c>
      <c r="N703" s="24">
        <f>N702-N701</f>
        <v/>
      </c>
      <c r="O703" s="24">
        <f>O702-O701</f>
        <v/>
      </c>
      <c r="P703" s="27">
        <f>P702-P701</f>
        <v/>
      </c>
      <c r="Q703" s="30">
        <f>SUM(K703:P703)</f>
        <v/>
      </c>
      <c r="R703" s="30">
        <f>J703+Q703</f>
        <v/>
      </c>
      <c r="S703" s="17" t="n"/>
    </row>
    <row r="704" ht="18" customHeight="1" s="43" thickBot="1">
      <c r="B704" s="60" t="n"/>
      <c r="C704" s="25" t="inlineStr">
        <is>
          <t>稼働棟数</t>
        </is>
      </c>
      <c r="D704" s="20" t="n"/>
      <c r="E704" s="20" t="n"/>
      <c r="F704" s="20" t="n"/>
      <c r="G704" s="20" t="n"/>
      <c r="H704" s="20" t="n"/>
      <c r="I704" s="28" t="n"/>
      <c r="J704" s="21">
        <f>I704</f>
        <v/>
      </c>
      <c r="K704" s="22" t="n"/>
      <c r="L704" s="20" t="n"/>
      <c r="M704" s="20" t="n"/>
      <c r="N704" s="20" t="n"/>
      <c r="O704" s="20" t="n"/>
      <c r="P704" s="28" t="n"/>
      <c r="Q704" s="21">
        <f>P704</f>
        <v/>
      </c>
      <c r="R704" s="21">
        <f>Q704</f>
        <v/>
      </c>
      <c r="S704" s="18" t="n"/>
    </row>
    <row r="705" ht="18" customHeight="1" s="43">
      <c r="B705" s="59" t="inlineStr">
        <is>
          <t>岡部/ミニトマト</t>
        </is>
      </c>
      <c r="C705" s="31" t="inlineStr">
        <is>
          <t>58期</t>
        </is>
      </c>
      <c r="D705" s="8" t="n"/>
      <c r="E705" s="8" t="n"/>
      <c r="F705" s="8" t="n"/>
      <c r="G705" s="8" t="n"/>
      <c r="H705" s="8" t="n"/>
      <c r="I705" s="9" t="n"/>
      <c r="J705" s="10">
        <f>SUM(D705:I705)</f>
        <v/>
      </c>
      <c r="K705" s="11" t="n"/>
      <c r="L705" s="8" t="n"/>
      <c r="M705" s="8" t="n"/>
      <c r="N705" s="8" t="n"/>
      <c r="O705" s="8" t="n"/>
      <c r="P705" s="9" t="n"/>
      <c r="Q705" s="10">
        <f>SUM(K705:P705)</f>
        <v/>
      </c>
      <c r="R705" s="10">
        <f>J705+Q705</f>
        <v/>
      </c>
      <c r="S705" s="16" t="n"/>
    </row>
    <row r="706" ht="18" customHeight="1" s="43">
      <c r="B706" s="48" t="n"/>
      <c r="C706" s="7" t="inlineStr">
        <is>
          <t>59期</t>
        </is>
      </c>
      <c r="D706" s="12" t="n"/>
      <c r="E706" s="12" t="n"/>
      <c r="F706" s="12" t="n"/>
      <c r="G706" s="12" t="n"/>
      <c r="H706" s="12" t="n"/>
      <c r="I706" s="13" t="n"/>
      <c r="J706" s="14">
        <f>SUM(D706:I706)</f>
        <v/>
      </c>
      <c r="K706" s="15" t="n"/>
      <c r="L706" s="12" t="n"/>
      <c r="M706" s="12" t="n"/>
      <c r="N706" s="12" t="n"/>
      <c r="O706" s="12" t="n"/>
      <c r="P706" s="13" t="n"/>
      <c r="Q706" s="14">
        <f>SUM(K706:P706)</f>
        <v/>
      </c>
      <c r="R706" s="14">
        <f>J706+Q706</f>
        <v/>
      </c>
      <c r="S706" s="17" t="n"/>
    </row>
    <row r="707" ht="18" customHeight="1" s="43">
      <c r="B707" s="48" t="n"/>
      <c r="C707" s="23" t="inlineStr">
        <is>
          <t>増　減</t>
        </is>
      </c>
      <c r="D707" s="24">
        <f>D706-D705</f>
        <v/>
      </c>
      <c r="E707" s="24">
        <f>E706-E705</f>
        <v/>
      </c>
      <c r="F707" s="24">
        <f>F706-F705</f>
        <v/>
      </c>
      <c r="G707" s="24">
        <f>G706-G705</f>
        <v/>
      </c>
      <c r="H707" s="24">
        <f>H706-H705</f>
        <v/>
      </c>
      <c r="I707" s="27">
        <f>I706-I705</f>
        <v/>
      </c>
      <c r="J707" s="30">
        <f>SUM(D707:I707)</f>
        <v/>
      </c>
      <c r="K707" s="29">
        <f>K706-K705</f>
        <v/>
      </c>
      <c r="L707" s="24">
        <f>L706-L705</f>
        <v/>
      </c>
      <c r="M707" s="24">
        <f>M706-M705</f>
        <v/>
      </c>
      <c r="N707" s="24">
        <f>N706-N705</f>
        <v/>
      </c>
      <c r="O707" s="24">
        <f>O706-O705</f>
        <v/>
      </c>
      <c r="P707" s="27">
        <f>P706-P705</f>
        <v/>
      </c>
      <c r="Q707" s="30">
        <f>SUM(K707:P707)</f>
        <v/>
      </c>
      <c r="R707" s="30">
        <f>J707+Q707</f>
        <v/>
      </c>
      <c r="S707" s="17" t="n"/>
    </row>
    <row r="708" ht="18" customHeight="1" s="43" thickBot="1">
      <c r="B708" s="60" t="n"/>
      <c r="C708" s="25" t="inlineStr">
        <is>
          <t>稼働棟数</t>
        </is>
      </c>
      <c r="D708" s="20" t="n"/>
      <c r="E708" s="20" t="n"/>
      <c r="F708" s="20" t="n"/>
      <c r="G708" s="20" t="n"/>
      <c r="H708" s="20" t="n"/>
      <c r="I708" s="28" t="n"/>
      <c r="J708" s="21">
        <f>I708</f>
        <v/>
      </c>
      <c r="K708" s="22" t="n"/>
      <c r="L708" s="20" t="n"/>
      <c r="M708" s="20" t="n"/>
      <c r="N708" s="20" t="n"/>
      <c r="O708" s="20" t="n"/>
      <c r="P708" s="28" t="n"/>
      <c r="Q708" s="21">
        <f>P708</f>
        <v/>
      </c>
      <c r="R708" s="21">
        <f>Q708</f>
        <v/>
      </c>
      <c r="S708" s="18" t="n"/>
    </row>
    <row r="709" ht="18" customHeight="1" s="43">
      <c r="B709" s="59" t="inlineStr">
        <is>
          <t>岡部/根物野菜</t>
        </is>
      </c>
      <c r="C709" s="31" t="inlineStr">
        <is>
          <t>58期</t>
        </is>
      </c>
      <c r="D709" s="8" t="n"/>
      <c r="E709" s="8" t="n"/>
      <c r="F709" s="8" t="n"/>
      <c r="G709" s="8" t="n"/>
      <c r="H709" s="8" t="n"/>
      <c r="I709" s="9" t="n"/>
      <c r="J709" s="10">
        <f>SUM(D709:I709)</f>
        <v/>
      </c>
      <c r="K709" s="11" t="n"/>
      <c r="L709" s="8" t="n"/>
      <c r="M709" s="8" t="n"/>
      <c r="N709" s="8" t="n"/>
      <c r="O709" s="8" t="n"/>
      <c r="P709" s="9" t="n"/>
      <c r="Q709" s="10">
        <f>SUM(K709:P709)</f>
        <v/>
      </c>
      <c r="R709" s="10">
        <f>J709+Q709</f>
        <v/>
      </c>
      <c r="S709" s="16" t="n"/>
    </row>
    <row r="710" ht="18" customHeight="1" s="43">
      <c r="B710" s="48" t="n"/>
      <c r="C710" s="7" t="inlineStr">
        <is>
          <t>59期</t>
        </is>
      </c>
      <c r="D710" s="12" t="n"/>
      <c r="E710" s="12" t="n"/>
      <c r="F710" s="12" t="n"/>
      <c r="G710" s="12" t="n"/>
      <c r="H710" s="12" t="n"/>
      <c r="I710" s="13" t="n"/>
      <c r="J710" s="14">
        <f>SUM(D710:I710)</f>
        <v/>
      </c>
      <c r="K710" s="15" t="n"/>
      <c r="L710" s="12" t="n"/>
      <c r="M710" s="12" t="n"/>
      <c r="N710" s="12" t="n"/>
      <c r="O710" s="12" t="n"/>
      <c r="P710" s="13" t="n"/>
      <c r="Q710" s="14">
        <f>SUM(K710:P710)</f>
        <v/>
      </c>
      <c r="R710" s="14">
        <f>J710+Q710</f>
        <v/>
      </c>
      <c r="S710" s="17" t="n"/>
    </row>
    <row r="711" ht="18" customHeight="1" s="43">
      <c r="B711" s="48" t="n"/>
      <c r="C711" s="23" t="inlineStr">
        <is>
          <t>増　減</t>
        </is>
      </c>
      <c r="D711" s="24">
        <f>D710-D709</f>
        <v/>
      </c>
      <c r="E711" s="24">
        <f>E710-E709</f>
        <v/>
      </c>
      <c r="F711" s="24">
        <f>F710-F709</f>
        <v/>
      </c>
      <c r="G711" s="24">
        <f>G710-G709</f>
        <v/>
      </c>
      <c r="H711" s="24">
        <f>H710-H709</f>
        <v/>
      </c>
      <c r="I711" s="27">
        <f>I710-I709</f>
        <v/>
      </c>
      <c r="J711" s="30">
        <f>SUM(D711:I711)</f>
        <v/>
      </c>
      <c r="K711" s="29">
        <f>K710-K709</f>
        <v/>
      </c>
      <c r="L711" s="24">
        <f>L710-L709</f>
        <v/>
      </c>
      <c r="M711" s="24">
        <f>M710-M709</f>
        <v/>
      </c>
      <c r="N711" s="24">
        <f>N710-N709</f>
        <v/>
      </c>
      <c r="O711" s="24">
        <f>O710-O709</f>
        <v/>
      </c>
      <c r="P711" s="27">
        <f>P710-P709</f>
        <v/>
      </c>
      <c r="Q711" s="30">
        <f>SUM(K711:P711)</f>
        <v/>
      </c>
      <c r="R711" s="30">
        <f>J711+Q711</f>
        <v/>
      </c>
      <c r="S711" s="17" t="n"/>
    </row>
    <row r="712" ht="18" customHeight="1" s="43" thickBot="1">
      <c r="B712" s="60" t="n"/>
      <c r="C712" s="25" t="inlineStr">
        <is>
          <t>稼働棟数</t>
        </is>
      </c>
      <c r="D712" s="20" t="n"/>
      <c r="E712" s="20" t="n"/>
      <c r="F712" s="20" t="n"/>
      <c r="G712" s="20" t="n"/>
      <c r="H712" s="20" t="n"/>
      <c r="I712" s="28" t="n"/>
      <c r="J712" s="21">
        <f>I712</f>
        <v/>
      </c>
      <c r="K712" s="22" t="n"/>
      <c r="L712" s="20" t="n"/>
      <c r="M712" s="20" t="n"/>
      <c r="N712" s="20" t="n"/>
      <c r="O712" s="20" t="n"/>
      <c r="P712" s="28" t="n"/>
      <c r="Q712" s="21">
        <f>P712</f>
        <v/>
      </c>
      <c r="R712" s="21">
        <f>Q712</f>
        <v/>
      </c>
      <c r="S712" s="18" t="n"/>
    </row>
    <row r="713" ht="18" customHeight="1" s="43">
      <c r="B713" s="59" t="inlineStr">
        <is>
          <t>岡部/実物野菜</t>
        </is>
      </c>
      <c r="C713" s="31" t="inlineStr">
        <is>
          <t>58期</t>
        </is>
      </c>
      <c r="D713" s="8" t="n"/>
      <c r="E713" s="8" t="n"/>
      <c r="F713" s="8" t="n"/>
      <c r="G713" s="8" t="n"/>
      <c r="H713" s="8" t="n"/>
      <c r="I713" s="9" t="n"/>
      <c r="J713" s="10">
        <f>SUM(D713:I713)</f>
        <v/>
      </c>
      <c r="K713" s="11" t="n"/>
      <c r="L713" s="8" t="n"/>
      <c r="M713" s="8" t="n"/>
      <c r="N713" s="8" t="n"/>
      <c r="O713" s="8" t="n"/>
      <c r="P713" s="9" t="n"/>
      <c r="Q713" s="10">
        <f>SUM(K713:P713)</f>
        <v/>
      </c>
      <c r="R713" s="10">
        <f>J713+Q713</f>
        <v/>
      </c>
      <c r="S713" s="16" t="n"/>
    </row>
    <row r="714" ht="18" customHeight="1" s="43">
      <c r="B714" s="48" t="n"/>
      <c r="C714" s="7" t="inlineStr">
        <is>
          <t>59期</t>
        </is>
      </c>
      <c r="D714" s="12" t="n"/>
      <c r="E714" s="12" t="n"/>
      <c r="F714" s="12" t="n"/>
      <c r="G714" s="12" t="n"/>
      <c r="H714" s="12" t="n"/>
      <c r="I714" s="13" t="n"/>
      <c r="J714" s="14">
        <f>SUM(D714:I714)</f>
        <v/>
      </c>
      <c r="K714" s="15" t="n"/>
      <c r="L714" s="12" t="n"/>
      <c r="M714" s="12" t="n"/>
      <c r="N714" s="12" t="n"/>
      <c r="O714" s="12" t="n"/>
      <c r="P714" s="13" t="n"/>
      <c r="Q714" s="14">
        <f>SUM(K714:P714)</f>
        <v/>
      </c>
      <c r="R714" s="14">
        <f>J714+Q714</f>
        <v/>
      </c>
      <c r="S714" s="17" t="n"/>
    </row>
    <row r="715" ht="18" customHeight="1" s="43">
      <c r="B715" s="48" t="n"/>
      <c r="C715" s="23" t="inlineStr">
        <is>
          <t>増　減</t>
        </is>
      </c>
      <c r="D715" s="24">
        <f>D714-D713</f>
        <v/>
      </c>
      <c r="E715" s="24">
        <f>E714-E713</f>
        <v/>
      </c>
      <c r="F715" s="24">
        <f>F714-F713</f>
        <v/>
      </c>
      <c r="G715" s="24">
        <f>G714-G713</f>
        <v/>
      </c>
      <c r="H715" s="24">
        <f>H714-H713</f>
        <v/>
      </c>
      <c r="I715" s="27">
        <f>I714-I713</f>
        <v/>
      </c>
      <c r="J715" s="30">
        <f>SUM(D715:I715)</f>
        <v/>
      </c>
      <c r="K715" s="29">
        <f>K714-K713</f>
        <v/>
      </c>
      <c r="L715" s="24">
        <f>L714-L713</f>
        <v/>
      </c>
      <c r="M715" s="24">
        <f>M714-M713</f>
        <v/>
      </c>
      <c r="N715" s="24">
        <f>N714-N713</f>
        <v/>
      </c>
      <c r="O715" s="24">
        <f>O714-O713</f>
        <v/>
      </c>
      <c r="P715" s="27">
        <f>P714-P713</f>
        <v/>
      </c>
      <c r="Q715" s="30">
        <f>SUM(K715:P715)</f>
        <v/>
      </c>
      <c r="R715" s="30">
        <f>J715+Q715</f>
        <v/>
      </c>
      <c r="S715" s="17" t="n"/>
    </row>
    <row r="716" ht="18" customHeight="1" s="43" thickBot="1">
      <c r="B716" s="60" t="n"/>
      <c r="C716" s="25" t="inlineStr">
        <is>
          <t>稼働棟数</t>
        </is>
      </c>
      <c r="D716" s="20" t="n"/>
      <c r="E716" s="20" t="n"/>
      <c r="F716" s="20" t="n"/>
      <c r="G716" s="20" t="n"/>
      <c r="H716" s="20" t="n"/>
      <c r="I716" s="28" t="n"/>
      <c r="J716" s="21">
        <f>I716</f>
        <v/>
      </c>
      <c r="K716" s="22" t="n"/>
      <c r="L716" s="20" t="n"/>
      <c r="M716" s="20" t="n"/>
      <c r="N716" s="20" t="n"/>
      <c r="O716" s="20" t="n"/>
      <c r="P716" s="28" t="n"/>
      <c r="Q716" s="21">
        <f>P716</f>
        <v/>
      </c>
      <c r="R716" s="21">
        <f>Q716</f>
        <v/>
      </c>
      <c r="S716" s="18" t="n"/>
    </row>
    <row r="717" ht="18" customHeight="1" s="43">
      <c r="B717" s="59" t="inlineStr">
        <is>
          <t>岡部/食用花</t>
        </is>
      </c>
      <c r="C717" s="31" t="inlineStr">
        <is>
          <t>58期</t>
        </is>
      </c>
      <c r="D717" s="8" t="n"/>
      <c r="E717" s="8" t="n"/>
      <c r="F717" s="8" t="n"/>
      <c r="G717" s="8" t="n"/>
      <c r="H717" s="8" t="n"/>
      <c r="I717" s="9" t="n"/>
      <c r="J717" s="10">
        <f>SUM(D717:I717)</f>
        <v/>
      </c>
      <c r="K717" s="11" t="n"/>
      <c r="L717" s="8" t="n"/>
      <c r="M717" s="8" t="n"/>
      <c r="N717" s="8" t="n"/>
      <c r="O717" s="8" t="n"/>
      <c r="P717" s="9" t="n"/>
      <c r="Q717" s="10">
        <f>SUM(K717:P717)</f>
        <v/>
      </c>
      <c r="R717" s="10">
        <f>J717+Q717</f>
        <v/>
      </c>
      <c r="S717" s="16" t="n"/>
    </row>
    <row r="718" ht="18" customHeight="1" s="43">
      <c r="B718" s="48" t="n"/>
      <c r="C718" s="7" t="inlineStr">
        <is>
          <t>59期</t>
        </is>
      </c>
      <c r="D718" s="12" t="n"/>
      <c r="E718" s="12" t="n"/>
      <c r="F718" s="12" t="n"/>
      <c r="G718" s="12" t="n"/>
      <c r="H718" s="12" t="n"/>
      <c r="I718" s="13" t="n"/>
      <c r="J718" s="14">
        <f>SUM(D718:I718)</f>
        <v/>
      </c>
      <c r="K718" s="15" t="n"/>
      <c r="L718" s="12" t="n"/>
      <c r="M718" s="12" t="n"/>
      <c r="N718" s="12" t="n"/>
      <c r="O718" s="12" t="n"/>
      <c r="P718" s="13" t="n"/>
      <c r="Q718" s="14">
        <f>SUM(K718:P718)</f>
        <v/>
      </c>
      <c r="R718" s="14">
        <f>J718+Q718</f>
        <v/>
      </c>
      <c r="S718" s="17" t="n"/>
    </row>
    <row r="719" ht="18" customHeight="1" s="43">
      <c r="B719" s="48" t="n"/>
      <c r="C719" s="23" t="inlineStr">
        <is>
          <t>増　減</t>
        </is>
      </c>
      <c r="D719" s="24">
        <f>D718-D717</f>
        <v/>
      </c>
      <c r="E719" s="24">
        <f>E718-E717</f>
        <v/>
      </c>
      <c r="F719" s="24">
        <f>F718-F717</f>
        <v/>
      </c>
      <c r="G719" s="24">
        <f>G718-G717</f>
        <v/>
      </c>
      <c r="H719" s="24">
        <f>H718-H717</f>
        <v/>
      </c>
      <c r="I719" s="27">
        <f>I718-I717</f>
        <v/>
      </c>
      <c r="J719" s="30">
        <f>SUM(D719:I719)</f>
        <v/>
      </c>
      <c r="K719" s="29">
        <f>K718-K717</f>
        <v/>
      </c>
      <c r="L719" s="24">
        <f>L718-L717</f>
        <v/>
      </c>
      <c r="M719" s="24">
        <f>M718-M717</f>
        <v/>
      </c>
      <c r="N719" s="24">
        <f>N718-N717</f>
        <v/>
      </c>
      <c r="O719" s="24">
        <f>O718-O717</f>
        <v/>
      </c>
      <c r="P719" s="27">
        <f>P718-P717</f>
        <v/>
      </c>
      <c r="Q719" s="30">
        <f>SUM(K719:P719)</f>
        <v/>
      </c>
      <c r="R719" s="30">
        <f>J719+Q719</f>
        <v/>
      </c>
      <c r="S719" s="17" t="n"/>
    </row>
    <row r="720" ht="18" customHeight="1" s="43" thickBot="1">
      <c r="B720" s="60" t="n"/>
      <c r="C720" s="25" t="inlineStr">
        <is>
          <t>稼働棟数</t>
        </is>
      </c>
      <c r="D720" s="20" t="n"/>
      <c r="E720" s="20" t="n"/>
      <c r="F720" s="20" t="n"/>
      <c r="G720" s="20" t="n"/>
      <c r="H720" s="20" t="n"/>
      <c r="I720" s="28" t="n"/>
      <c r="J720" s="21">
        <f>I720</f>
        <v/>
      </c>
      <c r="K720" s="22" t="n"/>
      <c r="L720" s="20" t="n"/>
      <c r="M720" s="20" t="n"/>
      <c r="N720" s="20" t="n"/>
      <c r="O720" s="20" t="n"/>
      <c r="P720" s="28" t="n"/>
      <c r="Q720" s="21">
        <f>P720</f>
        <v/>
      </c>
      <c r="R720" s="21">
        <f>Q720</f>
        <v/>
      </c>
      <c r="S720" s="18" t="n"/>
    </row>
    <row r="721" ht="18" customHeight="1" s="43">
      <c r="B721" s="59" t="inlineStr">
        <is>
          <t>岡部/葉物野菜</t>
        </is>
      </c>
      <c r="C721" s="31" t="inlineStr">
        <is>
          <t>58期</t>
        </is>
      </c>
      <c r="D721" s="8" t="n"/>
      <c r="E721" s="8" t="n"/>
      <c r="F721" s="8" t="n"/>
      <c r="G721" s="8" t="n"/>
      <c r="H721" s="8" t="n"/>
      <c r="I721" s="9" t="n"/>
      <c r="J721" s="10">
        <f>SUM(D721:I721)</f>
        <v/>
      </c>
      <c r="K721" s="11" t="n"/>
      <c r="L721" s="8" t="n"/>
      <c r="M721" s="8" t="n"/>
      <c r="N721" s="8" t="n"/>
      <c r="O721" s="8" t="n"/>
      <c r="P721" s="9" t="n"/>
      <c r="Q721" s="10">
        <f>SUM(K721:P721)</f>
        <v/>
      </c>
      <c r="R721" s="10">
        <f>J721+Q721</f>
        <v/>
      </c>
      <c r="S721" s="16" t="n"/>
    </row>
    <row r="722" ht="18" customHeight="1" s="43">
      <c r="B722" s="48" t="n"/>
      <c r="C722" s="7" t="inlineStr">
        <is>
          <t>59期</t>
        </is>
      </c>
      <c r="D722" s="12" t="n"/>
      <c r="E722" s="12" t="n"/>
      <c r="F722" s="12" t="n"/>
      <c r="G722" s="12" t="n"/>
      <c r="H722" s="12" t="n"/>
      <c r="I722" s="13" t="n"/>
      <c r="J722" s="14">
        <f>SUM(D722:I722)</f>
        <v/>
      </c>
      <c r="K722" s="15" t="n"/>
      <c r="L722" s="12" t="n"/>
      <c r="M722" s="12" t="n"/>
      <c r="N722" s="12" t="n"/>
      <c r="O722" s="12" t="n"/>
      <c r="P722" s="13" t="n"/>
      <c r="Q722" s="14">
        <f>SUM(K722:P722)</f>
        <v/>
      </c>
      <c r="R722" s="14">
        <f>J722+Q722</f>
        <v/>
      </c>
      <c r="S722" s="17" t="n"/>
    </row>
    <row r="723" ht="18" customHeight="1" s="43">
      <c r="B723" s="48" t="n"/>
      <c r="C723" s="23" t="inlineStr">
        <is>
          <t>増　減</t>
        </is>
      </c>
      <c r="D723" s="24">
        <f>D722-D721</f>
        <v/>
      </c>
      <c r="E723" s="24">
        <f>E722-E721</f>
        <v/>
      </c>
      <c r="F723" s="24">
        <f>F722-F721</f>
        <v/>
      </c>
      <c r="G723" s="24">
        <f>G722-G721</f>
        <v/>
      </c>
      <c r="H723" s="24">
        <f>H722-H721</f>
        <v/>
      </c>
      <c r="I723" s="27">
        <f>I722-I721</f>
        <v/>
      </c>
      <c r="J723" s="30">
        <f>SUM(D723:I723)</f>
        <v/>
      </c>
      <c r="K723" s="29">
        <f>K722-K721</f>
        <v/>
      </c>
      <c r="L723" s="24">
        <f>L722-L721</f>
        <v/>
      </c>
      <c r="M723" s="24">
        <f>M722-M721</f>
        <v/>
      </c>
      <c r="N723" s="24">
        <f>N722-N721</f>
        <v/>
      </c>
      <c r="O723" s="24">
        <f>O722-O721</f>
        <v/>
      </c>
      <c r="P723" s="27">
        <f>P722-P721</f>
        <v/>
      </c>
      <c r="Q723" s="30">
        <f>SUM(K723:P723)</f>
        <v/>
      </c>
      <c r="R723" s="30">
        <f>J723+Q723</f>
        <v/>
      </c>
      <c r="S723" s="17" t="n"/>
    </row>
    <row r="724" ht="18" customHeight="1" s="43" thickBot="1">
      <c r="B724" s="60" t="n"/>
      <c r="C724" s="25" t="inlineStr">
        <is>
          <t>稼働棟数</t>
        </is>
      </c>
      <c r="D724" s="20" t="n"/>
      <c r="E724" s="20" t="n"/>
      <c r="F724" s="20" t="n"/>
      <c r="G724" s="20" t="n"/>
      <c r="H724" s="20" t="n"/>
      <c r="I724" s="28" t="n"/>
      <c r="J724" s="21">
        <f>I724</f>
        <v/>
      </c>
      <c r="K724" s="22" t="n"/>
      <c r="L724" s="20" t="n"/>
      <c r="M724" s="20" t="n"/>
      <c r="N724" s="20" t="n"/>
      <c r="O724" s="20" t="n"/>
      <c r="P724" s="28" t="n"/>
      <c r="Q724" s="21">
        <f>P724</f>
        <v/>
      </c>
      <c r="R724" s="21">
        <f>Q724</f>
        <v/>
      </c>
      <c r="S724" s="18" t="n"/>
    </row>
    <row r="725" ht="18" customHeight="1" s="43">
      <c r="B725" s="59" t="inlineStr">
        <is>
          <t>三和/イチゴ</t>
        </is>
      </c>
      <c r="C725" s="31" t="inlineStr">
        <is>
          <t>58期</t>
        </is>
      </c>
      <c r="D725" s="8" t="n"/>
      <c r="E725" s="8" t="n"/>
      <c r="F725" s="8" t="n"/>
      <c r="G725" s="8" t="n">
        <v>0.52</v>
      </c>
      <c r="H725" s="8" t="n"/>
      <c r="I725" s="9" t="n"/>
      <c r="J725" s="10" t="n">
        <v>0.52</v>
      </c>
      <c r="K725" s="11" t="n"/>
      <c r="L725" s="8" t="n"/>
      <c r="M725" s="8" t="n"/>
      <c r="N725" s="8" t="n"/>
      <c r="O725" s="8" t="n"/>
      <c r="P725" s="9" t="n"/>
      <c r="Q725" s="10" t="n">
        <v>0</v>
      </c>
      <c r="R725" s="10" t="n">
        <v>0.52</v>
      </c>
      <c r="S725" s="16" t="n"/>
    </row>
    <row r="726" ht="18" customHeight="1" s="43">
      <c r="B726" s="48" t="n"/>
      <c r="C726" s="7" t="inlineStr">
        <is>
          <t>59期</t>
        </is>
      </c>
      <c r="D726" s="12" t="n"/>
      <c r="E726" s="12" t="n"/>
      <c r="F726" s="12" t="n"/>
      <c r="G726" s="12" t="n"/>
      <c r="H726" s="12" t="n"/>
      <c r="I726" s="13" t="n"/>
      <c r="J726" s="14">
        <f>SUM(D726:I726)</f>
        <v/>
      </c>
      <c r="K726" s="15" t="n"/>
      <c r="L726" s="12" t="n"/>
      <c r="M726" s="12" t="n"/>
      <c r="N726" s="12" t="n"/>
      <c r="O726" s="12" t="n"/>
      <c r="P726" s="13" t="n"/>
      <c r="Q726" s="14">
        <f>SUM(K726:P726)</f>
        <v/>
      </c>
      <c r="R726" s="14">
        <f>J726+Q726</f>
        <v/>
      </c>
      <c r="S726" s="17" t="n"/>
    </row>
    <row r="727" ht="18" customHeight="1" s="43">
      <c r="B727" s="48" t="n"/>
      <c r="C727" s="23" t="inlineStr">
        <is>
          <t>増　減</t>
        </is>
      </c>
      <c r="D727" s="24">
        <f>D726-D725</f>
        <v/>
      </c>
      <c r="E727" s="24">
        <f>E726-E725</f>
        <v/>
      </c>
      <c r="F727" s="24">
        <f>F726-F725</f>
        <v/>
      </c>
      <c r="G727" s="24">
        <f>G726-G725</f>
        <v/>
      </c>
      <c r="H727" s="24">
        <f>H726-H725</f>
        <v/>
      </c>
      <c r="I727" s="27">
        <f>I726-I725</f>
        <v/>
      </c>
      <c r="J727" s="30">
        <f>SUM(D727:I727)</f>
        <v/>
      </c>
      <c r="K727" s="29">
        <f>K726-K725</f>
        <v/>
      </c>
      <c r="L727" s="24">
        <f>L726-L725</f>
        <v/>
      </c>
      <c r="M727" s="24">
        <f>M726-M725</f>
        <v/>
      </c>
      <c r="N727" s="24">
        <f>N726-N725</f>
        <v/>
      </c>
      <c r="O727" s="24">
        <f>O726-O725</f>
        <v/>
      </c>
      <c r="P727" s="27">
        <f>P726-P725</f>
        <v/>
      </c>
      <c r="Q727" s="30">
        <f>SUM(K727:P727)</f>
        <v/>
      </c>
      <c r="R727" s="30">
        <f>J727+Q727</f>
        <v/>
      </c>
      <c r="S727" s="17" t="n"/>
    </row>
    <row r="728" ht="18" customHeight="1" s="43" thickBot="1">
      <c r="B728" s="60" t="n"/>
      <c r="C728" s="25" t="inlineStr">
        <is>
          <t>稼働棟数</t>
        </is>
      </c>
      <c r="D728" s="20" t="n"/>
      <c r="E728" s="20" t="n"/>
      <c r="F728" s="20" t="n"/>
      <c r="G728" s="20" t="n"/>
      <c r="H728" s="20" t="n"/>
      <c r="I728" s="28" t="n"/>
      <c r="J728" s="21">
        <f>I728</f>
        <v/>
      </c>
      <c r="K728" s="22" t="n"/>
      <c r="L728" s="20" t="n"/>
      <c r="M728" s="20" t="n"/>
      <c r="N728" s="20" t="n"/>
      <c r="O728" s="20" t="n"/>
      <c r="P728" s="28" t="n"/>
      <c r="Q728" s="21">
        <f>P728</f>
        <v/>
      </c>
      <c r="R728" s="21">
        <f>Q728</f>
        <v/>
      </c>
      <c r="S728" s="18" t="n"/>
    </row>
    <row r="729" ht="18" customHeight="1" s="43">
      <c r="B729" s="59" t="inlineStr">
        <is>
          <t>三和/トマト</t>
        </is>
      </c>
      <c r="C729" s="31" t="inlineStr">
        <is>
          <t>58期</t>
        </is>
      </c>
      <c r="D729" s="8" t="n"/>
      <c r="E729" s="8" t="n"/>
      <c r="F729" s="8" t="n"/>
      <c r="G729" s="8" t="n"/>
      <c r="H729" s="8" t="n"/>
      <c r="I729" s="9" t="n"/>
      <c r="J729" s="10">
        <f>SUM(D729:I729)</f>
        <v/>
      </c>
      <c r="K729" s="11" t="n"/>
      <c r="L729" s="8" t="n"/>
      <c r="M729" s="8" t="n"/>
      <c r="N729" s="8" t="n"/>
      <c r="O729" s="8" t="n"/>
      <c r="P729" s="9" t="n"/>
      <c r="Q729" s="10">
        <f>SUM(K729:P729)</f>
        <v/>
      </c>
      <c r="R729" s="10">
        <f>J729+Q729</f>
        <v/>
      </c>
      <c r="S729" s="16" t="n"/>
    </row>
    <row r="730" ht="18" customHeight="1" s="43">
      <c r="B730" s="48" t="n"/>
      <c r="C730" s="7" t="inlineStr">
        <is>
          <t>59期</t>
        </is>
      </c>
      <c r="D730" s="12" t="n"/>
      <c r="E730" s="12" t="n"/>
      <c r="F730" s="12" t="n"/>
      <c r="G730" s="12" t="n"/>
      <c r="H730" s="12" t="n"/>
      <c r="I730" s="13" t="n"/>
      <c r="J730" s="14">
        <f>SUM(D730:I730)</f>
        <v/>
      </c>
      <c r="K730" s="15" t="n"/>
      <c r="L730" s="12" t="n"/>
      <c r="M730" s="12" t="n"/>
      <c r="N730" s="12" t="n"/>
      <c r="O730" s="12" t="n"/>
      <c r="P730" s="13" t="n"/>
      <c r="Q730" s="14">
        <f>SUM(K730:P730)</f>
        <v/>
      </c>
      <c r="R730" s="14">
        <f>J730+Q730</f>
        <v/>
      </c>
      <c r="S730" s="17" t="n"/>
    </row>
    <row r="731" ht="18" customHeight="1" s="43">
      <c r="B731" s="48" t="n"/>
      <c r="C731" s="23" t="inlineStr">
        <is>
          <t>増　減</t>
        </is>
      </c>
      <c r="D731" s="24">
        <f>D730-D729</f>
        <v/>
      </c>
      <c r="E731" s="24">
        <f>E730-E729</f>
        <v/>
      </c>
      <c r="F731" s="24">
        <f>F730-F729</f>
        <v/>
      </c>
      <c r="G731" s="24">
        <f>G730-G729</f>
        <v/>
      </c>
      <c r="H731" s="24">
        <f>H730-H729</f>
        <v/>
      </c>
      <c r="I731" s="27">
        <f>I730-I729</f>
        <v/>
      </c>
      <c r="J731" s="30">
        <f>SUM(D731:I731)</f>
        <v/>
      </c>
      <c r="K731" s="29">
        <f>K730-K729</f>
        <v/>
      </c>
      <c r="L731" s="24">
        <f>L730-L729</f>
        <v/>
      </c>
      <c r="M731" s="24">
        <f>M730-M729</f>
        <v/>
      </c>
      <c r="N731" s="24">
        <f>N730-N729</f>
        <v/>
      </c>
      <c r="O731" s="24">
        <f>O730-O729</f>
        <v/>
      </c>
      <c r="P731" s="27">
        <f>P730-P729</f>
        <v/>
      </c>
      <c r="Q731" s="30">
        <f>SUM(K731:P731)</f>
        <v/>
      </c>
      <c r="R731" s="30">
        <f>J731+Q731</f>
        <v/>
      </c>
      <c r="S731" s="17" t="n"/>
    </row>
    <row r="732" ht="18" customHeight="1" s="43" thickBot="1">
      <c r="B732" s="60" t="n"/>
      <c r="C732" s="25" t="inlineStr">
        <is>
          <t>稼働棟数</t>
        </is>
      </c>
      <c r="D732" s="20" t="n"/>
      <c r="E732" s="20" t="n"/>
      <c r="F732" s="20" t="n"/>
      <c r="G732" s="20" t="n"/>
      <c r="H732" s="20" t="n"/>
      <c r="I732" s="28" t="n"/>
      <c r="J732" s="21">
        <f>I732</f>
        <v/>
      </c>
      <c r="K732" s="22" t="n"/>
      <c r="L732" s="20" t="n"/>
      <c r="M732" s="20" t="n"/>
      <c r="N732" s="20" t="n"/>
      <c r="O732" s="20" t="n"/>
      <c r="P732" s="28" t="n"/>
      <c r="Q732" s="21">
        <f>P732</f>
        <v/>
      </c>
      <c r="R732" s="21">
        <f>Q732</f>
        <v/>
      </c>
      <c r="S732" s="18" t="n"/>
    </row>
    <row r="733" ht="18" customHeight="1" s="43">
      <c r="B733" s="59" t="inlineStr">
        <is>
          <t>三和/ナス</t>
        </is>
      </c>
      <c r="C733" s="31" t="inlineStr">
        <is>
          <t>58期</t>
        </is>
      </c>
      <c r="D733" s="8" t="n"/>
      <c r="E733" s="8" t="n"/>
      <c r="F733" s="8" t="n"/>
      <c r="G733" s="8" t="n"/>
      <c r="H733" s="8" t="n"/>
      <c r="I733" s="9" t="n"/>
      <c r="J733" s="10">
        <f>SUM(D733:I733)</f>
        <v/>
      </c>
      <c r="K733" s="11" t="n"/>
      <c r="L733" s="8" t="n"/>
      <c r="M733" s="8" t="n"/>
      <c r="N733" s="8" t="n"/>
      <c r="O733" s="8" t="n"/>
      <c r="P733" s="9" t="n"/>
      <c r="Q733" s="10">
        <f>SUM(K733:P733)</f>
        <v/>
      </c>
      <c r="R733" s="10">
        <f>J733+Q733</f>
        <v/>
      </c>
      <c r="S733" s="16" t="n"/>
    </row>
    <row r="734" ht="18" customHeight="1" s="43">
      <c r="B734" s="48" t="n"/>
      <c r="C734" s="7" t="inlineStr">
        <is>
          <t>59期</t>
        </is>
      </c>
      <c r="D734" s="12" t="n"/>
      <c r="E734" s="12" t="n"/>
      <c r="F734" s="12" t="n"/>
      <c r="G734" s="12" t="n"/>
      <c r="H734" s="12" t="n"/>
      <c r="I734" s="13" t="n"/>
      <c r="J734" s="14">
        <f>SUM(D734:I734)</f>
        <v/>
      </c>
      <c r="K734" s="15" t="n"/>
      <c r="L734" s="12" t="n"/>
      <c r="M734" s="12" t="n"/>
      <c r="N734" s="12" t="n"/>
      <c r="O734" s="12" t="n"/>
      <c r="P734" s="13" t="n"/>
      <c r="Q734" s="14">
        <f>SUM(K734:P734)</f>
        <v/>
      </c>
      <c r="R734" s="14">
        <f>J734+Q734</f>
        <v/>
      </c>
      <c r="S734" s="17" t="n"/>
    </row>
    <row r="735" ht="18" customHeight="1" s="43">
      <c r="B735" s="48" t="n"/>
      <c r="C735" s="23" t="inlineStr">
        <is>
          <t>増　減</t>
        </is>
      </c>
      <c r="D735" s="24">
        <f>D734-D733</f>
        <v/>
      </c>
      <c r="E735" s="24">
        <f>E734-E733</f>
        <v/>
      </c>
      <c r="F735" s="24">
        <f>F734-F733</f>
        <v/>
      </c>
      <c r="G735" s="24">
        <f>G734-G733</f>
        <v/>
      </c>
      <c r="H735" s="24">
        <f>H734-H733</f>
        <v/>
      </c>
      <c r="I735" s="27">
        <f>I734-I733</f>
        <v/>
      </c>
      <c r="J735" s="30">
        <f>SUM(D735:I735)</f>
        <v/>
      </c>
      <c r="K735" s="29">
        <f>K734-K733</f>
        <v/>
      </c>
      <c r="L735" s="24">
        <f>L734-L733</f>
        <v/>
      </c>
      <c r="M735" s="24">
        <f>M734-M733</f>
        <v/>
      </c>
      <c r="N735" s="24">
        <f>N734-N733</f>
        <v/>
      </c>
      <c r="O735" s="24">
        <f>O734-O733</f>
        <v/>
      </c>
      <c r="P735" s="27">
        <f>P734-P733</f>
        <v/>
      </c>
      <c r="Q735" s="30">
        <f>SUM(K735:P735)</f>
        <v/>
      </c>
      <c r="R735" s="30">
        <f>J735+Q735</f>
        <v/>
      </c>
      <c r="S735" s="17" t="n"/>
    </row>
    <row r="736" ht="18" customHeight="1" s="43" thickBot="1">
      <c r="B736" s="60" t="n"/>
      <c r="C736" s="25" t="inlineStr">
        <is>
          <t>稼働棟数</t>
        </is>
      </c>
      <c r="D736" s="20" t="n"/>
      <c r="E736" s="20" t="n"/>
      <c r="F736" s="20" t="n"/>
      <c r="G736" s="20" t="n"/>
      <c r="H736" s="20" t="n"/>
      <c r="I736" s="28" t="n"/>
      <c r="J736" s="21">
        <f>I736</f>
        <v/>
      </c>
      <c r="K736" s="22" t="n"/>
      <c r="L736" s="20" t="n"/>
      <c r="M736" s="20" t="n"/>
      <c r="N736" s="20" t="n"/>
      <c r="O736" s="20" t="n"/>
      <c r="P736" s="28" t="n"/>
      <c r="Q736" s="21">
        <f>P736</f>
        <v/>
      </c>
      <c r="R736" s="21">
        <f>Q736</f>
        <v/>
      </c>
      <c r="S736" s="18" t="n"/>
    </row>
    <row r="737" ht="18" customHeight="1" s="43">
      <c r="B737" s="59" t="inlineStr">
        <is>
          <t>三和/ハーブ</t>
        </is>
      </c>
      <c r="C737" s="31" t="inlineStr">
        <is>
          <t>58期</t>
        </is>
      </c>
      <c r="D737" s="8" t="n"/>
      <c r="E737" s="8" t="n"/>
      <c r="F737" s="8" t="n"/>
      <c r="G737" s="8" t="n"/>
      <c r="H737" s="8" t="n"/>
      <c r="I737" s="9" t="n"/>
      <c r="J737" s="10">
        <f>SUM(D737:I737)</f>
        <v/>
      </c>
      <c r="K737" s="11" t="n"/>
      <c r="L737" s="8" t="n"/>
      <c r="M737" s="8" t="n"/>
      <c r="N737" s="8" t="n"/>
      <c r="O737" s="8" t="n"/>
      <c r="P737" s="9" t="n"/>
      <c r="Q737" s="10">
        <f>SUM(K737:P737)</f>
        <v/>
      </c>
      <c r="R737" s="10">
        <f>J737+Q737</f>
        <v/>
      </c>
      <c r="S737" s="16" t="n"/>
    </row>
    <row r="738" ht="18" customHeight="1" s="43">
      <c r="B738" s="48" t="n"/>
      <c r="C738" s="7" t="inlineStr">
        <is>
          <t>59期</t>
        </is>
      </c>
      <c r="D738" s="12" t="n"/>
      <c r="E738" s="12" t="n"/>
      <c r="F738" s="12" t="n"/>
      <c r="G738" s="12" t="n"/>
      <c r="H738" s="12" t="n"/>
      <c r="I738" s="13" t="n"/>
      <c r="J738" s="14">
        <f>SUM(D738:I738)</f>
        <v/>
      </c>
      <c r="K738" s="15" t="n"/>
      <c r="L738" s="12" t="n"/>
      <c r="M738" s="12" t="n"/>
      <c r="N738" s="12" t="n"/>
      <c r="O738" s="12" t="n"/>
      <c r="P738" s="13" t="n"/>
      <c r="Q738" s="14">
        <f>SUM(K738:P738)</f>
        <v/>
      </c>
      <c r="R738" s="14">
        <f>J738+Q738</f>
        <v/>
      </c>
      <c r="S738" s="17" t="n"/>
    </row>
    <row r="739" ht="18" customHeight="1" s="43">
      <c r="B739" s="48" t="n"/>
      <c r="C739" s="23" t="inlineStr">
        <is>
          <t>増　減</t>
        </is>
      </c>
      <c r="D739" s="24">
        <f>D738-D737</f>
        <v/>
      </c>
      <c r="E739" s="24">
        <f>E738-E737</f>
        <v/>
      </c>
      <c r="F739" s="24">
        <f>F738-F737</f>
        <v/>
      </c>
      <c r="G739" s="24">
        <f>G738-G737</f>
        <v/>
      </c>
      <c r="H739" s="24">
        <f>H738-H737</f>
        <v/>
      </c>
      <c r="I739" s="27">
        <f>I738-I737</f>
        <v/>
      </c>
      <c r="J739" s="30">
        <f>SUM(D739:I739)</f>
        <v/>
      </c>
      <c r="K739" s="29">
        <f>K738-K737</f>
        <v/>
      </c>
      <c r="L739" s="24">
        <f>L738-L737</f>
        <v/>
      </c>
      <c r="M739" s="24">
        <f>M738-M737</f>
        <v/>
      </c>
      <c r="N739" s="24">
        <f>N738-N737</f>
        <v/>
      </c>
      <c r="O739" s="24">
        <f>O738-O737</f>
        <v/>
      </c>
      <c r="P739" s="27">
        <f>P738-P737</f>
        <v/>
      </c>
      <c r="Q739" s="30">
        <f>SUM(K739:P739)</f>
        <v/>
      </c>
      <c r="R739" s="30">
        <f>J739+Q739</f>
        <v/>
      </c>
      <c r="S739" s="17" t="n"/>
    </row>
    <row r="740" ht="18" customHeight="1" s="43" thickBot="1">
      <c r="B740" s="60" t="n"/>
      <c r="C740" s="25" t="inlineStr">
        <is>
          <t>稼働棟数</t>
        </is>
      </c>
      <c r="D740" s="20" t="n"/>
      <c r="E740" s="20" t="n"/>
      <c r="F740" s="20" t="n"/>
      <c r="G740" s="20" t="n"/>
      <c r="H740" s="20" t="n"/>
      <c r="I740" s="28" t="n"/>
      <c r="J740" s="21">
        <f>I740</f>
        <v/>
      </c>
      <c r="K740" s="22" t="n"/>
      <c r="L740" s="20" t="n"/>
      <c r="M740" s="20" t="n"/>
      <c r="N740" s="20" t="n"/>
      <c r="O740" s="20" t="n"/>
      <c r="P740" s="28" t="n"/>
      <c r="Q740" s="21">
        <f>P740</f>
        <v/>
      </c>
      <c r="R740" s="21">
        <f>Q740</f>
        <v/>
      </c>
      <c r="S740" s="18" t="n"/>
    </row>
    <row r="741" ht="18" customHeight="1" s="43">
      <c r="B741" s="59" t="inlineStr">
        <is>
          <t>三和/パプリカ</t>
        </is>
      </c>
      <c r="C741" s="31" t="inlineStr">
        <is>
          <t>58期</t>
        </is>
      </c>
      <c r="D741" s="8" t="n"/>
      <c r="E741" s="8" t="n"/>
      <c r="F741" s="8" t="n"/>
      <c r="G741" s="8" t="n"/>
      <c r="H741" s="8" t="n"/>
      <c r="I741" s="9" t="n"/>
      <c r="J741" s="10">
        <f>SUM(D741:I741)</f>
        <v/>
      </c>
      <c r="K741" s="11" t="n"/>
      <c r="L741" s="8" t="n"/>
      <c r="M741" s="8" t="n"/>
      <c r="N741" s="8" t="n"/>
      <c r="O741" s="8" t="n"/>
      <c r="P741" s="9" t="n"/>
      <c r="Q741" s="10">
        <f>SUM(K741:P741)</f>
        <v/>
      </c>
      <c r="R741" s="10">
        <f>J741+Q741</f>
        <v/>
      </c>
      <c r="S741" s="16" t="n"/>
    </row>
    <row r="742" ht="18" customHeight="1" s="43">
      <c r="B742" s="48" t="n"/>
      <c r="C742" s="7" t="inlineStr">
        <is>
          <t>59期</t>
        </is>
      </c>
      <c r="D742" s="12" t="n"/>
      <c r="E742" s="12" t="n"/>
      <c r="F742" s="12" t="n"/>
      <c r="G742" s="12" t="n"/>
      <c r="H742" s="12" t="n"/>
      <c r="I742" s="13" t="n"/>
      <c r="J742" s="14">
        <f>SUM(D742:I742)</f>
        <v/>
      </c>
      <c r="K742" s="15" t="n"/>
      <c r="L742" s="12" t="n"/>
      <c r="M742" s="12" t="n"/>
      <c r="N742" s="12" t="n"/>
      <c r="O742" s="12" t="n"/>
      <c r="P742" s="13" t="n"/>
      <c r="Q742" s="14">
        <f>SUM(K742:P742)</f>
        <v/>
      </c>
      <c r="R742" s="14">
        <f>J742+Q742</f>
        <v/>
      </c>
      <c r="S742" s="17" t="n"/>
    </row>
    <row r="743" ht="18" customHeight="1" s="43">
      <c r="B743" s="48" t="n"/>
      <c r="C743" s="23" t="inlineStr">
        <is>
          <t>増　減</t>
        </is>
      </c>
      <c r="D743" s="24">
        <f>D742-D741</f>
        <v/>
      </c>
      <c r="E743" s="24">
        <f>E742-E741</f>
        <v/>
      </c>
      <c r="F743" s="24">
        <f>F742-F741</f>
        <v/>
      </c>
      <c r="G743" s="24">
        <f>G742-G741</f>
        <v/>
      </c>
      <c r="H743" s="24">
        <f>H742-H741</f>
        <v/>
      </c>
      <c r="I743" s="27">
        <f>I742-I741</f>
        <v/>
      </c>
      <c r="J743" s="30">
        <f>SUM(D743:I743)</f>
        <v/>
      </c>
      <c r="K743" s="29">
        <f>K742-K741</f>
        <v/>
      </c>
      <c r="L743" s="24">
        <f>L742-L741</f>
        <v/>
      </c>
      <c r="M743" s="24">
        <f>M742-M741</f>
        <v/>
      </c>
      <c r="N743" s="24">
        <f>N742-N741</f>
        <v/>
      </c>
      <c r="O743" s="24">
        <f>O742-O741</f>
        <v/>
      </c>
      <c r="P743" s="27">
        <f>P742-P741</f>
        <v/>
      </c>
      <c r="Q743" s="30">
        <f>SUM(K743:P743)</f>
        <v/>
      </c>
      <c r="R743" s="30">
        <f>J743+Q743</f>
        <v/>
      </c>
      <c r="S743" s="17" t="n"/>
    </row>
    <row r="744" ht="18" customHeight="1" s="43" thickBot="1">
      <c r="B744" s="60" t="n"/>
      <c r="C744" s="25" t="inlineStr">
        <is>
          <t>稼働棟数</t>
        </is>
      </c>
      <c r="D744" s="20" t="n"/>
      <c r="E744" s="20" t="n"/>
      <c r="F744" s="20" t="n"/>
      <c r="G744" s="20" t="n"/>
      <c r="H744" s="20" t="n"/>
      <c r="I744" s="28" t="n"/>
      <c r="J744" s="21">
        <f>I744</f>
        <v/>
      </c>
      <c r="K744" s="22" t="n"/>
      <c r="L744" s="20" t="n"/>
      <c r="M744" s="20" t="n"/>
      <c r="N744" s="20" t="n"/>
      <c r="O744" s="20" t="n"/>
      <c r="P744" s="28" t="n"/>
      <c r="Q744" s="21">
        <f>P744</f>
        <v/>
      </c>
      <c r="R744" s="21">
        <f>Q744</f>
        <v/>
      </c>
      <c r="S744" s="18" t="n"/>
    </row>
    <row r="745" ht="18" customHeight="1" s="43">
      <c r="B745" s="59" t="inlineStr">
        <is>
          <t>三和/ピーマン</t>
        </is>
      </c>
      <c r="C745" s="31" t="inlineStr">
        <is>
          <t>58期</t>
        </is>
      </c>
      <c r="D745" s="8" t="n"/>
      <c r="E745" s="8" t="n"/>
      <c r="F745" s="8" t="n"/>
      <c r="G745" s="8" t="n"/>
      <c r="H745" s="8" t="n"/>
      <c r="I745" s="9" t="n"/>
      <c r="J745" s="10">
        <f>SUM(D745:I745)</f>
        <v/>
      </c>
      <c r="K745" s="11" t="n"/>
      <c r="L745" s="8" t="n"/>
      <c r="M745" s="8" t="n"/>
      <c r="N745" s="8" t="n"/>
      <c r="O745" s="8" t="n"/>
      <c r="P745" s="9" t="n"/>
      <c r="Q745" s="10">
        <f>SUM(K745:P745)</f>
        <v/>
      </c>
      <c r="R745" s="10">
        <f>J745+Q745</f>
        <v/>
      </c>
      <c r="S745" s="16" t="n"/>
    </row>
    <row r="746" ht="18" customHeight="1" s="43">
      <c r="B746" s="48" t="n"/>
      <c r="C746" s="7" t="inlineStr">
        <is>
          <t>59期</t>
        </is>
      </c>
      <c r="D746" s="12" t="n"/>
      <c r="E746" s="12" t="n"/>
      <c r="F746" s="12" t="n"/>
      <c r="G746" s="12" t="n"/>
      <c r="H746" s="12" t="n"/>
      <c r="I746" s="13" t="n"/>
      <c r="J746" s="14">
        <f>SUM(D746:I746)</f>
        <v/>
      </c>
      <c r="K746" s="15" t="n"/>
      <c r="L746" s="12" t="n"/>
      <c r="M746" s="12" t="n"/>
      <c r="N746" s="12" t="n"/>
      <c r="O746" s="12" t="n"/>
      <c r="P746" s="13" t="n"/>
      <c r="Q746" s="14">
        <f>SUM(K746:P746)</f>
        <v/>
      </c>
      <c r="R746" s="14">
        <f>J746+Q746</f>
        <v/>
      </c>
      <c r="S746" s="17" t="n"/>
    </row>
    <row r="747" ht="18" customHeight="1" s="43">
      <c r="B747" s="48" t="n"/>
      <c r="C747" s="23" t="inlineStr">
        <is>
          <t>増　減</t>
        </is>
      </c>
      <c r="D747" s="24">
        <f>D746-D745</f>
        <v/>
      </c>
      <c r="E747" s="24">
        <f>E746-E745</f>
        <v/>
      </c>
      <c r="F747" s="24">
        <f>F746-F745</f>
        <v/>
      </c>
      <c r="G747" s="24">
        <f>G746-G745</f>
        <v/>
      </c>
      <c r="H747" s="24">
        <f>H746-H745</f>
        <v/>
      </c>
      <c r="I747" s="27">
        <f>I746-I745</f>
        <v/>
      </c>
      <c r="J747" s="30">
        <f>SUM(D747:I747)</f>
        <v/>
      </c>
      <c r="K747" s="29">
        <f>K746-K745</f>
        <v/>
      </c>
      <c r="L747" s="24">
        <f>L746-L745</f>
        <v/>
      </c>
      <c r="M747" s="24">
        <f>M746-M745</f>
        <v/>
      </c>
      <c r="N747" s="24">
        <f>N746-N745</f>
        <v/>
      </c>
      <c r="O747" s="24">
        <f>O746-O745</f>
        <v/>
      </c>
      <c r="P747" s="27">
        <f>P746-P745</f>
        <v/>
      </c>
      <c r="Q747" s="30">
        <f>SUM(K747:P747)</f>
        <v/>
      </c>
      <c r="R747" s="30">
        <f>J747+Q747</f>
        <v/>
      </c>
      <c r="S747" s="17" t="n"/>
    </row>
    <row r="748" ht="18" customHeight="1" s="43" thickBot="1">
      <c r="B748" s="60" t="n"/>
      <c r="C748" s="25" t="inlineStr">
        <is>
          <t>稼働棟数</t>
        </is>
      </c>
      <c r="D748" s="20" t="n"/>
      <c r="E748" s="20" t="n"/>
      <c r="F748" s="20" t="n"/>
      <c r="G748" s="20" t="n"/>
      <c r="H748" s="20" t="n"/>
      <c r="I748" s="28" t="n"/>
      <c r="J748" s="21">
        <f>I748</f>
        <v/>
      </c>
      <c r="K748" s="22" t="n"/>
      <c r="L748" s="20" t="n"/>
      <c r="M748" s="20" t="n"/>
      <c r="N748" s="20" t="n"/>
      <c r="O748" s="20" t="n"/>
      <c r="P748" s="28" t="n"/>
      <c r="Q748" s="21">
        <f>P748</f>
        <v/>
      </c>
      <c r="R748" s="21">
        <f>Q748</f>
        <v/>
      </c>
      <c r="S748" s="18" t="n"/>
    </row>
    <row r="749" ht="18" customHeight="1" s="43">
      <c r="B749" s="59" t="inlineStr">
        <is>
          <t>三和/マイクロ</t>
        </is>
      </c>
      <c r="C749" s="31" t="inlineStr">
        <is>
          <t>58期</t>
        </is>
      </c>
      <c r="D749" s="8" t="n"/>
      <c r="E749" s="8" t="n"/>
      <c r="F749" s="8" t="n"/>
      <c r="G749" s="8" t="n"/>
      <c r="H749" s="8" t="n"/>
      <c r="I749" s="9" t="n"/>
      <c r="J749" s="10">
        <f>SUM(D749:I749)</f>
        <v/>
      </c>
      <c r="K749" s="11" t="n"/>
      <c r="L749" s="8" t="n"/>
      <c r="M749" s="8" t="n"/>
      <c r="N749" s="8" t="n"/>
      <c r="O749" s="8" t="n"/>
      <c r="P749" s="9" t="n"/>
      <c r="Q749" s="10">
        <f>SUM(K749:P749)</f>
        <v/>
      </c>
      <c r="R749" s="10">
        <f>J749+Q749</f>
        <v/>
      </c>
      <c r="S749" s="16" t="n"/>
    </row>
    <row r="750" ht="18" customHeight="1" s="43">
      <c r="B750" s="48" t="n"/>
      <c r="C750" s="7" t="inlineStr">
        <is>
          <t>59期</t>
        </is>
      </c>
      <c r="D750" s="12" t="n"/>
      <c r="E750" s="12" t="n"/>
      <c r="F750" s="12" t="n"/>
      <c r="G750" s="12" t="n"/>
      <c r="H750" s="12" t="n"/>
      <c r="I750" s="13" t="n"/>
      <c r="J750" s="14">
        <f>SUM(D750:I750)</f>
        <v/>
      </c>
      <c r="K750" s="15" t="n"/>
      <c r="L750" s="12" t="n"/>
      <c r="M750" s="12" t="n"/>
      <c r="N750" s="12" t="n"/>
      <c r="O750" s="12" t="n"/>
      <c r="P750" s="13" t="n"/>
      <c r="Q750" s="14">
        <f>SUM(K750:P750)</f>
        <v/>
      </c>
      <c r="R750" s="14">
        <f>J750+Q750</f>
        <v/>
      </c>
      <c r="S750" s="17" t="n"/>
    </row>
    <row r="751" ht="18" customHeight="1" s="43">
      <c r="B751" s="48" t="n"/>
      <c r="C751" s="23" t="inlineStr">
        <is>
          <t>増　減</t>
        </is>
      </c>
      <c r="D751" s="24">
        <f>D750-D749</f>
        <v/>
      </c>
      <c r="E751" s="24">
        <f>E750-E749</f>
        <v/>
      </c>
      <c r="F751" s="24">
        <f>F750-F749</f>
        <v/>
      </c>
      <c r="G751" s="24">
        <f>G750-G749</f>
        <v/>
      </c>
      <c r="H751" s="24">
        <f>H750-H749</f>
        <v/>
      </c>
      <c r="I751" s="27">
        <f>I750-I749</f>
        <v/>
      </c>
      <c r="J751" s="30">
        <f>SUM(D751:I751)</f>
        <v/>
      </c>
      <c r="K751" s="29">
        <f>K750-K749</f>
        <v/>
      </c>
      <c r="L751" s="24">
        <f>L750-L749</f>
        <v/>
      </c>
      <c r="M751" s="24">
        <f>M750-M749</f>
        <v/>
      </c>
      <c r="N751" s="24">
        <f>N750-N749</f>
        <v/>
      </c>
      <c r="O751" s="24">
        <f>O750-O749</f>
        <v/>
      </c>
      <c r="P751" s="27">
        <f>P750-P749</f>
        <v/>
      </c>
      <c r="Q751" s="30">
        <f>SUM(K751:P751)</f>
        <v/>
      </c>
      <c r="R751" s="30">
        <f>J751+Q751</f>
        <v/>
      </c>
      <c r="S751" s="17" t="n"/>
    </row>
    <row r="752" ht="18" customHeight="1" s="43" thickBot="1">
      <c r="B752" s="60" t="n"/>
      <c r="C752" s="25" t="inlineStr">
        <is>
          <t>稼働棟数</t>
        </is>
      </c>
      <c r="D752" s="20" t="n"/>
      <c r="E752" s="20" t="n"/>
      <c r="F752" s="20" t="n"/>
      <c r="G752" s="20" t="n"/>
      <c r="H752" s="20" t="n"/>
      <c r="I752" s="28" t="n"/>
      <c r="J752" s="21">
        <f>I752</f>
        <v/>
      </c>
      <c r="K752" s="22" t="n"/>
      <c r="L752" s="20" t="n"/>
      <c r="M752" s="20" t="n"/>
      <c r="N752" s="20" t="n"/>
      <c r="O752" s="20" t="n"/>
      <c r="P752" s="28" t="n"/>
      <c r="Q752" s="21">
        <f>P752</f>
        <v/>
      </c>
      <c r="R752" s="21">
        <f>Q752</f>
        <v/>
      </c>
      <c r="S752" s="18" t="n"/>
    </row>
    <row r="753" ht="18" customHeight="1" s="43">
      <c r="B753" s="59" t="inlineStr">
        <is>
          <t>三和/ミニトマト</t>
        </is>
      </c>
      <c r="C753" s="31" t="inlineStr">
        <is>
          <t>58期</t>
        </is>
      </c>
      <c r="D753" s="8" t="n"/>
      <c r="E753" s="8" t="n"/>
      <c r="F753" s="8" t="n"/>
      <c r="G753" s="8" t="n"/>
      <c r="H753" s="8" t="n"/>
      <c r="I753" s="9" t="n"/>
      <c r="J753" s="10">
        <f>SUM(D753:I753)</f>
        <v/>
      </c>
      <c r="K753" s="11" t="n"/>
      <c r="L753" s="8" t="n"/>
      <c r="M753" s="8" t="n"/>
      <c r="N753" s="8" t="n"/>
      <c r="O753" s="8" t="n"/>
      <c r="P753" s="9" t="n"/>
      <c r="Q753" s="10">
        <f>SUM(K753:P753)</f>
        <v/>
      </c>
      <c r="R753" s="10">
        <f>J753+Q753</f>
        <v/>
      </c>
      <c r="S753" s="16" t="n"/>
    </row>
    <row r="754" ht="18" customHeight="1" s="43">
      <c r="B754" s="48" t="n"/>
      <c r="C754" s="7" t="inlineStr">
        <is>
          <t>59期</t>
        </is>
      </c>
      <c r="D754" s="12" t="n"/>
      <c r="E754" s="12" t="n"/>
      <c r="F754" s="12" t="n"/>
      <c r="G754" s="12" t="n"/>
      <c r="H754" s="12" t="n"/>
      <c r="I754" s="13" t="n"/>
      <c r="J754" s="14">
        <f>SUM(D754:I754)</f>
        <v/>
      </c>
      <c r="K754" s="15" t="n"/>
      <c r="L754" s="12" t="n"/>
      <c r="M754" s="12" t="n"/>
      <c r="N754" s="12" t="n"/>
      <c r="O754" s="12" t="n"/>
      <c r="P754" s="13" t="n"/>
      <c r="Q754" s="14">
        <f>SUM(K754:P754)</f>
        <v/>
      </c>
      <c r="R754" s="14">
        <f>J754+Q754</f>
        <v/>
      </c>
      <c r="S754" s="17" t="n"/>
    </row>
    <row r="755" ht="18" customHeight="1" s="43">
      <c r="B755" s="48" t="n"/>
      <c r="C755" s="23" t="inlineStr">
        <is>
          <t>増　減</t>
        </is>
      </c>
      <c r="D755" s="24">
        <f>D754-D753</f>
        <v/>
      </c>
      <c r="E755" s="24">
        <f>E754-E753</f>
        <v/>
      </c>
      <c r="F755" s="24">
        <f>F754-F753</f>
        <v/>
      </c>
      <c r="G755" s="24">
        <f>G754-G753</f>
        <v/>
      </c>
      <c r="H755" s="24">
        <f>H754-H753</f>
        <v/>
      </c>
      <c r="I755" s="27">
        <f>I754-I753</f>
        <v/>
      </c>
      <c r="J755" s="30">
        <f>SUM(D755:I755)</f>
        <v/>
      </c>
      <c r="K755" s="29">
        <f>K754-K753</f>
        <v/>
      </c>
      <c r="L755" s="24">
        <f>L754-L753</f>
        <v/>
      </c>
      <c r="M755" s="24">
        <f>M754-M753</f>
        <v/>
      </c>
      <c r="N755" s="24">
        <f>N754-N753</f>
        <v/>
      </c>
      <c r="O755" s="24">
        <f>O754-O753</f>
        <v/>
      </c>
      <c r="P755" s="27">
        <f>P754-P753</f>
        <v/>
      </c>
      <c r="Q755" s="30">
        <f>SUM(K755:P755)</f>
        <v/>
      </c>
      <c r="R755" s="30">
        <f>J755+Q755</f>
        <v/>
      </c>
      <c r="S755" s="17" t="n"/>
    </row>
    <row r="756" ht="18" customHeight="1" s="43" thickBot="1">
      <c r="B756" s="60" t="n"/>
      <c r="C756" s="25" t="inlineStr">
        <is>
          <t>稼働棟数</t>
        </is>
      </c>
      <c r="D756" s="20" t="n"/>
      <c r="E756" s="20" t="n"/>
      <c r="F756" s="20" t="n"/>
      <c r="G756" s="20" t="n"/>
      <c r="H756" s="20" t="n"/>
      <c r="I756" s="28" t="n"/>
      <c r="J756" s="21">
        <f>I756</f>
        <v/>
      </c>
      <c r="K756" s="22" t="n"/>
      <c r="L756" s="20" t="n"/>
      <c r="M756" s="20" t="n"/>
      <c r="N756" s="20" t="n"/>
      <c r="O756" s="20" t="n"/>
      <c r="P756" s="28" t="n"/>
      <c r="Q756" s="21">
        <f>P756</f>
        <v/>
      </c>
      <c r="R756" s="21">
        <f>Q756</f>
        <v/>
      </c>
      <c r="S756" s="18" t="n"/>
    </row>
    <row r="757" ht="18" customHeight="1" s="43">
      <c r="B757" s="59" t="inlineStr">
        <is>
          <t>三和/根物野菜</t>
        </is>
      </c>
      <c r="C757" s="31" t="inlineStr">
        <is>
          <t>58期</t>
        </is>
      </c>
      <c r="D757" s="8" t="n"/>
      <c r="E757" s="8" t="n"/>
      <c r="F757" s="8" t="n"/>
      <c r="G757" s="8" t="n">
        <v>3.84</v>
      </c>
      <c r="H757" s="8" t="n"/>
      <c r="I757" s="9" t="n"/>
      <c r="J757" s="10" t="n">
        <v>3.84</v>
      </c>
      <c r="K757" s="11" t="n"/>
      <c r="L757" s="8" t="n"/>
      <c r="M757" s="8" t="n"/>
      <c r="N757" s="8" t="n"/>
      <c r="O757" s="8" t="n"/>
      <c r="P757" s="9" t="n"/>
      <c r="Q757" s="10" t="n">
        <v>0</v>
      </c>
      <c r="R757" s="10" t="n">
        <v>3.84</v>
      </c>
      <c r="S757" s="16" t="n"/>
    </row>
    <row r="758" ht="18" customHeight="1" s="43">
      <c r="B758" s="48" t="n"/>
      <c r="C758" s="7" t="inlineStr">
        <is>
          <t>59期</t>
        </is>
      </c>
      <c r="D758" s="12" t="n"/>
      <c r="E758" s="12" t="n"/>
      <c r="F758" s="12" t="n"/>
      <c r="G758" s="12" t="n"/>
      <c r="H758" s="12" t="n"/>
      <c r="I758" s="13" t="n"/>
      <c r="J758" s="14">
        <f>SUM(D758:I758)</f>
        <v/>
      </c>
      <c r="K758" s="15" t="n"/>
      <c r="L758" s="12" t="n"/>
      <c r="M758" s="12" t="n"/>
      <c r="N758" s="12" t="n"/>
      <c r="O758" s="12" t="n"/>
      <c r="P758" s="13" t="n"/>
      <c r="Q758" s="14">
        <f>SUM(K758:P758)</f>
        <v/>
      </c>
      <c r="R758" s="14">
        <f>J758+Q758</f>
        <v/>
      </c>
      <c r="S758" s="17" t="n"/>
    </row>
    <row r="759" ht="18" customHeight="1" s="43">
      <c r="B759" s="48" t="n"/>
      <c r="C759" s="23" t="inlineStr">
        <is>
          <t>増　減</t>
        </is>
      </c>
      <c r="D759" s="24">
        <f>D758-D757</f>
        <v/>
      </c>
      <c r="E759" s="24">
        <f>E758-E757</f>
        <v/>
      </c>
      <c r="F759" s="24">
        <f>F758-F757</f>
        <v/>
      </c>
      <c r="G759" s="24">
        <f>G758-G757</f>
        <v/>
      </c>
      <c r="H759" s="24">
        <f>H758-H757</f>
        <v/>
      </c>
      <c r="I759" s="27">
        <f>I758-I757</f>
        <v/>
      </c>
      <c r="J759" s="30">
        <f>SUM(D759:I759)</f>
        <v/>
      </c>
      <c r="K759" s="29">
        <f>K758-K757</f>
        <v/>
      </c>
      <c r="L759" s="24">
        <f>L758-L757</f>
        <v/>
      </c>
      <c r="M759" s="24">
        <f>M758-M757</f>
        <v/>
      </c>
      <c r="N759" s="24">
        <f>N758-N757</f>
        <v/>
      </c>
      <c r="O759" s="24">
        <f>O758-O757</f>
        <v/>
      </c>
      <c r="P759" s="27">
        <f>P758-P757</f>
        <v/>
      </c>
      <c r="Q759" s="30">
        <f>SUM(K759:P759)</f>
        <v/>
      </c>
      <c r="R759" s="30">
        <f>J759+Q759</f>
        <v/>
      </c>
      <c r="S759" s="17" t="n"/>
    </row>
    <row r="760" ht="18" customHeight="1" s="43" thickBot="1">
      <c r="B760" s="60" t="n"/>
      <c r="C760" s="25" t="inlineStr">
        <is>
          <t>稼働棟数</t>
        </is>
      </c>
      <c r="D760" s="20" t="n"/>
      <c r="E760" s="20" t="n"/>
      <c r="F760" s="20" t="n"/>
      <c r="G760" s="20" t="n"/>
      <c r="H760" s="20" t="n"/>
      <c r="I760" s="28" t="n"/>
      <c r="J760" s="21">
        <f>I760</f>
        <v/>
      </c>
      <c r="K760" s="22" t="n"/>
      <c r="L760" s="20" t="n"/>
      <c r="M760" s="20" t="n"/>
      <c r="N760" s="20" t="n"/>
      <c r="O760" s="20" t="n"/>
      <c r="P760" s="28" t="n"/>
      <c r="Q760" s="21">
        <f>P760</f>
        <v/>
      </c>
      <c r="R760" s="21">
        <f>Q760</f>
        <v/>
      </c>
      <c r="S760" s="18" t="n"/>
    </row>
    <row r="761" ht="18" customHeight="1" s="43">
      <c r="B761" s="59" t="inlineStr">
        <is>
          <t>三和/実物野菜</t>
        </is>
      </c>
      <c r="C761" s="31" t="inlineStr">
        <is>
          <t>58期</t>
        </is>
      </c>
      <c r="D761" s="8" t="n"/>
      <c r="E761" s="8" t="n"/>
      <c r="F761" s="8" t="n"/>
      <c r="G761" s="8" t="n"/>
      <c r="H761" s="8" t="n"/>
      <c r="I761" s="9" t="n"/>
      <c r="J761" s="10">
        <f>SUM(D761:I761)</f>
        <v/>
      </c>
      <c r="K761" s="11" t="n"/>
      <c r="L761" s="8" t="n"/>
      <c r="M761" s="8" t="n"/>
      <c r="N761" s="8" t="n"/>
      <c r="O761" s="8" t="n"/>
      <c r="P761" s="9" t="n"/>
      <c r="Q761" s="10">
        <f>SUM(K761:P761)</f>
        <v/>
      </c>
      <c r="R761" s="10">
        <f>J761+Q761</f>
        <v/>
      </c>
      <c r="S761" s="16" t="n"/>
    </row>
    <row r="762" ht="18" customHeight="1" s="43">
      <c r="B762" s="48" t="n"/>
      <c r="C762" s="7" t="inlineStr">
        <is>
          <t>59期</t>
        </is>
      </c>
      <c r="D762" s="12" t="n"/>
      <c r="E762" s="12" t="n"/>
      <c r="F762" s="12" t="n"/>
      <c r="G762" s="12" t="n"/>
      <c r="H762" s="12" t="n"/>
      <c r="I762" s="13" t="n"/>
      <c r="J762" s="14">
        <f>SUM(D762:I762)</f>
        <v/>
      </c>
      <c r="K762" s="15" t="n"/>
      <c r="L762" s="12" t="n"/>
      <c r="M762" s="12" t="n"/>
      <c r="N762" s="12" t="n"/>
      <c r="O762" s="12" t="n"/>
      <c r="P762" s="13" t="n"/>
      <c r="Q762" s="14">
        <f>SUM(K762:P762)</f>
        <v/>
      </c>
      <c r="R762" s="14">
        <f>J762+Q762</f>
        <v/>
      </c>
      <c r="S762" s="17" t="n"/>
    </row>
    <row r="763" ht="18" customHeight="1" s="43">
      <c r="B763" s="48" t="n"/>
      <c r="C763" s="23" t="inlineStr">
        <is>
          <t>増　減</t>
        </is>
      </c>
      <c r="D763" s="24">
        <f>D762-D761</f>
        <v/>
      </c>
      <c r="E763" s="24">
        <f>E762-E761</f>
        <v/>
      </c>
      <c r="F763" s="24">
        <f>F762-F761</f>
        <v/>
      </c>
      <c r="G763" s="24">
        <f>G762-G761</f>
        <v/>
      </c>
      <c r="H763" s="24">
        <f>H762-H761</f>
        <v/>
      </c>
      <c r="I763" s="27">
        <f>I762-I761</f>
        <v/>
      </c>
      <c r="J763" s="30">
        <f>SUM(D763:I763)</f>
        <v/>
      </c>
      <c r="K763" s="29">
        <f>K762-K761</f>
        <v/>
      </c>
      <c r="L763" s="24">
        <f>L762-L761</f>
        <v/>
      </c>
      <c r="M763" s="24">
        <f>M762-M761</f>
        <v/>
      </c>
      <c r="N763" s="24">
        <f>N762-N761</f>
        <v/>
      </c>
      <c r="O763" s="24">
        <f>O762-O761</f>
        <v/>
      </c>
      <c r="P763" s="27">
        <f>P762-P761</f>
        <v/>
      </c>
      <c r="Q763" s="30">
        <f>SUM(K763:P763)</f>
        <v/>
      </c>
      <c r="R763" s="30">
        <f>J763+Q763</f>
        <v/>
      </c>
      <c r="S763" s="17" t="n"/>
    </row>
    <row r="764" ht="18" customHeight="1" s="43" thickBot="1">
      <c r="B764" s="60" t="n"/>
      <c r="C764" s="25" t="inlineStr">
        <is>
          <t>稼働棟数</t>
        </is>
      </c>
      <c r="D764" s="20" t="n"/>
      <c r="E764" s="20" t="n"/>
      <c r="F764" s="20" t="n"/>
      <c r="G764" s="20" t="n"/>
      <c r="H764" s="20" t="n"/>
      <c r="I764" s="28" t="n"/>
      <c r="J764" s="21">
        <f>I764</f>
        <v/>
      </c>
      <c r="K764" s="22" t="n"/>
      <c r="L764" s="20" t="n"/>
      <c r="M764" s="20" t="n"/>
      <c r="N764" s="20" t="n"/>
      <c r="O764" s="20" t="n"/>
      <c r="P764" s="28" t="n"/>
      <c r="Q764" s="21">
        <f>P764</f>
        <v/>
      </c>
      <c r="R764" s="21">
        <f>Q764</f>
        <v/>
      </c>
      <c r="S764" s="18" t="n"/>
    </row>
    <row r="765" ht="18" customHeight="1" s="43">
      <c r="B765" s="59" t="inlineStr">
        <is>
          <t>三和/食用花</t>
        </is>
      </c>
      <c r="C765" s="31" t="inlineStr">
        <is>
          <t>58期</t>
        </is>
      </c>
      <c r="D765" s="8" t="n"/>
      <c r="E765" s="8" t="n"/>
      <c r="F765" s="8" t="n"/>
      <c r="G765" s="8" t="n"/>
      <c r="H765" s="8" t="n"/>
      <c r="I765" s="9" t="n"/>
      <c r="J765" s="10">
        <f>SUM(D765:I765)</f>
        <v/>
      </c>
      <c r="K765" s="11" t="n"/>
      <c r="L765" s="8" t="n"/>
      <c r="M765" s="8" t="n"/>
      <c r="N765" s="8" t="n"/>
      <c r="O765" s="8" t="n"/>
      <c r="P765" s="9" t="n"/>
      <c r="Q765" s="10">
        <f>SUM(K765:P765)</f>
        <v/>
      </c>
      <c r="R765" s="10">
        <f>J765+Q765</f>
        <v/>
      </c>
      <c r="S765" s="16" t="n"/>
    </row>
    <row r="766" ht="18" customHeight="1" s="43">
      <c r="B766" s="48" t="n"/>
      <c r="C766" s="7" t="inlineStr">
        <is>
          <t>59期</t>
        </is>
      </c>
      <c r="D766" s="12" t="n"/>
      <c r="E766" s="12" t="n"/>
      <c r="F766" s="12" t="n"/>
      <c r="G766" s="12" t="n"/>
      <c r="H766" s="12" t="n"/>
      <c r="I766" s="13" t="n"/>
      <c r="J766" s="14">
        <f>SUM(D766:I766)</f>
        <v/>
      </c>
      <c r="K766" s="15" t="n"/>
      <c r="L766" s="12" t="n"/>
      <c r="M766" s="12" t="n"/>
      <c r="N766" s="12" t="n"/>
      <c r="O766" s="12" t="n"/>
      <c r="P766" s="13" t="n"/>
      <c r="Q766" s="14">
        <f>SUM(K766:P766)</f>
        <v/>
      </c>
      <c r="R766" s="14">
        <f>J766+Q766</f>
        <v/>
      </c>
      <c r="S766" s="17" t="n"/>
    </row>
    <row r="767" ht="18" customHeight="1" s="43">
      <c r="B767" s="48" t="n"/>
      <c r="C767" s="23" t="inlineStr">
        <is>
          <t>増　減</t>
        </is>
      </c>
      <c r="D767" s="24">
        <f>D766-D765</f>
        <v/>
      </c>
      <c r="E767" s="24">
        <f>E766-E765</f>
        <v/>
      </c>
      <c r="F767" s="24">
        <f>F766-F765</f>
        <v/>
      </c>
      <c r="G767" s="24">
        <f>G766-G765</f>
        <v/>
      </c>
      <c r="H767" s="24">
        <f>H766-H765</f>
        <v/>
      </c>
      <c r="I767" s="27">
        <f>I766-I765</f>
        <v/>
      </c>
      <c r="J767" s="30">
        <f>SUM(D767:I767)</f>
        <v/>
      </c>
      <c r="K767" s="29">
        <f>K766-K765</f>
        <v/>
      </c>
      <c r="L767" s="24">
        <f>L766-L765</f>
        <v/>
      </c>
      <c r="M767" s="24">
        <f>M766-M765</f>
        <v/>
      </c>
      <c r="N767" s="24">
        <f>N766-N765</f>
        <v/>
      </c>
      <c r="O767" s="24">
        <f>O766-O765</f>
        <v/>
      </c>
      <c r="P767" s="27">
        <f>P766-P765</f>
        <v/>
      </c>
      <c r="Q767" s="30">
        <f>SUM(K767:P767)</f>
        <v/>
      </c>
      <c r="R767" s="30">
        <f>J767+Q767</f>
        <v/>
      </c>
      <c r="S767" s="17" t="n"/>
    </row>
    <row r="768" ht="18" customHeight="1" s="43" thickBot="1">
      <c r="B768" s="60" t="n"/>
      <c r="C768" s="25" t="inlineStr">
        <is>
          <t>稼働棟数</t>
        </is>
      </c>
      <c r="D768" s="20" t="n"/>
      <c r="E768" s="20" t="n"/>
      <c r="F768" s="20" t="n"/>
      <c r="G768" s="20" t="n"/>
      <c r="H768" s="20" t="n"/>
      <c r="I768" s="28" t="n"/>
      <c r="J768" s="21">
        <f>I768</f>
        <v/>
      </c>
      <c r="K768" s="22" t="n"/>
      <c r="L768" s="20" t="n"/>
      <c r="M768" s="20" t="n"/>
      <c r="N768" s="20" t="n"/>
      <c r="O768" s="20" t="n"/>
      <c r="P768" s="28" t="n"/>
      <c r="Q768" s="21">
        <f>P768</f>
        <v/>
      </c>
      <c r="R768" s="21">
        <f>Q768</f>
        <v/>
      </c>
      <c r="S768" s="18" t="n"/>
    </row>
    <row r="769" ht="18" customHeight="1" s="43">
      <c r="B769" s="59" t="inlineStr">
        <is>
          <t>三和/葉物野菜</t>
        </is>
      </c>
      <c r="C769" s="31" t="inlineStr">
        <is>
          <t>58期</t>
        </is>
      </c>
      <c r="D769" s="8" t="n"/>
      <c r="E769" s="8" t="n"/>
      <c r="F769" s="8" t="n"/>
      <c r="G769" s="8" t="n"/>
      <c r="H769" s="8" t="n"/>
      <c r="I769" s="9" t="n"/>
      <c r="J769" s="10">
        <f>SUM(D769:I769)</f>
        <v/>
      </c>
      <c r="K769" s="11" t="n"/>
      <c r="L769" s="8" t="n"/>
      <c r="M769" s="8" t="n"/>
      <c r="N769" s="8" t="n"/>
      <c r="O769" s="8" t="n"/>
      <c r="P769" s="9" t="n"/>
      <c r="Q769" s="10">
        <f>SUM(K769:P769)</f>
        <v/>
      </c>
      <c r="R769" s="10">
        <f>J769+Q769</f>
        <v/>
      </c>
      <c r="S769" s="16" t="n"/>
    </row>
    <row r="770" ht="18" customHeight="1" s="43">
      <c r="B770" s="48" t="n"/>
      <c r="C770" s="7" t="inlineStr">
        <is>
          <t>59期</t>
        </is>
      </c>
      <c r="D770" s="12" t="n"/>
      <c r="E770" s="12" t="n"/>
      <c r="F770" s="12" t="n"/>
      <c r="G770" s="12" t="n"/>
      <c r="H770" s="12" t="n"/>
      <c r="I770" s="13" t="n"/>
      <c r="J770" s="14">
        <f>SUM(D770:I770)</f>
        <v/>
      </c>
      <c r="K770" s="15" t="n"/>
      <c r="L770" s="12" t="n"/>
      <c r="M770" s="12" t="n"/>
      <c r="N770" s="12" t="n"/>
      <c r="O770" s="12" t="n"/>
      <c r="P770" s="13" t="n"/>
      <c r="Q770" s="14">
        <f>SUM(K770:P770)</f>
        <v/>
      </c>
      <c r="R770" s="14">
        <f>J770+Q770</f>
        <v/>
      </c>
      <c r="S770" s="17" t="n"/>
    </row>
    <row r="771" ht="18" customHeight="1" s="43">
      <c r="B771" s="48" t="n"/>
      <c r="C771" s="23" t="inlineStr">
        <is>
          <t>増　減</t>
        </is>
      </c>
      <c r="D771" s="24">
        <f>D770-D769</f>
        <v/>
      </c>
      <c r="E771" s="24">
        <f>E770-E769</f>
        <v/>
      </c>
      <c r="F771" s="24">
        <f>F770-F769</f>
        <v/>
      </c>
      <c r="G771" s="24">
        <f>G770-G769</f>
        <v/>
      </c>
      <c r="H771" s="24">
        <f>H770-H769</f>
        <v/>
      </c>
      <c r="I771" s="27">
        <f>I770-I769</f>
        <v/>
      </c>
      <c r="J771" s="30">
        <f>SUM(D771:I771)</f>
        <v/>
      </c>
      <c r="K771" s="29">
        <f>K770-K769</f>
        <v/>
      </c>
      <c r="L771" s="24">
        <f>L770-L769</f>
        <v/>
      </c>
      <c r="M771" s="24">
        <f>M770-M769</f>
        <v/>
      </c>
      <c r="N771" s="24">
        <f>N770-N769</f>
        <v/>
      </c>
      <c r="O771" s="24">
        <f>O770-O769</f>
        <v/>
      </c>
      <c r="P771" s="27">
        <f>P770-P769</f>
        <v/>
      </c>
      <c r="Q771" s="30">
        <f>SUM(K771:P771)</f>
        <v/>
      </c>
      <c r="R771" s="30">
        <f>J771+Q771</f>
        <v/>
      </c>
      <c r="S771" s="17" t="n"/>
    </row>
    <row r="772" ht="18" customHeight="1" s="43" thickBot="1">
      <c r="B772" s="60" t="n"/>
      <c r="C772" s="25" t="inlineStr">
        <is>
          <t>稼働棟数</t>
        </is>
      </c>
      <c r="D772" s="20" t="n"/>
      <c r="E772" s="20" t="n"/>
      <c r="F772" s="20" t="n"/>
      <c r="G772" s="20" t="n"/>
      <c r="H772" s="20" t="n"/>
      <c r="I772" s="28" t="n"/>
      <c r="J772" s="21">
        <f>I772</f>
        <v/>
      </c>
      <c r="K772" s="22" t="n"/>
      <c r="L772" s="20" t="n"/>
      <c r="M772" s="20" t="n"/>
      <c r="N772" s="20" t="n"/>
      <c r="O772" s="20" t="n"/>
      <c r="P772" s="28" t="n"/>
      <c r="Q772" s="21">
        <f>P772</f>
        <v/>
      </c>
      <c r="R772" s="21">
        <f>Q772</f>
        <v/>
      </c>
      <c r="S772" s="18" t="n"/>
    </row>
    <row r="773" ht="18" customHeight="1" s="43">
      <c r="B773" s="59" t="inlineStr">
        <is>
          <t>慈誠会/イチゴ</t>
        </is>
      </c>
      <c r="C773" s="31" t="inlineStr">
        <is>
          <t>58期</t>
        </is>
      </c>
      <c r="D773" s="8" t="n"/>
      <c r="E773" s="8" t="n"/>
      <c r="F773" s="8" t="n"/>
      <c r="G773" s="8" t="n">
        <v>0.07000000000000001</v>
      </c>
      <c r="H773" s="8" t="n"/>
      <c r="I773" s="9" t="n"/>
      <c r="J773" s="10" t="n">
        <v>0.07000000000000001</v>
      </c>
      <c r="K773" s="11" t="n"/>
      <c r="L773" s="8" t="n"/>
      <c r="M773" s="8" t="n"/>
      <c r="N773" s="8" t="n"/>
      <c r="O773" s="8" t="n"/>
      <c r="P773" s="9" t="n"/>
      <c r="Q773" s="10" t="n">
        <v>0</v>
      </c>
      <c r="R773" s="10" t="n">
        <v>0.07000000000000001</v>
      </c>
      <c r="S773" s="16" t="n"/>
    </row>
    <row r="774" ht="18" customHeight="1" s="43">
      <c r="B774" s="48" t="n"/>
      <c r="C774" s="7" t="inlineStr">
        <is>
          <t>59期</t>
        </is>
      </c>
      <c r="D774" s="12" t="n"/>
      <c r="E774" s="12" t="n"/>
      <c r="F774" s="12" t="n"/>
      <c r="G774" s="12" t="n"/>
      <c r="H774" s="12" t="n"/>
      <c r="I774" s="13" t="n"/>
      <c r="J774" s="14">
        <f>SUM(D774:I774)</f>
        <v/>
      </c>
      <c r="K774" s="15" t="n"/>
      <c r="L774" s="12" t="n"/>
      <c r="M774" s="12" t="n"/>
      <c r="N774" s="12" t="n"/>
      <c r="O774" s="12" t="n"/>
      <c r="P774" s="13" t="n"/>
      <c r="Q774" s="14">
        <f>SUM(K774:P774)</f>
        <v/>
      </c>
      <c r="R774" s="14">
        <f>J774+Q774</f>
        <v/>
      </c>
      <c r="S774" s="17" t="n"/>
    </row>
    <row r="775" ht="18" customHeight="1" s="43">
      <c r="B775" s="48" t="n"/>
      <c r="C775" s="23" t="inlineStr">
        <is>
          <t>増　減</t>
        </is>
      </c>
      <c r="D775" s="24">
        <f>D774-D773</f>
        <v/>
      </c>
      <c r="E775" s="24">
        <f>E774-E773</f>
        <v/>
      </c>
      <c r="F775" s="24">
        <f>F774-F773</f>
        <v/>
      </c>
      <c r="G775" s="24">
        <f>G774-G773</f>
        <v/>
      </c>
      <c r="H775" s="24">
        <f>H774-H773</f>
        <v/>
      </c>
      <c r="I775" s="27">
        <f>I774-I773</f>
        <v/>
      </c>
      <c r="J775" s="30">
        <f>SUM(D775:I775)</f>
        <v/>
      </c>
      <c r="K775" s="29">
        <f>K774-K773</f>
        <v/>
      </c>
      <c r="L775" s="24">
        <f>L774-L773</f>
        <v/>
      </c>
      <c r="M775" s="24">
        <f>M774-M773</f>
        <v/>
      </c>
      <c r="N775" s="24">
        <f>N774-N773</f>
        <v/>
      </c>
      <c r="O775" s="24">
        <f>O774-O773</f>
        <v/>
      </c>
      <c r="P775" s="27">
        <f>P774-P773</f>
        <v/>
      </c>
      <c r="Q775" s="30">
        <f>SUM(K775:P775)</f>
        <v/>
      </c>
      <c r="R775" s="30">
        <f>J775+Q775</f>
        <v/>
      </c>
      <c r="S775" s="17" t="n"/>
    </row>
    <row r="776" ht="18" customHeight="1" s="43" thickBot="1">
      <c r="B776" s="60" t="n"/>
      <c r="C776" s="25" t="inlineStr">
        <is>
          <t>稼働棟数</t>
        </is>
      </c>
      <c r="D776" s="20" t="n"/>
      <c r="E776" s="20" t="n"/>
      <c r="F776" s="20" t="n"/>
      <c r="G776" s="20" t="n"/>
      <c r="H776" s="20" t="n"/>
      <c r="I776" s="28" t="n"/>
      <c r="J776" s="21">
        <f>I776</f>
        <v/>
      </c>
      <c r="K776" s="22" t="n"/>
      <c r="L776" s="20" t="n"/>
      <c r="M776" s="20" t="n"/>
      <c r="N776" s="20" t="n"/>
      <c r="O776" s="20" t="n"/>
      <c r="P776" s="28" t="n"/>
      <c r="Q776" s="21">
        <f>P776</f>
        <v/>
      </c>
      <c r="R776" s="21">
        <f>Q776</f>
        <v/>
      </c>
      <c r="S776" s="18" t="n"/>
    </row>
    <row r="777" ht="18" customHeight="1" s="43">
      <c r="B777" s="59" t="inlineStr">
        <is>
          <t>慈誠会/トマト</t>
        </is>
      </c>
      <c r="C777" s="31" t="inlineStr">
        <is>
          <t>58期</t>
        </is>
      </c>
      <c r="D777" s="8" t="n"/>
      <c r="E777" s="8" t="n"/>
      <c r="F777" s="8" t="n"/>
      <c r="G777" s="8" t="n"/>
      <c r="H777" s="8" t="n"/>
      <c r="I777" s="9" t="n"/>
      <c r="J777" s="10">
        <f>SUM(D777:I777)</f>
        <v/>
      </c>
      <c r="K777" s="11" t="n"/>
      <c r="L777" s="8" t="n"/>
      <c r="M777" s="8" t="n"/>
      <c r="N777" s="8" t="n"/>
      <c r="O777" s="8" t="n"/>
      <c r="P777" s="9" t="n"/>
      <c r="Q777" s="10">
        <f>SUM(K777:P777)</f>
        <v/>
      </c>
      <c r="R777" s="10">
        <f>J777+Q777</f>
        <v/>
      </c>
      <c r="S777" s="16" t="n"/>
    </row>
    <row r="778" ht="18" customHeight="1" s="43">
      <c r="B778" s="48" t="n"/>
      <c r="C778" s="7" t="inlineStr">
        <is>
          <t>59期</t>
        </is>
      </c>
      <c r="D778" s="12" t="n"/>
      <c r="E778" s="12" t="n"/>
      <c r="F778" s="12" t="n"/>
      <c r="G778" s="12" t="n"/>
      <c r="H778" s="12" t="n"/>
      <c r="I778" s="13" t="n"/>
      <c r="J778" s="14">
        <f>SUM(D778:I778)</f>
        <v/>
      </c>
      <c r="K778" s="15" t="n"/>
      <c r="L778" s="12" t="n"/>
      <c r="M778" s="12" t="n"/>
      <c r="N778" s="12" t="n"/>
      <c r="O778" s="12" t="n"/>
      <c r="P778" s="13" t="n"/>
      <c r="Q778" s="14">
        <f>SUM(K778:P778)</f>
        <v/>
      </c>
      <c r="R778" s="14">
        <f>J778+Q778</f>
        <v/>
      </c>
      <c r="S778" s="17" t="n"/>
    </row>
    <row r="779" ht="18" customHeight="1" s="43">
      <c r="B779" s="48" t="n"/>
      <c r="C779" s="23" t="inlineStr">
        <is>
          <t>増　減</t>
        </is>
      </c>
      <c r="D779" s="24">
        <f>D778-D777</f>
        <v/>
      </c>
      <c r="E779" s="24">
        <f>E778-E777</f>
        <v/>
      </c>
      <c r="F779" s="24">
        <f>F778-F777</f>
        <v/>
      </c>
      <c r="G779" s="24">
        <f>G778-G777</f>
        <v/>
      </c>
      <c r="H779" s="24">
        <f>H778-H777</f>
        <v/>
      </c>
      <c r="I779" s="27">
        <f>I778-I777</f>
        <v/>
      </c>
      <c r="J779" s="30">
        <f>SUM(D779:I779)</f>
        <v/>
      </c>
      <c r="K779" s="29">
        <f>K778-K777</f>
        <v/>
      </c>
      <c r="L779" s="24">
        <f>L778-L777</f>
        <v/>
      </c>
      <c r="M779" s="24">
        <f>M778-M777</f>
        <v/>
      </c>
      <c r="N779" s="24">
        <f>N778-N777</f>
        <v/>
      </c>
      <c r="O779" s="24">
        <f>O778-O777</f>
        <v/>
      </c>
      <c r="P779" s="27">
        <f>P778-P777</f>
        <v/>
      </c>
      <c r="Q779" s="30">
        <f>SUM(K779:P779)</f>
        <v/>
      </c>
      <c r="R779" s="30">
        <f>J779+Q779</f>
        <v/>
      </c>
      <c r="S779" s="17" t="n"/>
    </row>
    <row r="780" ht="18" customHeight="1" s="43" thickBot="1">
      <c r="B780" s="60" t="n"/>
      <c r="C780" s="25" t="inlineStr">
        <is>
          <t>稼働棟数</t>
        </is>
      </c>
      <c r="D780" s="20" t="n"/>
      <c r="E780" s="20" t="n"/>
      <c r="F780" s="20" t="n"/>
      <c r="G780" s="20" t="n"/>
      <c r="H780" s="20" t="n"/>
      <c r="I780" s="28" t="n"/>
      <c r="J780" s="21">
        <f>I780</f>
        <v/>
      </c>
      <c r="K780" s="22" t="n"/>
      <c r="L780" s="20" t="n"/>
      <c r="M780" s="20" t="n"/>
      <c r="N780" s="20" t="n"/>
      <c r="O780" s="20" t="n"/>
      <c r="P780" s="28" t="n"/>
      <c r="Q780" s="21">
        <f>P780</f>
        <v/>
      </c>
      <c r="R780" s="21">
        <f>Q780</f>
        <v/>
      </c>
      <c r="S780" s="18" t="n"/>
    </row>
    <row r="781" ht="18" customHeight="1" s="43">
      <c r="B781" s="59" t="inlineStr">
        <is>
          <t>慈誠会/ナス</t>
        </is>
      </c>
      <c r="C781" s="31" t="inlineStr">
        <is>
          <t>58期</t>
        </is>
      </c>
      <c r="D781" s="8" t="n"/>
      <c r="E781" s="8" t="n"/>
      <c r="F781" s="8" t="n"/>
      <c r="G781" s="8" t="n"/>
      <c r="H781" s="8" t="n"/>
      <c r="I781" s="9" t="n"/>
      <c r="J781" s="10">
        <f>SUM(D781:I781)</f>
        <v/>
      </c>
      <c r="K781" s="11" t="n"/>
      <c r="L781" s="8" t="n"/>
      <c r="M781" s="8" t="n"/>
      <c r="N781" s="8" t="n"/>
      <c r="O781" s="8" t="n"/>
      <c r="P781" s="9" t="n"/>
      <c r="Q781" s="10">
        <f>SUM(K781:P781)</f>
        <v/>
      </c>
      <c r="R781" s="10">
        <f>J781+Q781</f>
        <v/>
      </c>
      <c r="S781" s="16" t="n"/>
    </row>
    <row r="782" ht="18" customHeight="1" s="43">
      <c r="B782" s="48" t="n"/>
      <c r="C782" s="7" t="inlineStr">
        <is>
          <t>59期</t>
        </is>
      </c>
      <c r="D782" s="12" t="n"/>
      <c r="E782" s="12" t="n"/>
      <c r="F782" s="12" t="n"/>
      <c r="G782" s="12" t="n"/>
      <c r="H782" s="12" t="n"/>
      <c r="I782" s="13" t="n"/>
      <c r="J782" s="14">
        <f>SUM(D782:I782)</f>
        <v/>
      </c>
      <c r="K782" s="15" t="n"/>
      <c r="L782" s="12" t="n"/>
      <c r="M782" s="12" t="n"/>
      <c r="N782" s="12" t="n"/>
      <c r="O782" s="12" t="n"/>
      <c r="P782" s="13" t="n"/>
      <c r="Q782" s="14">
        <f>SUM(K782:P782)</f>
        <v/>
      </c>
      <c r="R782" s="14">
        <f>J782+Q782</f>
        <v/>
      </c>
      <c r="S782" s="17" t="n"/>
    </row>
    <row r="783" ht="18" customHeight="1" s="43">
      <c r="B783" s="48" t="n"/>
      <c r="C783" s="23" t="inlineStr">
        <is>
          <t>増　減</t>
        </is>
      </c>
      <c r="D783" s="24">
        <f>D782-D781</f>
        <v/>
      </c>
      <c r="E783" s="24">
        <f>E782-E781</f>
        <v/>
      </c>
      <c r="F783" s="24">
        <f>F782-F781</f>
        <v/>
      </c>
      <c r="G783" s="24">
        <f>G782-G781</f>
        <v/>
      </c>
      <c r="H783" s="24">
        <f>H782-H781</f>
        <v/>
      </c>
      <c r="I783" s="27">
        <f>I782-I781</f>
        <v/>
      </c>
      <c r="J783" s="30">
        <f>SUM(D783:I783)</f>
        <v/>
      </c>
      <c r="K783" s="29">
        <f>K782-K781</f>
        <v/>
      </c>
      <c r="L783" s="24">
        <f>L782-L781</f>
        <v/>
      </c>
      <c r="M783" s="24">
        <f>M782-M781</f>
        <v/>
      </c>
      <c r="N783" s="24">
        <f>N782-N781</f>
        <v/>
      </c>
      <c r="O783" s="24">
        <f>O782-O781</f>
        <v/>
      </c>
      <c r="P783" s="27">
        <f>P782-P781</f>
        <v/>
      </c>
      <c r="Q783" s="30">
        <f>SUM(K783:P783)</f>
        <v/>
      </c>
      <c r="R783" s="30">
        <f>J783+Q783</f>
        <v/>
      </c>
      <c r="S783" s="17" t="n"/>
    </row>
    <row r="784" ht="18" customHeight="1" s="43" thickBot="1">
      <c r="B784" s="60" t="n"/>
      <c r="C784" s="25" t="inlineStr">
        <is>
          <t>稼働棟数</t>
        </is>
      </c>
      <c r="D784" s="20" t="n"/>
      <c r="E784" s="20" t="n"/>
      <c r="F784" s="20" t="n"/>
      <c r="G784" s="20" t="n"/>
      <c r="H784" s="20" t="n"/>
      <c r="I784" s="28" t="n"/>
      <c r="J784" s="21">
        <f>I784</f>
        <v/>
      </c>
      <c r="K784" s="22" t="n"/>
      <c r="L784" s="20" t="n"/>
      <c r="M784" s="20" t="n"/>
      <c r="N784" s="20" t="n"/>
      <c r="O784" s="20" t="n"/>
      <c r="P784" s="28" t="n"/>
      <c r="Q784" s="21">
        <f>P784</f>
        <v/>
      </c>
      <c r="R784" s="21">
        <f>Q784</f>
        <v/>
      </c>
      <c r="S784" s="18" t="n"/>
    </row>
    <row r="785" ht="18" customHeight="1" s="43">
      <c r="B785" s="59" t="inlineStr">
        <is>
          <t>慈誠会/ハーブ</t>
        </is>
      </c>
      <c r="C785" s="31" t="inlineStr">
        <is>
          <t>58期</t>
        </is>
      </c>
      <c r="D785" s="8" t="n"/>
      <c r="E785" s="8" t="n"/>
      <c r="F785" s="8" t="n"/>
      <c r="G785" s="8" t="n"/>
      <c r="H785" s="8" t="n"/>
      <c r="I785" s="9" t="n"/>
      <c r="J785" s="10">
        <f>SUM(D785:I785)</f>
        <v/>
      </c>
      <c r="K785" s="11" t="n"/>
      <c r="L785" s="8" t="n"/>
      <c r="M785" s="8" t="n"/>
      <c r="N785" s="8" t="n"/>
      <c r="O785" s="8" t="n"/>
      <c r="P785" s="9" t="n"/>
      <c r="Q785" s="10">
        <f>SUM(K785:P785)</f>
        <v/>
      </c>
      <c r="R785" s="10">
        <f>J785+Q785</f>
        <v/>
      </c>
      <c r="S785" s="16" t="n"/>
    </row>
    <row r="786" ht="18" customHeight="1" s="43">
      <c r="B786" s="48" t="n"/>
      <c r="C786" s="7" t="inlineStr">
        <is>
          <t>59期</t>
        </is>
      </c>
      <c r="D786" s="12" t="n"/>
      <c r="E786" s="12" t="n"/>
      <c r="F786" s="12" t="n"/>
      <c r="G786" s="12" t="n"/>
      <c r="H786" s="12" t="n"/>
      <c r="I786" s="13" t="n"/>
      <c r="J786" s="14">
        <f>SUM(D786:I786)</f>
        <v/>
      </c>
      <c r="K786" s="15" t="n"/>
      <c r="L786" s="12" t="n"/>
      <c r="M786" s="12" t="n"/>
      <c r="N786" s="12" t="n"/>
      <c r="O786" s="12" t="n"/>
      <c r="P786" s="13" t="n"/>
      <c r="Q786" s="14">
        <f>SUM(K786:P786)</f>
        <v/>
      </c>
      <c r="R786" s="14">
        <f>J786+Q786</f>
        <v/>
      </c>
      <c r="S786" s="17" t="n"/>
    </row>
    <row r="787" ht="18" customHeight="1" s="43">
      <c r="B787" s="48" t="n"/>
      <c r="C787" s="23" t="inlineStr">
        <is>
          <t>増　減</t>
        </is>
      </c>
      <c r="D787" s="24">
        <f>D786-D785</f>
        <v/>
      </c>
      <c r="E787" s="24">
        <f>E786-E785</f>
        <v/>
      </c>
      <c r="F787" s="24">
        <f>F786-F785</f>
        <v/>
      </c>
      <c r="G787" s="24">
        <f>G786-G785</f>
        <v/>
      </c>
      <c r="H787" s="24">
        <f>H786-H785</f>
        <v/>
      </c>
      <c r="I787" s="27">
        <f>I786-I785</f>
        <v/>
      </c>
      <c r="J787" s="30">
        <f>SUM(D787:I787)</f>
        <v/>
      </c>
      <c r="K787" s="29">
        <f>K786-K785</f>
        <v/>
      </c>
      <c r="L787" s="24">
        <f>L786-L785</f>
        <v/>
      </c>
      <c r="M787" s="24">
        <f>M786-M785</f>
        <v/>
      </c>
      <c r="N787" s="24">
        <f>N786-N785</f>
        <v/>
      </c>
      <c r="O787" s="24">
        <f>O786-O785</f>
        <v/>
      </c>
      <c r="P787" s="27">
        <f>P786-P785</f>
        <v/>
      </c>
      <c r="Q787" s="30">
        <f>SUM(K787:P787)</f>
        <v/>
      </c>
      <c r="R787" s="30">
        <f>J787+Q787</f>
        <v/>
      </c>
      <c r="S787" s="17" t="n"/>
    </row>
    <row r="788" ht="18" customHeight="1" s="43" thickBot="1">
      <c r="B788" s="60" t="n"/>
      <c r="C788" s="25" t="inlineStr">
        <is>
          <t>稼働棟数</t>
        </is>
      </c>
      <c r="D788" s="20" t="n"/>
      <c r="E788" s="20" t="n"/>
      <c r="F788" s="20" t="n"/>
      <c r="G788" s="20" t="n"/>
      <c r="H788" s="20" t="n"/>
      <c r="I788" s="28" t="n"/>
      <c r="J788" s="21">
        <f>I788</f>
        <v/>
      </c>
      <c r="K788" s="22" t="n"/>
      <c r="L788" s="20" t="n"/>
      <c r="M788" s="20" t="n"/>
      <c r="N788" s="20" t="n"/>
      <c r="O788" s="20" t="n"/>
      <c r="P788" s="28" t="n"/>
      <c r="Q788" s="21">
        <f>P788</f>
        <v/>
      </c>
      <c r="R788" s="21">
        <f>Q788</f>
        <v/>
      </c>
      <c r="S788" s="18" t="n"/>
    </row>
    <row r="789" ht="18" customHeight="1" s="43">
      <c r="B789" s="59" t="inlineStr">
        <is>
          <t>慈誠会/パプリカ</t>
        </is>
      </c>
      <c r="C789" s="31" t="inlineStr">
        <is>
          <t>58期</t>
        </is>
      </c>
      <c r="D789" s="8" t="n"/>
      <c r="E789" s="8" t="n"/>
      <c r="F789" s="8" t="n"/>
      <c r="G789" s="8" t="n"/>
      <c r="H789" s="8" t="n"/>
      <c r="I789" s="9" t="n"/>
      <c r="J789" s="10">
        <f>SUM(D789:I789)</f>
        <v/>
      </c>
      <c r="K789" s="11" t="n"/>
      <c r="L789" s="8" t="n"/>
      <c r="M789" s="8" t="n"/>
      <c r="N789" s="8" t="n"/>
      <c r="O789" s="8" t="n"/>
      <c r="P789" s="9" t="n"/>
      <c r="Q789" s="10">
        <f>SUM(K789:P789)</f>
        <v/>
      </c>
      <c r="R789" s="10">
        <f>J789+Q789</f>
        <v/>
      </c>
      <c r="S789" s="16" t="n"/>
    </row>
    <row r="790" ht="18" customHeight="1" s="43">
      <c r="B790" s="48" t="n"/>
      <c r="C790" s="7" t="inlineStr">
        <is>
          <t>59期</t>
        </is>
      </c>
      <c r="D790" s="12" t="n"/>
      <c r="E790" s="12" t="n"/>
      <c r="F790" s="12" t="n"/>
      <c r="G790" s="12" t="n"/>
      <c r="H790" s="12" t="n"/>
      <c r="I790" s="13" t="n"/>
      <c r="J790" s="14">
        <f>SUM(D790:I790)</f>
        <v/>
      </c>
      <c r="K790" s="15" t="n"/>
      <c r="L790" s="12" t="n"/>
      <c r="M790" s="12" t="n"/>
      <c r="N790" s="12" t="n"/>
      <c r="O790" s="12" t="n"/>
      <c r="P790" s="13" t="n"/>
      <c r="Q790" s="14">
        <f>SUM(K790:P790)</f>
        <v/>
      </c>
      <c r="R790" s="14">
        <f>J790+Q790</f>
        <v/>
      </c>
      <c r="S790" s="17" t="n"/>
    </row>
    <row r="791" ht="18" customHeight="1" s="43">
      <c r="B791" s="48" t="n"/>
      <c r="C791" s="23" t="inlineStr">
        <is>
          <t>増　減</t>
        </is>
      </c>
      <c r="D791" s="24">
        <f>D790-D789</f>
        <v/>
      </c>
      <c r="E791" s="24">
        <f>E790-E789</f>
        <v/>
      </c>
      <c r="F791" s="24">
        <f>F790-F789</f>
        <v/>
      </c>
      <c r="G791" s="24">
        <f>G790-G789</f>
        <v/>
      </c>
      <c r="H791" s="24">
        <f>H790-H789</f>
        <v/>
      </c>
      <c r="I791" s="27">
        <f>I790-I789</f>
        <v/>
      </c>
      <c r="J791" s="30">
        <f>SUM(D791:I791)</f>
        <v/>
      </c>
      <c r="K791" s="29">
        <f>K790-K789</f>
        <v/>
      </c>
      <c r="L791" s="24">
        <f>L790-L789</f>
        <v/>
      </c>
      <c r="M791" s="24">
        <f>M790-M789</f>
        <v/>
      </c>
      <c r="N791" s="24">
        <f>N790-N789</f>
        <v/>
      </c>
      <c r="O791" s="24">
        <f>O790-O789</f>
        <v/>
      </c>
      <c r="P791" s="27">
        <f>P790-P789</f>
        <v/>
      </c>
      <c r="Q791" s="30">
        <f>SUM(K791:P791)</f>
        <v/>
      </c>
      <c r="R791" s="30">
        <f>J791+Q791</f>
        <v/>
      </c>
      <c r="S791" s="17" t="n"/>
    </row>
    <row r="792" ht="18" customHeight="1" s="43" thickBot="1">
      <c r="B792" s="60" t="n"/>
      <c r="C792" s="25" t="inlineStr">
        <is>
          <t>稼働棟数</t>
        </is>
      </c>
      <c r="D792" s="20" t="n"/>
      <c r="E792" s="20" t="n"/>
      <c r="F792" s="20" t="n"/>
      <c r="G792" s="20" t="n"/>
      <c r="H792" s="20" t="n"/>
      <c r="I792" s="28" t="n"/>
      <c r="J792" s="21">
        <f>I792</f>
        <v/>
      </c>
      <c r="K792" s="22" t="n"/>
      <c r="L792" s="20" t="n"/>
      <c r="M792" s="20" t="n"/>
      <c r="N792" s="20" t="n"/>
      <c r="O792" s="20" t="n"/>
      <c r="P792" s="28" t="n"/>
      <c r="Q792" s="21">
        <f>P792</f>
        <v/>
      </c>
      <c r="R792" s="21">
        <f>Q792</f>
        <v/>
      </c>
      <c r="S792" s="18" t="n"/>
    </row>
    <row r="793" ht="18" customHeight="1" s="43">
      <c r="B793" s="59" t="inlineStr">
        <is>
          <t>慈誠会/ピーマン</t>
        </is>
      </c>
      <c r="C793" s="31" t="inlineStr">
        <is>
          <t>58期</t>
        </is>
      </c>
      <c r="D793" s="8" t="n"/>
      <c r="E793" s="8" t="n"/>
      <c r="F793" s="8" t="n"/>
      <c r="G793" s="8" t="n"/>
      <c r="H793" s="8" t="n"/>
      <c r="I793" s="9" t="n"/>
      <c r="J793" s="10">
        <f>SUM(D793:I793)</f>
        <v/>
      </c>
      <c r="K793" s="11" t="n"/>
      <c r="L793" s="8" t="n"/>
      <c r="M793" s="8" t="n"/>
      <c r="N793" s="8" t="n"/>
      <c r="O793" s="8" t="n"/>
      <c r="P793" s="9" t="n"/>
      <c r="Q793" s="10">
        <f>SUM(K793:P793)</f>
        <v/>
      </c>
      <c r="R793" s="10">
        <f>J793+Q793</f>
        <v/>
      </c>
      <c r="S793" s="16" t="n"/>
    </row>
    <row r="794" ht="18" customHeight="1" s="43">
      <c r="B794" s="48" t="n"/>
      <c r="C794" s="7" t="inlineStr">
        <is>
          <t>59期</t>
        </is>
      </c>
      <c r="D794" s="12" t="n"/>
      <c r="E794" s="12" t="n"/>
      <c r="F794" s="12" t="n"/>
      <c r="G794" s="12" t="n"/>
      <c r="H794" s="12" t="n"/>
      <c r="I794" s="13" t="n"/>
      <c r="J794" s="14">
        <f>SUM(D794:I794)</f>
        <v/>
      </c>
      <c r="K794" s="15" t="n"/>
      <c r="L794" s="12" t="n"/>
      <c r="M794" s="12" t="n"/>
      <c r="N794" s="12" t="n"/>
      <c r="O794" s="12" t="n"/>
      <c r="P794" s="13" t="n"/>
      <c r="Q794" s="14">
        <f>SUM(K794:P794)</f>
        <v/>
      </c>
      <c r="R794" s="14">
        <f>J794+Q794</f>
        <v/>
      </c>
      <c r="S794" s="17" t="n"/>
    </row>
    <row r="795" ht="18" customHeight="1" s="43">
      <c r="B795" s="48" t="n"/>
      <c r="C795" s="23" t="inlineStr">
        <is>
          <t>増　減</t>
        </is>
      </c>
      <c r="D795" s="24">
        <f>D794-D793</f>
        <v/>
      </c>
      <c r="E795" s="24">
        <f>E794-E793</f>
        <v/>
      </c>
      <c r="F795" s="24">
        <f>F794-F793</f>
        <v/>
      </c>
      <c r="G795" s="24">
        <f>G794-G793</f>
        <v/>
      </c>
      <c r="H795" s="24">
        <f>H794-H793</f>
        <v/>
      </c>
      <c r="I795" s="27">
        <f>I794-I793</f>
        <v/>
      </c>
      <c r="J795" s="30">
        <f>SUM(D795:I795)</f>
        <v/>
      </c>
      <c r="K795" s="29">
        <f>K794-K793</f>
        <v/>
      </c>
      <c r="L795" s="24">
        <f>L794-L793</f>
        <v/>
      </c>
      <c r="M795" s="24">
        <f>M794-M793</f>
        <v/>
      </c>
      <c r="N795" s="24">
        <f>N794-N793</f>
        <v/>
      </c>
      <c r="O795" s="24">
        <f>O794-O793</f>
        <v/>
      </c>
      <c r="P795" s="27">
        <f>P794-P793</f>
        <v/>
      </c>
      <c r="Q795" s="30">
        <f>SUM(K795:P795)</f>
        <v/>
      </c>
      <c r="R795" s="30">
        <f>J795+Q795</f>
        <v/>
      </c>
      <c r="S795" s="17" t="n"/>
    </row>
    <row r="796" ht="18" customHeight="1" s="43" thickBot="1">
      <c r="B796" s="60" t="n"/>
      <c r="C796" s="25" t="inlineStr">
        <is>
          <t>稼働棟数</t>
        </is>
      </c>
      <c r="D796" s="20" t="n"/>
      <c r="E796" s="20" t="n"/>
      <c r="F796" s="20" t="n"/>
      <c r="G796" s="20" t="n"/>
      <c r="H796" s="20" t="n"/>
      <c r="I796" s="28" t="n"/>
      <c r="J796" s="21">
        <f>I796</f>
        <v/>
      </c>
      <c r="K796" s="22" t="n"/>
      <c r="L796" s="20" t="n"/>
      <c r="M796" s="20" t="n"/>
      <c r="N796" s="20" t="n"/>
      <c r="O796" s="20" t="n"/>
      <c r="P796" s="28" t="n"/>
      <c r="Q796" s="21">
        <f>P796</f>
        <v/>
      </c>
      <c r="R796" s="21">
        <f>Q796</f>
        <v/>
      </c>
      <c r="S796" s="18" t="n"/>
    </row>
    <row r="797" ht="18" customHeight="1" s="43">
      <c r="B797" s="59" t="inlineStr">
        <is>
          <t>慈誠会/マイクロ</t>
        </is>
      </c>
      <c r="C797" s="31" t="inlineStr">
        <is>
          <t>58期</t>
        </is>
      </c>
      <c r="D797" s="8" t="n"/>
      <c r="E797" s="8" t="n"/>
      <c r="F797" s="8" t="n"/>
      <c r="G797" s="8" t="n"/>
      <c r="H797" s="8" t="n"/>
      <c r="I797" s="9" t="n"/>
      <c r="J797" s="10">
        <f>SUM(D797:I797)</f>
        <v/>
      </c>
      <c r="K797" s="11" t="n"/>
      <c r="L797" s="8" t="n"/>
      <c r="M797" s="8" t="n"/>
      <c r="N797" s="8" t="n"/>
      <c r="O797" s="8" t="n"/>
      <c r="P797" s="9" t="n"/>
      <c r="Q797" s="10">
        <f>SUM(K797:P797)</f>
        <v/>
      </c>
      <c r="R797" s="10">
        <f>J797+Q797</f>
        <v/>
      </c>
      <c r="S797" s="16" t="n"/>
    </row>
    <row r="798" ht="18" customHeight="1" s="43">
      <c r="B798" s="48" t="n"/>
      <c r="C798" s="7" t="inlineStr">
        <is>
          <t>59期</t>
        </is>
      </c>
      <c r="D798" s="12" t="n"/>
      <c r="E798" s="12" t="n"/>
      <c r="F798" s="12" t="n"/>
      <c r="G798" s="12" t="n"/>
      <c r="H798" s="12" t="n"/>
      <c r="I798" s="13" t="n"/>
      <c r="J798" s="14">
        <f>SUM(D798:I798)</f>
        <v/>
      </c>
      <c r="K798" s="15" t="n"/>
      <c r="L798" s="12" t="n"/>
      <c r="M798" s="12" t="n"/>
      <c r="N798" s="12" t="n"/>
      <c r="O798" s="12" t="n"/>
      <c r="P798" s="13" t="n"/>
      <c r="Q798" s="14">
        <f>SUM(K798:P798)</f>
        <v/>
      </c>
      <c r="R798" s="14">
        <f>J798+Q798</f>
        <v/>
      </c>
      <c r="S798" s="17" t="n"/>
    </row>
    <row r="799" ht="18" customHeight="1" s="43">
      <c r="B799" s="48" t="n"/>
      <c r="C799" s="23" t="inlineStr">
        <is>
          <t>増　減</t>
        </is>
      </c>
      <c r="D799" s="24">
        <f>D798-D797</f>
        <v/>
      </c>
      <c r="E799" s="24">
        <f>E798-E797</f>
        <v/>
      </c>
      <c r="F799" s="24">
        <f>F798-F797</f>
        <v/>
      </c>
      <c r="G799" s="24">
        <f>G798-G797</f>
        <v/>
      </c>
      <c r="H799" s="24">
        <f>H798-H797</f>
        <v/>
      </c>
      <c r="I799" s="27">
        <f>I798-I797</f>
        <v/>
      </c>
      <c r="J799" s="30">
        <f>SUM(D799:I799)</f>
        <v/>
      </c>
      <c r="K799" s="29">
        <f>K798-K797</f>
        <v/>
      </c>
      <c r="L799" s="24">
        <f>L798-L797</f>
        <v/>
      </c>
      <c r="M799" s="24">
        <f>M798-M797</f>
        <v/>
      </c>
      <c r="N799" s="24">
        <f>N798-N797</f>
        <v/>
      </c>
      <c r="O799" s="24">
        <f>O798-O797</f>
        <v/>
      </c>
      <c r="P799" s="27">
        <f>P798-P797</f>
        <v/>
      </c>
      <c r="Q799" s="30">
        <f>SUM(K799:P799)</f>
        <v/>
      </c>
      <c r="R799" s="30">
        <f>J799+Q799</f>
        <v/>
      </c>
      <c r="S799" s="17" t="n"/>
    </row>
    <row r="800" ht="18" customHeight="1" s="43" thickBot="1">
      <c r="B800" s="60" t="n"/>
      <c r="C800" s="25" t="inlineStr">
        <is>
          <t>稼働棟数</t>
        </is>
      </c>
      <c r="D800" s="20" t="n"/>
      <c r="E800" s="20" t="n"/>
      <c r="F800" s="20" t="n"/>
      <c r="G800" s="20" t="n"/>
      <c r="H800" s="20" t="n"/>
      <c r="I800" s="28" t="n"/>
      <c r="J800" s="21">
        <f>I800</f>
        <v/>
      </c>
      <c r="K800" s="22" t="n"/>
      <c r="L800" s="20" t="n"/>
      <c r="M800" s="20" t="n"/>
      <c r="N800" s="20" t="n"/>
      <c r="O800" s="20" t="n"/>
      <c r="P800" s="28" t="n"/>
      <c r="Q800" s="21">
        <f>P800</f>
        <v/>
      </c>
      <c r="R800" s="21">
        <f>Q800</f>
        <v/>
      </c>
      <c r="S800" s="18" t="n"/>
    </row>
    <row r="801" ht="18" customHeight="1" s="43">
      <c r="B801" s="59" t="inlineStr">
        <is>
          <t>慈誠会/ミニトマト</t>
        </is>
      </c>
      <c r="C801" s="31" t="inlineStr">
        <is>
          <t>58期</t>
        </is>
      </c>
      <c r="D801" s="8" t="n"/>
      <c r="E801" s="8" t="n"/>
      <c r="F801" s="8" t="n"/>
      <c r="G801" s="8" t="n"/>
      <c r="H801" s="8" t="n"/>
      <c r="I801" s="9" t="n"/>
      <c r="J801" s="10">
        <f>SUM(D801:I801)</f>
        <v/>
      </c>
      <c r="K801" s="11" t="n"/>
      <c r="L801" s="8" t="n"/>
      <c r="M801" s="8" t="n"/>
      <c r="N801" s="8" t="n"/>
      <c r="O801" s="8" t="n"/>
      <c r="P801" s="9" t="n"/>
      <c r="Q801" s="10">
        <f>SUM(K801:P801)</f>
        <v/>
      </c>
      <c r="R801" s="10">
        <f>J801+Q801</f>
        <v/>
      </c>
      <c r="S801" s="16" t="n"/>
    </row>
    <row r="802" ht="18" customHeight="1" s="43">
      <c r="B802" s="48" t="n"/>
      <c r="C802" s="7" t="inlineStr">
        <is>
          <t>59期</t>
        </is>
      </c>
      <c r="D802" s="12" t="n"/>
      <c r="E802" s="12" t="n"/>
      <c r="F802" s="12" t="n"/>
      <c r="G802" s="12" t="n"/>
      <c r="H802" s="12" t="n"/>
      <c r="I802" s="13" t="n"/>
      <c r="J802" s="14">
        <f>SUM(D802:I802)</f>
        <v/>
      </c>
      <c r="K802" s="15" t="n"/>
      <c r="L802" s="12" t="n"/>
      <c r="M802" s="12" t="n"/>
      <c r="N802" s="12" t="n"/>
      <c r="O802" s="12" t="n"/>
      <c r="P802" s="13" t="n"/>
      <c r="Q802" s="14">
        <f>SUM(K802:P802)</f>
        <v/>
      </c>
      <c r="R802" s="14">
        <f>J802+Q802</f>
        <v/>
      </c>
      <c r="S802" s="17" t="n"/>
    </row>
    <row r="803" ht="18" customHeight="1" s="43">
      <c r="B803" s="48" t="n"/>
      <c r="C803" s="23" t="inlineStr">
        <is>
          <t>増　減</t>
        </is>
      </c>
      <c r="D803" s="24">
        <f>D802-D801</f>
        <v/>
      </c>
      <c r="E803" s="24">
        <f>E802-E801</f>
        <v/>
      </c>
      <c r="F803" s="24">
        <f>F802-F801</f>
        <v/>
      </c>
      <c r="G803" s="24">
        <f>G802-G801</f>
        <v/>
      </c>
      <c r="H803" s="24">
        <f>H802-H801</f>
        <v/>
      </c>
      <c r="I803" s="27">
        <f>I802-I801</f>
        <v/>
      </c>
      <c r="J803" s="30">
        <f>SUM(D803:I803)</f>
        <v/>
      </c>
      <c r="K803" s="29">
        <f>K802-K801</f>
        <v/>
      </c>
      <c r="L803" s="24">
        <f>L802-L801</f>
        <v/>
      </c>
      <c r="M803" s="24">
        <f>M802-M801</f>
        <v/>
      </c>
      <c r="N803" s="24">
        <f>N802-N801</f>
        <v/>
      </c>
      <c r="O803" s="24">
        <f>O802-O801</f>
        <v/>
      </c>
      <c r="P803" s="27">
        <f>P802-P801</f>
        <v/>
      </c>
      <c r="Q803" s="30">
        <f>SUM(K803:P803)</f>
        <v/>
      </c>
      <c r="R803" s="30">
        <f>J803+Q803</f>
        <v/>
      </c>
      <c r="S803" s="17" t="n"/>
    </row>
    <row r="804" ht="18" customHeight="1" s="43" thickBot="1">
      <c r="B804" s="60" t="n"/>
      <c r="C804" s="25" t="inlineStr">
        <is>
          <t>稼働棟数</t>
        </is>
      </c>
      <c r="D804" s="20" t="n"/>
      <c r="E804" s="20" t="n"/>
      <c r="F804" s="20" t="n"/>
      <c r="G804" s="20" t="n"/>
      <c r="H804" s="20" t="n"/>
      <c r="I804" s="28" t="n"/>
      <c r="J804" s="21">
        <f>I804</f>
        <v/>
      </c>
      <c r="K804" s="22" t="n"/>
      <c r="L804" s="20" t="n"/>
      <c r="M804" s="20" t="n"/>
      <c r="N804" s="20" t="n"/>
      <c r="O804" s="20" t="n"/>
      <c r="P804" s="28" t="n"/>
      <c r="Q804" s="21">
        <f>P804</f>
        <v/>
      </c>
      <c r="R804" s="21">
        <f>Q804</f>
        <v/>
      </c>
      <c r="S804" s="18" t="n"/>
    </row>
    <row r="805" ht="18" customHeight="1" s="43">
      <c r="B805" s="59" t="inlineStr">
        <is>
          <t>慈誠会/根物野菜</t>
        </is>
      </c>
      <c r="C805" s="31" t="inlineStr">
        <is>
          <t>58期</t>
        </is>
      </c>
      <c r="D805" s="8" t="n"/>
      <c r="E805" s="8" t="n"/>
      <c r="F805" s="8" t="n"/>
      <c r="G805" s="8" t="n">
        <v>4.38</v>
      </c>
      <c r="H805" s="8" t="n"/>
      <c r="I805" s="9" t="n"/>
      <c r="J805" s="10" t="n">
        <v>4.38</v>
      </c>
      <c r="K805" s="11" t="n"/>
      <c r="L805" s="8" t="n"/>
      <c r="M805" s="8" t="n"/>
      <c r="N805" s="8" t="n"/>
      <c r="O805" s="8" t="n"/>
      <c r="P805" s="9" t="n"/>
      <c r="Q805" s="10" t="n">
        <v>0</v>
      </c>
      <c r="R805" s="10" t="n">
        <v>4.38</v>
      </c>
      <c r="S805" s="16" t="n"/>
    </row>
    <row r="806" ht="18" customHeight="1" s="43">
      <c r="B806" s="48" t="n"/>
      <c r="C806" s="7" t="inlineStr">
        <is>
          <t>59期</t>
        </is>
      </c>
      <c r="D806" s="12" t="n"/>
      <c r="E806" s="12" t="n"/>
      <c r="F806" s="12" t="n"/>
      <c r="G806" s="12" t="n"/>
      <c r="H806" s="12" t="n"/>
      <c r="I806" s="13" t="n"/>
      <c r="J806" s="14">
        <f>SUM(D806:I806)</f>
        <v/>
      </c>
      <c r="K806" s="15" t="n"/>
      <c r="L806" s="12" t="n"/>
      <c r="M806" s="12" t="n"/>
      <c r="N806" s="12" t="n"/>
      <c r="O806" s="12" t="n"/>
      <c r="P806" s="13" t="n"/>
      <c r="Q806" s="14">
        <f>SUM(K806:P806)</f>
        <v/>
      </c>
      <c r="R806" s="14">
        <f>J806+Q806</f>
        <v/>
      </c>
      <c r="S806" s="17" t="n"/>
    </row>
    <row r="807" ht="18" customHeight="1" s="43">
      <c r="B807" s="48" t="n"/>
      <c r="C807" s="23" t="inlineStr">
        <is>
          <t>増　減</t>
        </is>
      </c>
      <c r="D807" s="24">
        <f>D806-D805</f>
        <v/>
      </c>
      <c r="E807" s="24">
        <f>E806-E805</f>
        <v/>
      </c>
      <c r="F807" s="24">
        <f>F806-F805</f>
        <v/>
      </c>
      <c r="G807" s="24">
        <f>G806-G805</f>
        <v/>
      </c>
      <c r="H807" s="24">
        <f>H806-H805</f>
        <v/>
      </c>
      <c r="I807" s="27">
        <f>I806-I805</f>
        <v/>
      </c>
      <c r="J807" s="30">
        <f>SUM(D807:I807)</f>
        <v/>
      </c>
      <c r="K807" s="29">
        <f>K806-K805</f>
        <v/>
      </c>
      <c r="L807" s="24">
        <f>L806-L805</f>
        <v/>
      </c>
      <c r="M807" s="24">
        <f>M806-M805</f>
        <v/>
      </c>
      <c r="N807" s="24">
        <f>N806-N805</f>
        <v/>
      </c>
      <c r="O807" s="24">
        <f>O806-O805</f>
        <v/>
      </c>
      <c r="P807" s="27">
        <f>P806-P805</f>
        <v/>
      </c>
      <c r="Q807" s="30">
        <f>SUM(K807:P807)</f>
        <v/>
      </c>
      <c r="R807" s="30">
        <f>J807+Q807</f>
        <v/>
      </c>
      <c r="S807" s="17" t="n"/>
    </row>
    <row r="808" ht="18" customHeight="1" s="43" thickBot="1">
      <c r="B808" s="60" t="n"/>
      <c r="C808" s="25" t="inlineStr">
        <is>
          <t>稼働棟数</t>
        </is>
      </c>
      <c r="D808" s="20" t="n"/>
      <c r="E808" s="20" t="n"/>
      <c r="F808" s="20" t="n"/>
      <c r="G808" s="20" t="n"/>
      <c r="H808" s="20" t="n"/>
      <c r="I808" s="28" t="n"/>
      <c r="J808" s="21">
        <f>I808</f>
        <v/>
      </c>
      <c r="K808" s="22" t="n"/>
      <c r="L808" s="20" t="n"/>
      <c r="M808" s="20" t="n"/>
      <c r="N808" s="20" t="n"/>
      <c r="O808" s="20" t="n"/>
      <c r="P808" s="28" t="n"/>
      <c r="Q808" s="21">
        <f>P808</f>
        <v/>
      </c>
      <c r="R808" s="21">
        <f>Q808</f>
        <v/>
      </c>
      <c r="S808" s="18" t="n"/>
    </row>
    <row r="809" ht="18" customHeight="1" s="43">
      <c r="B809" s="59" t="inlineStr">
        <is>
          <t>慈誠会/実物野菜</t>
        </is>
      </c>
      <c r="C809" s="31" t="inlineStr">
        <is>
          <t>58期</t>
        </is>
      </c>
      <c r="D809" s="8" t="n"/>
      <c r="E809" s="8" t="n"/>
      <c r="F809" s="8" t="n"/>
      <c r="G809" s="8" t="n"/>
      <c r="H809" s="8" t="n"/>
      <c r="I809" s="9" t="n"/>
      <c r="J809" s="10">
        <f>SUM(D809:I809)</f>
        <v/>
      </c>
      <c r="K809" s="11" t="n"/>
      <c r="L809" s="8" t="n"/>
      <c r="M809" s="8" t="n"/>
      <c r="N809" s="8" t="n"/>
      <c r="O809" s="8" t="n"/>
      <c r="P809" s="9" t="n"/>
      <c r="Q809" s="10">
        <f>SUM(K809:P809)</f>
        <v/>
      </c>
      <c r="R809" s="10">
        <f>J809+Q809</f>
        <v/>
      </c>
      <c r="S809" s="16" t="n"/>
    </row>
    <row r="810" ht="18" customHeight="1" s="43">
      <c r="B810" s="48" t="n"/>
      <c r="C810" s="7" t="inlineStr">
        <is>
          <t>59期</t>
        </is>
      </c>
      <c r="D810" s="12" t="n"/>
      <c r="E810" s="12" t="n"/>
      <c r="F810" s="12" t="n"/>
      <c r="G810" s="12" t="n"/>
      <c r="H810" s="12" t="n"/>
      <c r="I810" s="13" t="n"/>
      <c r="J810" s="14">
        <f>SUM(D810:I810)</f>
        <v/>
      </c>
      <c r="K810" s="15" t="n"/>
      <c r="L810" s="12" t="n"/>
      <c r="M810" s="12" t="n"/>
      <c r="N810" s="12" t="n"/>
      <c r="O810" s="12" t="n"/>
      <c r="P810" s="13" t="n"/>
      <c r="Q810" s="14">
        <f>SUM(K810:P810)</f>
        <v/>
      </c>
      <c r="R810" s="14">
        <f>J810+Q810</f>
        <v/>
      </c>
      <c r="S810" s="17" t="n"/>
    </row>
    <row r="811" ht="18" customHeight="1" s="43">
      <c r="B811" s="48" t="n"/>
      <c r="C811" s="23" t="inlineStr">
        <is>
          <t>増　減</t>
        </is>
      </c>
      <c r="D811" s="24">
        <f>D810-D809</f>
        <v/>
      </c>
      <c r="E811" s="24">
        <f>E810-E809</f>
        <v/>
      </c>
      <c r="F811" s="24">
        <f>F810-F809</f>
        <v/>
      </c>
      <c r="G811" s="24">
        <f>G810-G809</f>
        <v/>
      </c>
      <c r="H811" s="24">
        <f>H810-H809</f>
        <v/>
      </c>
      <c r="I811" s="27">
        <f>I810-I809</f>
        <v/>
      </c>
      <c r="J811" s="30">
        <f>SUM(D811:I811)</f>
        <v/>
      </c>
      <c r="K811" s="29">
        <f>K810-K809</f>
        <v/>
      </c>
      <c r="L811" s="24">
        <f>L810-L809</f>
        <v/>
      </c>
      <c r="M811" s="24">
        <f>M810-M809</f>
        <v/>
      </c>
      <c r="N811" s="24">
        <f>N810-N809</f>
        <v/>
      </c>
      <c r="O811" s="24">
        <f>O810-O809</f>
        <v/>
      </c>
      <c r="P811" s="27">
        <f>P810-P809</f>
        <v/>
      </c>
      <c r="Q811" s="30">
        <f>SUM(K811:P811)</f>
        <v/>
      </c>
      <c r="R811" s="30">
        <f>J811+Q811</f>
        <v/>
      </c>
      <c r="S811" s="17" t="n"/>
    </row>
    <row r="812" ht="18" customHeight="1" s="43" thickBot="1">
      <c r="B812" s="60" t="n"/>
      <c r="C812" s="25" t="inlineStr">
        <is>
          <t>稼働棟数</t>
        </is>
      </c>
      <c r="D812" s="20" t="n"/>
      <c r="E812" s="20" t="n"/>
      <c r="F812" s="20" t="n"/>
      <c r="G812" s="20" t="n"/>
      <c r="H812" s="20" t="n"/>
      <c r="I812" s="28" t="n"/>
      <c r="J812" s="21">
        <f>I812</f>
        <v/>
      </c>
      <c r="K812" s="22" t="n"/>
      <c r="L812" s="20" t="n"/>
      <c r="M812" s="20" t="n"/>
      <c r="N812" s="20" t="n"/>
      <c r="O812" s="20" t="n"/>
      <c r="P812" s="28" t="n"/>
      <c r="Q812" s="21">
        <f>P812</f>
        <v/>
      </c>
      <c r="R812" s="21">
        <f>Q812</f>
        <v/>
      </c>
      <c r="S812" s="18" t="n"/>
    </row>
    <row r="813" ht="18" customHeight="1" s="43">
      <c r="B813" s="59" t="inlineStr">
        <is>
          <t>慈誠会/食用花</t>
        </is>
      </c>
      <c r="C813" s="31" t="inlineStr">
        <is>
          <t>58期</t>
        </is>
      </c>
      <c r="D813" s="8" t="n"/>
      <c r="E813" s="8" t="n"/>
      <c r="F813" s="8" t="n"/>
      <c r="G813" s="8" t="n"/>
      <c r="H813" s="8" t="n"/>
      <c r="I813" s="9" t="n"/>
      <c r="J813" s="10">
        <f>SUM(D813:I813)</f>
        <v/>
      </c>
      <c r="K813" s="11" t="n"/>
      <c r="L813" s="8" t="n"/>
      <c r="M813" s="8" t="n"/>
      <c r="N813" s="8" t="n"/>
      <c r="O813" s="8" t="n"/>
      <c r="P813" s="9" t="n"/>
      <c r="Q813" s="10">
        <f>SUM(K813:P813)</f>
        <v/>
      </c>
      <c r="R813" s="10">
        <f>J813+Q813</f>
        <v/>
      </c>
      <c r="S813" s="16" t="n"/>
    </row>
    <row r="814" ht="18" customHeight="1" s="43">
      <c r="B814" s="48" t="n"/>
      <c r="C814" s="7" t="inlineStr">
        <is>
          <t>59期</t>
        </is>
      </c>
      <c r="D814" s="12" t="n"/>
      <c r="E814" s="12" t="n"/>
      <c r="F814" s="12" t="n"/>
      <c r="G814" s="12" t="n"/>
      <c r="H814" s="12" t="n"/>
      <c r="I814" s="13" t="n"/>
      <c r="J814" s="14">
        <f>SUM(D814:I814)</f>
        <v/>
      </c>
      <c r="K814" s="15" t="n"/>
      <c r="L814" s="12" t="n"/>
      <c r="M814" s="12" t="n"/>
      <c r="N814" s="12" t="n"/>
      <c r="O814" s="12" t="n"/>
      <c r="P814" s="13" t="n"/>
      <c r="Q814" s="14">
        <f>SUM(K814:P814)</f>
        <v/>
      </c>
      <c r="R814" s="14">
        <f>J814+Q814</f>
        <v/>
      </c>
      <c r="S814" s="17" t="n"/>
    </row>
    <row r="815" ht="18" customHeight="1" s="43">
      <c r="B815" s="48" t="n"/>
      <c r="C815" s="23" t="inlineStr">
        <is>
          <t>増　減</t>
        </is>
      </c>
      <c r="D815" s="24">
        <f>D814-D813</f>
        <v/>
      </c>
      <c r="E815" s="24">
        <f>E814-E813</f>
        <v/>
      </c>
      <c r="F815" s="24">
        <f>F814-F813</f>
        <v/>
      </c>
      <c r="G815" s="24">
        <f>G814-G813</f>
        <v/>
      </c>
      <c r="H815" s="24">
        <f>H814-H813</f>
        <v/>
      </c>
      <c r="I815" s="27">
        <f>I814-I813</f>
        <v/>
      </c>
      <c r="J815" s="30">
        <f>SUM(D815:I815)</f>
        <v/>
      </c>
      <c r="K815" s="29">
        <f>K814-K813</f>
        <v/>
      </c>
      <c r="L815" s="24">
        <f>L814-L813</f>
        <v/>
      </c>
      <c r="M815" s="24">
        <f>M814-M813</f>
        <v/>
      </c>
      <c r="N815" s="24">
        <f>N814-N813</f>
        <v/>
      </c>
      <c r="O815" s="24">
        <f>O814-O813</f>
        <v/>
      </c>
      <c r="P815" s="27">
        <f>P814-P813</f>
        <v/>
      </c>
      <c r="Q815" s="30">
        <f>SUM(K815:P815)</f>
        <v/>
      </c>
      <c r="R815" s="30">
        <f>J815+Q815</f>
        <v/>
      </c>
      <c r="S815" s="17" t="n"/>
    </row>
    <row r="816" ht="18" customHeight="1" s="43" thickBot="1">
      <c r="B816" s="60" t="n"/>
      <c r="C816" s="25" t="inlineStr">
        <is>
          <t>稼働棟数</t>
        </is>
      </c>
      <c r="D816" s="20" t="n"/>
      <c r="E816" s="20" t="n"/>
      <c r="F816" s="20" t="n"/>
      <c r="G816" s="20" t="n"/>
      <c r="H816" s="20" t="n"/>
      <c r="I816" s="28" t="n"/>
      <c r="J816" s="21">
        <f>I816</f>
        <v/>
      </c>
      <c r="K816" s="22" t="n"/>
      <c r="L816" s="20" t="n"/>
      <c r="M816" s="20" t="n"/>
      <c r="N816" s="20" t="n"/>
      <c r="O816" s="20" t="n"/>
      <c r="P816" s="28" t="n"/>
      <c r="Q816" s="21">
        <f>P816</f>
        <v/>
      </c>
      <c r="R816" s="21">
        <f>Q816</f>
        <v/>
      </c>
      <c r="S816" s="18" t="n"/>
    </row>
    <row r="817" ht="18" customHeight="1" s="43">
      <c r="B817" s="59" t="inlineStr">
        <is>
          <t>慈誠会/葉物野菜</t>
        </is>
      </c>
      <c r="C817" s="31" t="inlineStr">
        <is>
          <t>58期</t>
        </is>
      </c>
      <c r="D817" s="8" t="n"/>
      <c r="E817" s="8" t="n"/>
      <c r="F817" s="8" t="n"/>
      <c r="G817" s="8" t="n"/>
      <c r="H817" s="8" t="n"/>
      <c r="I817" s="9" t="n"/>
      <c r="J817" s="10">
        <f>SUM(D817:I817)</f>
        <v/>
      </c>
      <c r="K817" s="11" t="n"/>
      <c r="L817" s="8" t="n"/>
      <c r="M817" s="8" t="n"/>
      <c r="N817" s="8" t="n"/>
      <c r="O817" s="8" t="n"/>
      <c r="P817" s="9" t="n"/>
      <c r="Q817" s="10">
        <f>SUM(K817:P817)</f>
        <v/>
      </c>
      <c r="R817" s="10">
        <f>J817+Q817</f>
        <v/>
      </c>
      <c r="S817" s="16" t="n"/>
    </row>
    <row r="818" ht="18" customHeight="1" s="43">
      <c r="B818" s="48" t="n"/>
      <c r="C818" s="7" t="inlineStr">
        <is>
          <t>59期</t>
        </is>
      </c>
      <c r="D818" s="12" t="n"/>
      <c r="E818" s="12" t="n"/>
      <c r="F818" s="12" t="n"/>
      <c r="G818" s="12" t="n"/>
      <c r="H818" s="12" t="n"/>
      <c r="I818" s="13" t="n"/>
      <c r="J818" s="14">
        <f>SUM(D818:I818)</f>
        <v/>
      </c>
      <c r="K818" s="15" t="n"/>
      <c r="L818" s="12" t="n"/>
      <c r="M818" s="12" t="n"/>
      <c r="N818" s="12" t="n"/>
      <c r="O818" s="12" t="n"/>
      <c r="P818" s="13" t="n"/>
      <c r="Q818" s="14">
        <f>SUM(K818:P818)</f>
        <v/>
      </c>
      <c r="R818" s="14">
        <f>J818+Q818</f>
        <v/>
      </c>
      <c r="S818" s="17" t="n"/>
    </row>
    <row r="819" ht="18" customHeight="1" s="43">
      <c r="B819" s="48" t="n"/>
      <c r="C819" s="23" t="inlineStr">
        <is>
          <t>増　減</t>
        </is>
      </c>
      <c r="D819" s="24">
        <f>D818-D817</f>
        <v/>
      </c>
      <c r="E819" s="24">
        <f>E818-E817</f>
        <v/>
      </c>
      <c r="F819" s="24">
        <f>F818-F817</f>
        <v/>
      </c>
      <c r="G819" s="24">
        <f>G818-G817</f>
        <v/>
      </c>
      <c r="H819" s="24">
        <f>H818-H817</f>
        <v/>
      </c>
      <c r="I819" s="27">
        <f>I818-I817</f>
        <v/>
      </c>
      <c r="J819" s="30">
        <f>SUM(D819:I819)</f>
        <v/>
      </c>
      <c r="K819" s="29">
        <f>K818-K817</f>
        <v/>
      </c>
      <c r="L819" s="24">
        <f>L818-L817</f>
        <v/>
      </c>
      <c r="M819" s="24">
        <f>M818-M817</f>
        <v/>
      </c>
      <c r="N819" s="24">
        <f>N818-N817</f>
        <v/>
      </c>
      <c r="O819" s="24">
        <f>O818-O817</f>
        <v/>
      </c>
      <c r="P819" s="27">
        <f>P818-P817</f>
        <v/>
      </c>
      <c r="Q819" s="30">
        <f>SUM(K819:P819)</f>
        <v/>
      </c>
      <c r="R819" s="30">
        <f>J819+Q819</f>
        <v/>
      </c>
      <c r="S819" s="17" t="n"/>
    </row>
    <row r="820" ht="18" customHeight="1" s="43" thickBot="1">
      <c r="B820" s="60" t="n"/>
      <c r="C820" s="25" t="inlineStr">
        <is>
          <t>稼働棟数</t>
        </is>
      </c>
      <c r="D820" s="20" t="n"/>
      <c r="E820" s="20" t="n"/>
      <c r="F820" s="20" t="n"/>
      <c r="G820" s="20" t="n"/>
      <c r="H820" s="20" t="n"/>
      <c r="I820" s="28" t="n"/>
      <c r="J820" s="21">
        <f>I820</f>
        <v/>
      </c>
      <c r="K820" s="22" t="n"/>
      <c r="L820" s="20" t="n"/>
      <c r="M820" s="20" t="n"/>
      <c r="N820" s="20" t="n"/>
      <c r="O820" s="20" t="n"/>
      <c r="P820" s="28" t="n"/>
      <c r="Q820" s="21">
        <f>P820</f>
        <v/>
      </c>
      <c r="R820" s="21">
        <f>Q820</f>
        <v/>
      </c>
      <c r="S820" s="18" t="n"/>
    </row>
    <row r="821" ht="18" customHeight="1" s="43">
      <c r="B821" s="59" t="inlineStr">
        <is>
          <t>富士機械/イチゴ</t>
        </is>
      </c>
      <c r="C821" s="31" t="inlineStr">
        <is>
          <t>58期</t>
        </is>
      </c>
      <c r="D821" s="8" t="n"/>
      <c r="E821" s="8" t="n"/>
      <c r="F821" s="8" t="n"/>
      <c r="G821" s="8" t="n"/>
      <c r="H821" s="8" t="n"/>
      <c r="I821" s="9" t="n"/>
      <c r="J821" s="10">
        <f>SUM(D821:I821)</f>
        <v/>
      </c>
      <c r="K821" s="11" t="n"/>
      <c r="L821" s="8" t="n"/>
      <c r="M821" s="8" t="n"/>
      <c r="N821" s="8" t="n"/>
      <c r="O821" s="8" t="n"/>
      <c r="P821" s="9" t="n"/>
      <c r="Q821" s="10">
        <f>SUM(K821:P821)</f>
        <v/>
      </c>
      <c r="R821" s="10">
        <f>J821+Q821</f>
        <v/>
      </c>
      <c r="S821" s="16" t="n"/>
    </row>
    <row r="822" ht="18" customHeight="1" s="43">
      <c r="B822" s="48" t="n"/>
      <c r="C822" s="7" t="inlineStr">
        <is>
          <t>59期</t>
        </is>
      </c>
      <c r="D822" s="12" t="n"/>
      <c r="E822" s="12" t="n"/>
      <c r="F822" s="12" t="n"/>
      <c r="G822" s="12" t="n"/>
      <c r="H822" s="12" t="n"/>
      <c r="I822" s="13" t="n"/>
      <c r="J822" s="14">
        <f>SUM(D822:I822)</f>
        <v/>
      </c>
      <c r="K822" s="15" t="n"/>
      <c r="L822" s="12" t="n"/>
      <c r="M822" s="12" t="n"/>
      <c r="N822" s="12" t="n"/>
      <c r="O822" s="12" t="n"/>
      <c r="P822" s="13" t="n"/>
      <c r="Q822" s="14">
        <f>SUM(K822:P822)</f>
        <v/>
      </c>
      <c r="R822" s="14">
        <f>J822+Q822</f>
        <v/>
      </c>
      <c r="S822" s="17" t="n"/>
    </row>
    <row r="823" ht="18" customHeight="1" s="43">
      <c r="B823" s="48" t="n"/>
      <c r="C823" s="23" t="inlineStr">
        <is>
          <t>増　減</t>
        </is>
      </c>
      <c r="D823" s="24">
        <f>D822-D821</f>
        <v/>
      </c>
      <c r="E823" s="24">
        <f>E822-E821</f>
        <v/>
      </c>
      <c r="F823" s="24">
        <f>F822-F821</f>
        <v/>
      </c>
      <c r="G823" s="24">
        <f>G822-G821</f>
        <v/>
      </c>
      <c r="H823" s="24">
        <f>H822-H821</f>
        <v/>
      </c>
      <c r="I823" s="27">
        <f>I822-I821</f>
        <v/>
      </c>
      <c r="J823" s="30">
        <f>SUM(D823:I823)</f>
        <v/>
      </c>
      <c r="K823" s="29">
        <f>K822-K821</f>
        <v/>
      </c>
      <c r="L823" s="24">
        <f>L822-L821</f>
        <v/>
      </c>
      <c r="M823" s="24">
        <f>M822-M821</f>
        <v/>
      </c>
      <c r="N823" s="24">
        <f>N822-N821</f>
        <v/>
      </c>
      <c r="O823" s="24">
        <f>O822-O821</f>
        <v/>
      </c>
      <c r="P823" s="27">
        <f>P822-P821</f>
        <v/>
      </c>
      <c r="Q823" s="30">
        <f>SUM(K823:P823)</f>
        <v/>
      </c>
      <c r="R823" s="30">
        <f>J823+Q823</f>
        <v/>
      </c>
      <c r="S823" s="17" t="n"/>
    </row>
    <row r="824" ht="18" customHeight="1" s="43" thickBot="1">
      <c r="B824" s="60" t="n"/>
      <c r="C824" s="25" t="inlineStr">
        <is>
          <t>稼働棟数</t>
        </is>
      </c>
      <c r="D824" s="20" t="n"/>
      <c r="E824" s="20" t="n"/>
      <c r="F824" s="20" t="n"/>
      <c r="G824" s="20" t="n"/>
      <c r="H824" s="20" t="n"/>
      <c r="I824" s="28" t="n"/>
      <c r="J824" s="21">
        <f>I824</f>
        <v/>
      </c>
      <c r="K824" s="22" t="n"/>
      <c r="L824" s="20" t="n"/>
      <c r="M824" s="20" t="n"/>
      <c r="N824" s="20" t="n"/>
      <c r="O824" s="20" t="n"/>
      <c r="P824" s="28" t="n"/>
      <c r="Q824" s="21">
        <f>P824</f>
        <v/>
      </c>
      <c r="R824" s="21">
        <f>Q824</f>
        <v/>
      </c>
      <c r="S824" s="18" t="n"/>
    </row>
    <row r="825" ht="18" customHeight="1" s="43">
      <c r="B825" s="59" t="inlineStr">
        <is>
          <t>富士機械/トマト</t>
        </is>
      </c>
      <c r="C825" s="31" t="inlineStr">
        <is>
          <t>58期</t>
        </is>
      </c>
      <c r="D825" s="8" t="n"/>
      <c r="E825" s="8" t="n"/>
      <c r="F825" s="8" t="n"/>
      <c r="G825" s="8" t="n"/>
      <c r="H825" s="8" t="n"/>
      <c r="I825" s="9" t="n"/>
      <c r="J825" s="10">
        <f>SUM(D825:I825)</f>
        <v/>
      </c>
      <c r="K825" s="11" t="n"/>
      <c r="L825" s="8" t="n"/>
      <c r="M825" s="8" t="n"/>
      <c r="N825" s="8" t="n"/>
      <c r="O825" s="8" t="n"/>
      <c r="P825" s="9" t="n"/>
      <c r="Q825" s="10">
        <f>SUM(K825:P825)</f>
        <v/>
      </c>
      <c r="R825" s="10">
        <f>J825+Q825</f>
        <v/>
      </c>
      <c r="S825" s="16" t="n"/>
    </row>
    <row r="826" ht="18" customHeight="1" s="43">
      <c r="B826" s="48" t="n"/>
      <c r="C826" s="7" t="inlineStr">
        <is>
          <t>59期</t>
        </is>
      </c>
      <c r="D826" s="12" t="n"/>
      <c r="E826" s="12" t="n"/>
      <c r="F826" s="12" t="n"/>
      <c r="G826" s="12" t="n"/>
      <c r="H826" s="12" t="n"/>
      <c r="I826" s="13" t="n"/>
      <c r="J826" s="14">
        <f>SUM(D826:I826)</f>
        <v/>
      </c>
      <c r="K826" s="15" t="n"/>
      <c r="L826" s="12" t="n"/>
      <c r="M826" s="12" t="n"/>
      <c r="N826" s="12" t="n"/>
      <c r="O826" s="12" t="n"/>
      <c r="P826" s="13" t="n"/>
      <c r="Q826" s="14">
        <f>SUM(K826:P826)</f>
        <v/>
      </c>
      <c r="R826" s="14">
        <f>J826+Q826</f>
        <v/>
      </c>
      <c r="S826" s="17" t="n"/>
    </row>
    <row r="827" ht="18" customHeight="1" s="43">
      <c r="B827" s="48" t="n"/>
      <c r="C827" s="23" t="inlineStr">
        <is>
          <t>増　減</t>
        </is>
      </c>
      <c r="D827" s="24">
        <f>D826-D825</f>
        <v/>
      </c>
      <c r="E827" s="24">
        <f>E826-E825</f>
        <v/>
      </c>
      <c r="F827" s="24">
        <f>F826-F825</f>
        <v/>
      </c>
      <c r="G827" s="24">
        <f>G826-G825</f>
        <v/>
      </c>
      <c r="H827" s="24">
        <f>H826-H825</f>
        <v/>
      </c>
      <c r="I827" s="27">
        <f>I826-I825</f>
        <v/>
      </c>
      <c r="J827" s="30">
        <f>SUM(D827:I827)</f>
        <v/>
      </c>
      <c r="K827" s="29">
        <f>K826-K825</f>
        <v/>
      </c>
      <c r="L827" s="24">
        <f>L826-L825</f>
        <v/>
      </c>
      <c r="M827" s="24">
        <f>M826-M825</f>
        <v/>
      </c>
      <c r="N827" s="24">
        <f>N826-N825</f>
        <v/>
      </c>
      <c r="O827" s="24">
        <f>O826-O825</f>
        <v/>
      </c>
      <c r="P827" s="27">
        <f>P826-P825</f>
        <v/>
      </c>
      <c r="Q827" s="30">
        <f>SUM(K827:P827)</f>
        <v/>
      </c>
      <c r="R827" s="30">
        <f>J827+Q827</f>
        <v/>
      </c>
      <c r="S827" s="17" t="n"/>
    </row>
    <row r="828" ht="18" customHeight="1" s="43" thickBot="1">
      <c r="B828" s="60" t="n"/>
      <c r="C828" s="25" t="inlineStr">
        <is>
          <t>稼働棟数</t>
        </is>
      </c>
      <c r="D828" s="20" t="n"/>
      <c r="E828" s="20" t="n"/>
      <c r="F828" s="20" t="n"/>
      <c r="G828" s="20" t="n"/>
      <c r="H828" s="20" t="n"/>
      <c r="I828" s="28" t="n"/>
      <c r="J828" s="21">
        <f>I828</f>
        <v/>
      </c>
      <c r="K828" s="22" t="n"/>
      <c r="L828" s="20" t="n"/>
      <c r="M828" s="20" t="n"/>
      <c r="N828" s="20" t="n"/>
      <c r="O828" s="20" t="n"/>
      <c r="P828" s="28" t="n"/>
      <c r="Q828" s="21">
        <f>P828</f>
        <v/>
      </c>
      <c r="R828" s="21">
        <f>Q828</f>
        <v/>
      </c>
      <c r="S828" s="18" t="n"/>
    </row>
    <row r="829" ht="18" customHeight="1" s="43">
      <c r="B829" s="59" t="inlineStr">
        <is>
          <t>富士機械/ナス</t>
        </is>
      </c>
      <c r="C829" s="31" t="inlineStr">
        <is>
          <t>58期</t>
        </is>
      </c>
      <c r="D829" s="8" t="n"/>
      <c r="E829" s="8" t="n"/>
      <c r="F829" s="8" t="n"/>
      <c r="G829" s="8" t="n"/>
      <c r="H829" s="8" t="n"/>
      <c r="I829" s="9" t="n"/>
      <c r="J829" s="10">
        <f>SUM(D829:I829)</f>
        <v/>
      </c>
      <c r="K829" s="11" t="n"/>
      <c r="L829" s="8" t="n"/>
      <c r="M829" s="8" t="n"/>
      <c r="N829" s="8" t="n"/>
      <c r="O829" s="8" t="n"/>
      <c r="P829" s="9" t="n"/>
      <c r="Q829" s="10">
        <f>SUM(K829:P829)</f>
        <v/>
      </c>
      <c r="R829" s="10">
        <f>J829+Q829</f>
        <v/>
      </c>
      <c r="S829" s="16" t="n"/>
    </row>
    <row r="830" ht="18" customHeight="1" s="43">
      <c r="B830" s="48" t="n"/>
      <c r="C830" s="7" t="inlineStr">
        <is>
          <t>59期</t>
        </is>
      </c>
      <c r="D830" s="12" t="n"/>
      <c r="E830" s="12" t="n"/>
      <c r="F830" s="12" t="n"/>
      <c r="G830" s="12" t="n"/>
      <c r="H830" s="12" t="n"/>
      <c r="I830" s="13" t="n"/>
      <c r="J830" s="14">
        <f>SUM(D830:I830)</f>
        <v/>
      </c>
      <c r="K830" s="15" t="n"/>
      <c r="L830" s="12" t="n"/>
      <c r="M830" s="12" t="n"/>
      <c r="N830" s="12" t="n"/>
      <c r="O830" s="12" t="n"/>
      <c r="P830" s="13" t="n"/>
      <c r="Q830" s="14">
        <f>SUM(K830:P830)</f>
        <v/>
      </c>
      <c r="R830" s="14">
        <f>J830+Q830</f>
        <v/>
      </c>
      <c r="S830" s="17" t="n"/>
    </row>
    <row r="831" ht="18" customHeight="1" s="43">
      <c r="B831" s="48" t="n"/>
      <c r="C831" s="23" t="inlineStr">
        <is>
          <t>増　減</t>
        </is>
      </c>
      <c r="D831" s="24">
        <f>D830-D829</f>
        <v/>
      </c>
      <c r="E831" s="24">
        <f>E830-E829</f>
        <v/>
      </c>
      <c r="F831" s="24">
        <f>F830-F829</f>
        <v/>
      </c>
      <c r="G831" s="24">
        <f>G830-G829</f>
        <v/>
      </c>
      <c r="H831" s="24">
        <f>H830-H829</f>
        <v/>
      </c>
      <c r="I831" s="27">
        <f>I830-I829</f>
        <v/>
      </c>
      <c r="J831" s="30">
        <f>SUM(D831:I831)</f>
        <v/>
      </c>
      <c r="K831" s="29">
        <f>K830-K829</f>
        <v/>
      </c>
      <c r="L831" s="24">
        <f>L830-L829</f>
        <v/>
      </c>
      <c r="M831" s="24">
        <f>M830-M829</f>
        <v/>
      </c>
      <c r="N831" s="24">
        <f>N830-N829</f>
        <v/>
      </c>
      <c r="O831" s="24">
        <f>O830-O829</f>
        <v/>
      </c>
      <c r="P831" s="27">
        <f>P830-P829</f>
        <v/>
      </c>
      <c r="Q831" s="30">
        <f>SUM(K831:P831)</f>
        <v/>
      </c>
      <c r="R831" s="30">
        <f>J831+Q831</f>
        <v/>
      </c>
      <c r="S831" s="17" t="n"/>
    </row>
    <row r="832" ht="18" customHeight="1" s="43" thickBot="1">
      <c r="B832" s="60" t="n"/>
      <c r="C832" s="25" t="inlineStr">
        <is>
          <t>稼働棟数</t>
        </is>
      </c>
      <c r="D832" s="20" t="n"/>
      <c r="E832" s="20" t="n"/>
      <c r="F832" s="20" t="n"/>
      <c r="G832" s="20" t="n"/>
      <c r="H832" s="20" t="n"/>
      <c r="I832" s="28" t="n"/>
      <c r="J832" s="21">
        <f>I832</f>
        <v/>
      </c>
      <c r="K832" s="22" t="n"/>
      <c r="L832" s="20" t="n"/>
      <c r="M832" s="20" t="n"/>
      <c r="N832" s="20" t="n"/>
      <c r="O832" s="20" t="n"/>
      <c r="P832" s="28" t="n"/>
      <c r="Q832" s="21">
        <f>P832</f>
        <v/>
      </c>
      <c r="R832" s="21">
        <f>Q832</f>
        <v/>
      </c>
      <c r="S832" s="18" t="n"/>
    </row>
    <row r="833" ht="18" customHeight="1" s="43">
      <c r="B833" s="59" t="inlineStr">
        <is>
          <t>富士機械/ハーブ</t>
        </is>
      </c>
      <c r="C833" s="31" t="inlineStr">
        <is>
          <t>58期</t>
        </is>
      </c>
      <c r="D833" s="8" t="n"/>
      <c r="E833" s="8" t="n"/>
      <c r="F833" s="8" t="n"/>
      <c r="G833" s="8" t="n"/>
      <c r="H833" s="8" t="n"/>
      <c r="I833" s="9" t="n"/>
      <c r="J833" s="10">
        <f>SUM(D833:I833)</f>
        <v/>
      </c>
      <c r="K833" s="11" t="n"/>
      <c r="L833" s="8" t="n"/>
      <c r="M833" s="8" t="n"/>
      <c r="N833" s="8" t="n"/>
      <c r="O833" s="8" t="n"/>
      <c r="P833" s="9" t="n"/>
      <c r="Q833" s="10">
        <f>SUM(K833:P833)</f>
        <v/>
      </c>
      <c r="R833" s="10">
        <f>J833+Q833</f>
        <v/>
      </c>
      <c r="S833" s="16" t="n"/>
    </row>
    <row r="834" ht="18" customHeight="1" s="43">
      <c r="B834" s="48" t="n"/>
      <c r="C834" s="7" t="inlineStr">
        <is>
          <t>59期</t>
        </is>
      </c>
      <c r="D834" s="12" t="n"/>
      <c r="E834" s="12" t="n"/>
      <c r="F834" s="12" t="n"/>
      <c r="G834" s="12" t="n"/>
      <c r="H834" s="12" t="n"/>
      <c r="I834" s="13" t="n"/>
      <c r="J834" s="14">
        <f>SUM(D834:I834)</f>
        <v/>
      </c>
      <c r="K834" s="15" t="n"/>
      <c r="L834" s="12" t="n"/>
      <c r="M834" s="12" t="n"/>
      <c r="N834" s="12" t="n"/>
      <c r="O834" s="12" t="n"/>
      <c r="P834" s="13" t="n"/>
      <c r="Q834" s="14">
        <f>SUM(K834:P834)</f>
        <v/>
      </c>
      <c r="R834" s="14">
        <f>J834+Q834</f>
        <v/>
      </c>
      <c r="S834" s="17" t="n"/>
    </row>
    <row r="835" ht="18" customHeight="1" s="43">
      <c r="B835" s="48" t="n"/>
      <c r="C835" s="23" t="inlineStr">
        <is>
          <t>増　減</t>
        </is>
      </c>
      <c r="D835" s="24">
        <f>D834-D833</f>
        <v/>
      </c>
      <c r="E835" s="24">
        <f>E834-E833</f>
        <v/>
      </c>
      <c r="F835" s="24">
        <f>F834-F833</f>
        <v/>
      </c>
      <c r="G835" s="24">
        <f>G834-G833</f>
        <v/>
      </c>
      <c r="H835" s="24">
        <f>H834-H833</f>
        <v/>
      </c>
      <c r="I835" s="27">
        <f>I834-I833</f>
        <v/>
      </c>
      <c r="J835" s="30">
        <f>SUM(D835:I835)</f>
        <v/>
      </c>
      <c r="K835" s="29">
        <f>K834-K833</f>
        <v/>
      </c>
      <c r="L835" s="24">
        <f>L834-L833</f>
        <v/>
      </c>
      <c r="M835" s="24">
        <f>M834-M833</f>
        <v/>
      </c>
      <c r="N835" s="24">
        <f>N834-N833</f>
        <v/>
      </c>
      <c r="O835" s="24">
        <f>O834-O833</f>
        <v/>
      </c>
      <c r="P835" s="27">
        <f>P834-P833</f>
        <v/>
      </c>
      <c r="Q835" s="30">
        <f>SUM(K835:P835)</f>
        <v/>
      </c>
      <c r="R835" s="30">
        <f>J835+Q835</f>
        <v/>
      </c>
      <c r="S835" s="17" t="n"/>
    </row>
    <row r="836" ht="18" customHeight="1" s="43" thickBot="1">
      <c r="B836" s="60" t="n"/>
      <c r="C836" s="25" t="inlineStr">
        <is>
          <t>稼働棟数</t>
        </is>
      </c>
      <c r="D836" s="20" t="n"/>
      <c r="E836" s="20" t="n"/>
      <c r="F836" s="20" t="n"/>
      <c r="G836" s="20" t="n"/>
      <c r="H836" s="20" t="n"/>
      <c r="I836" s="28" t="n"/>
      <c r="J836" s="21">
        <f>I836</f>
        <v/>
      </c>
      <c r="K836" s="22" t="n"/>
      <c r="L836" s="20" t="n"/>
      <c r="M836" s="20" t="n"/>
      <c r="N836" s="20" t="n"/>
      <c r="O836" s="20" t="n"/>
      <c r="P836" s="28" t="n"/>
      <c r="Q836" s="21">
        <f>P836</f>
        <v/>
      </c>
      <c r="R836" s="21">
        <f>Q836</f>
        <v/>
      </c>
      <c r="S836" s="18" t="n"/>
    </row>
    <row r="837" ht="18" customHeight="1" s="43">
      <c r="B837" s="59" t="inlineStr">
        <is>
          <t>富士機械/パプリカ</t>
        </is>
      </c>
      <c r="C837" s="31" t="inlineStr">
        <is>
          <t>58期</t>
        </is>
      </c>
      <c r="D837" s="8" t="n"/>
      <c r="E837" s="8" t="n"/>
      <c r="F837" s="8" t="n"/>
      <c r="G837" s="8" t="n"/>
      <c r="H837" s="8" t="n"/>
      <c r="I837" s="9" t="n"/>
      <c r="J837" s="10">
        <f>SUM(D837:I837)</f>
        <v/>
      </c>
      <c r="K837" s="11" t="n"/>
      <c r="L837" s="8" t="n"/>
      <c r="M837" s="8" t="n"/>
      <c r="N837" s="8" t="n"/>
      <c r="O837" s="8" t="n"/>
      <c r="P837" s="9" t="n"/>
      <c r="Q837" s="10">
        <f>SUM(K837:P837)</f>
        <v/>
      </c>
      <c r="R837" s="10">
        <f>J837+Q837</f>
        <v/>
      </c>
      <c r="S837" s="16" t="n"/>
    </row>
    <row r="838" ht="18" customHeight="1" s="43">
      <c r="B838" s="48" t="n"/>
      <c r="C838" s="7" t="inlineStr">
        <is>
          <t>59期</t>
        </is>
      </c>
      <c r="D838" s="12" t="n"/>
      <c r="E838" s="12" t="n"/>
      <c r="F838" s="12" t="n"/>
      <c r="G838" s="12" t="n"/>
      <c r="H838" s="12" t="n"/>
      <c r="I838" s="13" t="n"/>
      <c r="J838" s="14">
        <f>SUM(D838:I838)</f>
        <v/>
      </c>
      <c r="K838" s="15" t="n"/>
      <c r="L838" s="12" t="n"/>
      <c r="M838" s="12" t="n"/>
      <c r="N838" s="12" t="n"/>
      <c r="O838" s="12" t="n"/>
      <c r="P838" s="13" t="n"/>
      <c r="Q838" s="14">
        <f>SUM(K838:P838)</f>
        <v/>
      </c>
      <c r="R838" s="14">
        <f>J838+Q838</f>
        <v/>
      </c>
      <c r="S838" s="17" t="n"/>
    </row>
    <row r="839" ht="18" customHeight="1" s="43">
      <c r="B839" s="48" t="n"/>
      <c r="C839" s="23" t="inlineStr">
        <is>
          <t>増　減</t>
        </is>
      </c>
      <c r="D839" s="24">
        <f>D838-D837</f>
        <v/>
      </c>
      <c r="E839" s="24">
        <f>E838-E837</f>
        <v/>
      </c>
      <c r="F839" s="24">
        <f>F838-F837</f>
        <v/>
      </c>
      <c r="G839" s="24">
        <f>G838-G837</f>
        <v/>
      </c>
      <c r="H839" s="24">
        <f>H838-H837</f>
        <v/>
      </c>
      <c r="I839" s="27">
        <f>I838-I837</f>
        <v/>
      </c>
      <c r="J839" s="30">
        <f>SUM(D839:I839)</f>
        <v/>
      </c>
      <c r="K839" s="29">
        <f>K838-K837</f>
        <v/>
      </c>
      <c r="L839" s="24">
        <f>L838-L837</f>
        <v/>
      </c>
      <c r="M839" s="24">
        <f>M838-M837</f>
        <v/>
      </c>
      <c r="N839" s="24">
        <f>N838-N837</f>
        <v/>
      </c>
      <c r="O839" s="24">
        <f>O838-O837</f>
        <v/>
      </c>
      <c r="P839" s="27">
        <f>P838-P837</f>
        <v/>
      </c>
      <c r="Q839" s="30">
        <f>SUM(K839:P839)</f>
        <v/>
      </c>
      <c r="R839" s="30">
        <f>J839+Q839</f>
        <v/>
      </c>
      <c r="S839" s="17" t="n"/>
    </row>
    <row r="840" ht="18" customHeight="1" s="43" thickBot="1">
      <c r="B840" s="60" t="n"/>
      <c r="C840" s="25" t="inlineStr">
        <is>
          <t>稼働棟数</t>
        </is>
      </c>
      <c r="D840" s="20" t="n"/>
      <c r="E840" s="20" t="n"/>
      <c r="F840" s="20" t="n"/>
      <c r="G840" s="20" t="n"/>
      <c r="H840" s="20" t="n"/>
      <c r="I840" s="28" t="n"/>
      <c r="J840" s="21">
        <f>I840</f>
        <v/>
      </c>
      <c r="K840" s="22" t="n"/>
      <c r="L840" s="20" t="n"/>
      <c r="M840" s="20" t="n"/>
      <c r="N840" s="20" t="n"/>
      <c r="O840" s="20" t="n"/>
      <c r="P840" s="28" t="n"/>
      <c r="Q840" s="21">
        <f>P840</f>
        <v/>
      </c>
      <c r="R840" s="21">
        <f>Q840</f>
        <v/>
      </c>
      <c r="S840" s="18" t="n"/>
    </row>
    <row r="841" ht="18" customHeight="1" s="43">
      <c r="B841" s="59" t="inlineStr">
        <is>
          <t>富士機械/ピーマン</t>
        </is>
      </c>
      <c r="C841" s="31" t="inlineStr">
        <is>
          <t>58期</t>
        </is>
      </c>
      <c r="D841" s="8" t="n"/>
      <c r="E841" s="8" t="n"/>
      <c r="F841" s="8" t="n"/>
      <c r="G841" s="8" t="n"/>
      <c r="H841" s="8" t="n"/>
      <c r="I841" s="9" t="n"/>
      <c r="J841" s="10">
        <f>SUM(D841:I841)</f>
        <v/>
      </c>
      <c r="K841" s="11" t="n"/>
      <c r="L841" s="8" t="n"/>
      <c r="M841" s="8" t="n"/>
      <c r="N841" s="8" t="n"/>
      <c r="O841" s="8" t="n"/>
      <c r="P841" s="9" t="n"/>
      <c r="Q841" s="10">
        <f>SUM(K841:P841)</f>
        <v/>
      </c>
      <c r="R841" s="10">
        <f>J841+Q841</f>
        <v/>
      </c>
      <c r="S841" s="16" t="n"/>
    </row>
    <row r="842" ht="18" customHeight="1" s="43">
      <c r="B842" s="48" t="n"/>
      <c r="C842" s="7" t="inlineStr">
        <is>
          <t>59期</t>
        </is>
      </c>
      <c r="D842" s="12" t="n"/>
      <c r="E842" s="12" t="n"/>
      <c r="F842" s="12" t="n"/>
      <c r="G842" s="12" t="n"/>
      <c r="H842" s="12" t="n"/>
      <c r="I842" s="13" t="n"/>
      <c r="J842" s="14">
        <f>SUM(D842:I842)</f>
        <v/>
      </c>
      <c r="K842" s="15" t="n"/>
      <c r="L842" s="12" t="n"/>
      <c r="M842" s="12" t="n"/>
      <c r="N842" s="12" t="n"/>
      <c r="O842" s="12" t="n"/>
      <c r="P842" s="13" t="n"/>
      <c r="Q842" s="14">
        <f>SUM(K842:P842)</f>
        <v/>
      </c>
      <c r="R842" s="14">
        <f>J842+Q842</f>
        <v/>
      </c>
      <c r="S842" s="17" t="n"/>
    </row>
    <row r="843" ht="18" customHeight="1" s="43">
      <c r="B843" s="48" t="n"/>
      <c r="C843" s="23" t="inlineStr">
        <is>
          <t>増　減</t>
        </is>
      </c>
      <c r="D843" s="24">
        <f>D842-D841</f>
        <v/>
      </c>
      <c r="E843" s="24">
        <f>E842-E841</f>
        <v/>
      </c>
      <c r="F843" s="24">
        <f>F842-F841</f>
        <v/>
      </c>
      <c r="G843" s="24">
        <f>G842-G841</f>
        <v/>
      </c>
      <c r="H843" s="24">
        <f>H842-H841</f>
        <v/>
      </c>
      <c r="I843" s="27">
        <f>I842-I841</f>
        <v/>
      </c>
      <c r="J843" s="30">
        <f>SUM(D843:I843)</f>
        <v/>
      </c>
      <c r="K843" s="29">
        <f>K842-K841</f>
        <v/>
      </c>
      <c r="L843" s="24">
        <f>L842-L841</f>
        <v/>
      </c>
      <c r="M843" s="24">
        <f>M842-M841</f>
        <v/>
      </c>
      <c r="N843" s="24">
        <f>N842-N841</f>
        <v/>
      </c>
      <c r="O843" s="24">
        <f>O842-O841</f>
        <v/>
      </c>
      <c r="P843" s="27">
        <f>P842-P841</f>
        <v/>
      </c>
      <c r="Q843" s="30">
        <f>SUM(K843:P843)</f>
        <v/>
      </c>
      <c r="R843" s="30">
        <f>J843+Q843</f>
        <v/>
      </c>
      <c r="S843" s="17" t="n"/>
    </row>
    <row r="844" ht="18" customHeight="1" s="43" thickBot="1">
      <c r="B844" s="60" t="n"/>
      <c r="C844" s="25" t="inlineStr">
        <is>
          <t>稼働棟数</t>
        </is>
      </c>
      <c r="D844" s="20" t="n"/>
      <c r="E844" s="20" t="n"/>
      <c r="F844" s="20" t="n"/>
      <c r="G844" s="20" t="n"/>
      <c r="H844" s="20" t="n"/>
      <c r="I844" s="28" t="n"/>
      <c r="J844" s="21">
        <f>I844</f>
        <v/>
      </c>
      <c r="K844" s="22" t="n"/>
      <c r="L844" s="20" t="n"/>
      <c r="M844" s="20" t="n"/>
      <c r="N844" s="20" t="n"/>
      <c r="O844" s="20" t="n"/>
      <c r="P844" s="28" t="n"/>
      <c r="Q844" s="21">
        <f>P844</f>
        <v/>
      </c>
      <c r="R844" s="21">
        <f>Q844</f>
        <v/>
      </c>
      <c r="S844" s="18" t="n"/>
    </row>
    <row r="845" ht="18" customHeight="1" s="43">
      <c r="B845" s="59" t="inlineStr">
        <is>
          <t>富士機械/マイクロ</t>
        </is>
      </c>
      <c r="C845" s="31" t="inlineStr">
        <is>
          <t>58期</t>
        </is>
      </c>
      <c r="D845" s="8" t="n"/>
      <c r="E845" s="8" t="n"/>
      <c r="F845" s="8" t="n"/>
      <c r="G845" s="8" t="n"/>
      <c r="H845" s="8" t="n"/>
      <c r="I845" s="9" t="n"/>
      <c r="J845" s="10">
        <f>SUM(D845:I845)</f>
        <v/>
      </c>
      <c r="K845" s="11" t="n"/>
      <c r="L845" s="8" t="n"/>
      <c r="M845" s="8" t="n"/>
      <c r="N845" s="8" t="n"/>
      <c r="O845" s="8" t="n"/>
      <c r="P845" s="9" t="n"/>
      <c r="Q845" s="10">
        <f>SUM(K845:P845)</f>
        <v/>
      </c>
      <c r="R845" s="10">
        <f>J845+Q845</f>
        <v/>
      </c>
      <c r="S845" s="16" t="n"/>
    </row>
    <row r="846" ht="18" customHeight="1" s="43">
      <c r="B846" s="48" t="n"/>
      <c r="C846" s="7" t="inlineStr">
        <is>
          <t>59期</t>
        </is>
      </c>
      <c r="D846" s="12" t="n"/>
      <c r="E846" s="12" t="n"/>
      <c r="F846" s="12" t="n"/>
      <c r="G846" s="12" t="n"/>
      <c r="H846" s="12" t="n"/>
      <c r="I846" s="13" t="n"/>
      <c r="J846" s="14">
        <f>SUM(D846:I846)</f>
        <v/>
      </c>
      <c r="K846" s="15" t="n"/>
      <c r="L846" s="12" t="n"/>
      <c r="M846" s="12" t="n"/>
      <c r="N846" s="12" t="n"/>
      <c r="O846" s="12" t="n"/>
      <c r="P846" s="13" t="n"/>
      <c r="Q846" s="14">
        <f>SUM(K846:P846)</f>
        <v/>
      </c>
      <c r="R846" s="14">
        <f>J846+Q846</f>
        <v/>
      </c>
      <c r="S846" s="17" t="n"/>
    </row>
    <row r="847" ht="18" customHeight="1" s="43">
      <c r="B847" s="48" t="n"/>
      <c r="C847" s="23" t="inlineStr">
        <is>
          <t>増　減</t>
        </is>
      </c>
      <c r="D847" s="24">
        <f>D846-D845</f>
        <v/>
      </c>
      <c r="E847" s="24">
        <f>E846-E845</f>
        <v/>
      </c>
      <c r="F847" s="24">
        <f>F846-F845</f>
        <v/>
      </c>
      <c r="G847" s="24">
        <f>G846-G845</f>
        <v/>
      </c>
      <c r="H847" s="24">
        <f>H846-H845</f>
        <v/>
      </c>
      <c r="I847" s="27">
        <f>I846-I845</f>
        <v/>
      </c>
      <c r="J847" s="30">
        <f>SUM(D847:I847)</f>
        <v/>
      </c>
      <c r="K847" s="29">
        <f>K846-K845</f>
        <v/>
      </c>
      <c r="L847" s="24">
        <f>L846-L845</f>
        <v/>
      </c>
      <c r="M847" s="24">
        <f>M846-M845</f>
        <v/>
      </c>
      <c r="N847" s="24">
        <f>N846-N845</f>
        <v/>
      </c>
      <c r="O847" s="24">
        <f>O846-O845</f>
        <v/>
      </c>
      <c r="P847" s="27">
        <f>P846-P845</f>
        <v/>
      </c>
      <c r="Q847" s="30">
        <f>SUM(K847:P847)</f>
        <v/>
      </c>
      <c r="R847" s="30">
        <f>J847+Q847</f>
        <v/>
      </c>
      <c r="S847" s="17" t="n"/>
    </row>
    <row r="848" ht="18" customHeight="1" s="43" thickBot="1">
      <c r="B848" s="60" t="n"/>
      <c r="C848" s="25" t="inlineStr">
        <is>
          <t>稼働棟数</t>
        </is>
      </c>
      <c r="D848" s="20" t="n"/>
      <c r="E848" s="20" t="n"/>
      <c r="F848" s="20" t="n"/>
      <c r="G848" s="20" t="n"/>
      <c r="H848" s="20" t="n"/>
      <c r="I848" s="28" t="n"/>
      <c r="J848" s="21">
        <f>I848</f>
        <v/>
      </c>
      <c r="K848" s="22" t="n"/>
      <c r="L848" s="20" t="n"/>
      <c r="M848" s="20" t="n"/>
      <c r="N848" s="20" t="n"/>
      <c r="O848" s="20" t="n"/>
      <c r="P848" s="28" t="n"/>
      <c r="Q848" s="21">
        <f>P848</f>
        <v/>
      </c>
      <c r="R848" s="21">
        <f>Q848</f>
        <v/>
      </c>
      <c r="S848" s="18" t="n"/>
    </row>
    <row r="849" ht="18" customHeight="1" s="43">
      <c r="B849" s="59" t="inlineStr">
        <is>
          <t>富士機械/ミニトマト</t>
        </is>
      </c>
      <c r="C849" s="31" t="inlineStr">
        <is>
          <t>58期</t>
        </is>
      </c>
      <c r="D849" s="8" t="n"/>
      <c r="E849" s="8" t="n"/>
      <c r="F849" s="8" t="n"/>
      <c r="G849" s="8" t="n"/>
      <c r="H849" s="8" t="n"/>
      <c r="I849" s="9" t="n"/>
      <c r="J849" s="10">
        <f>SUM(D849:I849)</f>
        <v/>
      </c>
      <c r="K849" s="11" t="n"/>
      <c r="L849" s="8" t="n"/>
      <c r="M849" s="8" t="n"/>
      <c r="N849" s="8" t="n"/>
      <c r="O849" s="8" t="n"/>
      <c r="P849" s="9" t="n"/>
      <c r="Q849" s="10">
        <f>SUM(K849:P849)</f>
        <v/>
      </c>
      <c r="R849" s="10">
        <f>J849+Q849</f>
        <v/>
      </c>
      <c r="S849" s="16" t="n"/>
    </row>
    <row r="850" ht="18" customHeight="1" s="43">
      <c r="B850" s="48" t="n"/>
      <c r="C850" s="7" t="inlineStr">
        <is>
          <t>59期</t>
        </is>
      </c>
      <c r="D850" s="12" t="n"/>
      <c r="E850" s="12" t="n"/>
      <c r="F850" s="12" t="n"/>
      <c r="G850" s="12" t="n"/>
      <c r="H850" s="12" t="n"/>
      <c r="I850" s="13" t="n"/>
      <c r="J850" s="14">
        <f>SUM(D850:I850)</f>
        <v/>
      </c>
      <c r="K850" s="15" t="n"/>
      <c r="L850" s="12" t="n"/>
      <c r="M850" s="12" t="n"/>
      <c r="N850" s="12" t="n"/>
      <c r="O850" s="12" t="n"/>
      <c r="P850" s="13" t="n"/>
      <c r="Q850" s="14">
        <f>SUM(K850:P850)</f>
        <v/>
      </c>
      <c r="R850" s="14">
        <f>J850+Q850</f>
        <v/>
      </c>
      <c r="S850" s="17" t="n"/>
    </row>
    <row r="851" ht="18" customHeight="1" s="43">
      <c r="B851" s="48" t="n"/>
      <c r="C851" s="23" t="inlineStr">
        <is>
          <t>増　減</t>
        </is>
      </c>
      <c r="D851" s="24">
        <f>D850-D849</f>
        <v/>
      </c>
      <c r="E851" s="24">
        <f>E850-E849</f>
        <v/>
      </c>
      <c r="F851" s="24">
        <f>F850-F849</f>
        <v/>
      </c>
      <c r="G851" s="24">
        <f>G850-G849</f>
        <v/>
      </c>
      <c r="H851" s="24">
        <f>H850-H849</f>
        <v/>
      </c>
      <c r="I851" s="27">
        <f>I850-I849</f>
        <v/>
      </c>
      <c r="J851" s="30">
        <f>SUM(D851:I851)</f>
        <v/>
      </c>
      <c r="K851" s="29">
        <f>K850-K849</f>
        <v/>
      </c>
      <c r="L851" s="24">
        <f>L850-L849</f>
        <v/>
      </c>
      <c r="M851" s="24">
        <f>M850-M849</f>
        <v/>
      </c>
      <c r="N851" s="24">
        <f>N850-N849</f>
        <v/>
      </c>
      <c r="O851" s="24">
        <f>O850-O849</f>
        <v/>
      </c>
      <c r="P851" s="27">
        <f>P850-P849</f>
        <v/>
      </c>
      <c r="Q851" s="30">
        <f>SUM(K851:P851)</f>
        <v/>
      </c>
      <c r="R851" s="30">
        <f>J851+Q851</f>
        <v/>
      </c>
      <c r="S851" s="17" t="n"/>
    </row>
    <row r="852" ht="18" customHeight="1" s="43" thickBot="1">
      <c r="B852" s="60" t="n"/>
      <c r="C852" s="25" t="inlineStr">
        <is>
          <t>稼働棟数</t>
        </is>
      </c>
      <c r="D852" s="20" t="n"/>
      <c r="E852" s="20" t="n"/>
      <c r="F852" s="20" t="n"/>
      <c r="G852" s="20" t="n"/>
      <c r="H852" s="20" t="n"/>
      <c r="I852" s="28" t="n"/>
      <c r="J852" s="21">
        <f>I852</f>
        <v/>
      </c>
      <c r="K852" s="22" t="n"/>
      <c r="L852" s="20" t="n"/>
      <c r="M852" s="20" t="n"/>
      <c r="N852" s="20" t="n"/>
      <c r="O852" s="20" t="n"/>
      <c r="P852" s="28" t="n"/>
      <c r="Q852" s="21">
        <f>P852</f>
        <v/>
      </c>
      <c r="R852" s="21">
        <f>Q852</f>
        <v/>
      </c>
      <c r="S852" s="18" t="n"/>
    </row>
    <row r="853" ht="18" customHeight="1" s="43">
      <c r="B853" s="59" t="inlineStr">
        <is>
          <t>富士機械/根物野菜</t>
        </is>
      </c>
      <c r="C853" s="31" t="inlineStr">
        <is>
          <t>58期</t>
        </is>
      </c>
      <c r="D853" s="8" t="n"/>
      <c r="E853" s="8" t="n"/>
      <c r="F853" s="8" t="n"/>
      <c r="G853" s="8" t="n">
        <v>4.5</v>
      </c>
      <c r="H853" s="8" t="n"/>
      <c r="I853" s="9" t="n"/>
      <c r="J853" s="10" t="n">
        <v>4.5</v>
      </c>
      <c r="K853" s="11" t="n"/>
      <c r="L853" s="8" t="n"/>
      <c r="M853" s="8" t="n"/>
      <c r="N853" s="8" t="n"/>
      <c r="O853" s="8" t="n"/>
      <c r="P853" s="9" t="n"/>
      <c r="Q853" s="10" t="n">
        <v>0</v>
      </c>
      <c r="R853" s="10" t="n">
        <v>4.5</v>
      </c>
      <c r="S853" s="16" t="n"/>
    </row>
    <row r="854" ht="18" customHeight="1" s="43">
      <c r="B854" s="48" t="n"/>
      <c r="C854" s="7" t="inlineStr">
        <is>
          <t>59期</t>
        </is>
      </c>
      <c r="D854" s="12" t="n"/>
      <c r="E854" s="12" t="n"/>
      <c r="F854" s="12" t="n"/>
      <c r="G854" s="12" t="n"/>
      <c r="H854" s="12" t="n"/>
      <c r="I854" s="13" t="n"/>
      <c r="J854" s="14">
        <f>SUM(D854:I854)</f>
        <v/>
      </c>
      <c r="K854" s="15" t="n"/>
      <c r="L854" s="12" t="n"/>
      <c r="M854" s="12" t="n"/>
      <c r="N854" s="12" t="n"/>
      <c r="O854" s="12" t="n"/>
      <c r="P854" s="13" t="n"/>
      <c r="Q854" s="14">
        <f>SUM(K854:P854)</f>
        <v/>
      </c>
      <c r="R854" s="14">
        <f>J854+Q854</f>
        <v/>
      </c>
      <c r="S854" s="17" t="n"/>
    </row>
    <row r="855" ht="18" customHeight="1" s="43">
      <c r="B855" s="48" t="n"/>
      <c r="C855" s="23" t="inlineStr">
        <is>
          <t>増　減</t>
        </is>
      </c>
      <c r="D855" s="24">
        <f>D854-D853</f>
        <v/>
      </c>
      <c r="E855" s="24">
        <f>E854-E853</f>
        <v/>
      </c>
      <c r="F855" s="24">
        <f>F854-F853</f>
        <v/>
      </c>
      <c r="G855" s="24">
        <f>G854-G853</f>
        <v/>
      </c>
      <c r="H855" s="24">
        <f>H854-H853</f>
        <v/>
      </c>
      <c r="I855" s="27">
        <f>I854-I853</f>
        <v/>
      </c>
      <c r="J855" s="30">
        <f>SUM(D855:I855)</f>
        <v/>
      </c>
      <c r="K855" s="29">
        <f>K854-K853</f>
        <v/>
      </c>
      <c r="L855" s="24">
        <f>L854-L853</f>
        <v/>
      </c>
      <c r="M855" s="24">
        <f>M854-M853</f>
        <v/>
      </c>
      <c r="N855" s="24">
        <f>N854-N853</f>
        <v/>
      </c>
      <c r="O855" s="24">
        <f>O854-O853</f>
        <v/>
      </c>
      <c r="P855" s="27">
        <f>P854-P853</f>
        <v/>
      </c>
      <c r="Q855" s="30">
        <f>SUM(K855:P855)</f>
        <v/>
      </c>
      <c r="R855" s="30">
        <f>J855+Q855</f>
        <v/>
      </c>
      <c r="S855" s="17" t="n"/>
    </row>
    <row r="856" ht="18" customHeight="1" s="43" thickBot="1">
      <c r="B856" s="60" t="n"/>
      <c r="C856" s="25" t="inlineStr">
        <is>
          <t>稼働棟数</t>
        </is>
      </c>
      <c r="D856" s="20" t="n"/>
      <c r="E856" s="20" t="n"/>
      <c r="F856" s="20" t="n"/>
      <c r="G856" s="20" t="n"/>
      <c r="H856" s="20" t="n"/>
      <c r="I856" s="28" t="n"/>
      <c r="J856" s="21">
        <f>I856</f>
        <v/>
      </c>
      <c r="K856" s="22" t="n"/>
      <c r="L856" s="20" t="n"/>
      <c r="M856" s="20" t="n"/>
      <c r="N856" s="20" t="n"/>
      <c r="O856" s="20" t="n"/>
      <c r="P856" s="28" t="n"/>
      <c r="Q856" s="21">
        <f>P856</f>
        <v/>
      </c>
      <c r="R856" s="21">
        <f>Q856</f>
        <v/>
      </c>
      <c r="S856" s="18" t="n"/>
    </row>
    <row r="857" ht="18" customHeight="1" s="43">
      <c r="B857" s="59" t="inlineStr">
        <is>
          <t>富士機械/実物野菜</t>
        </is>
      </c>
      <c r="C857" s="31" t="inlineStr">
        <is>
          <t>58期</t>
        </is>
      </c>
      <c r="D857" s="8" t="n"/>
      <c r="E857" s="8" t="n"/>
      <c r="F857" s="8" t="n"/>
      <c r="G857" s="8" t="n"/>
      <c r="H857" s="8" t="n"/>
      <c r="I857" s="9" t="n"/>
      <c r="J857" s="10">
        <f>SUM(D857:I857)</f>
        <v/>
      </c>
      <c r="K857" s="11" t="n"/>
      <c r="L857" s="8" t="n"/>
      <c r="M857" s="8" t="n"/>
      <c r="N857" s="8" t="n"/>
      <c r="O857" s="8" t="n"/>
      <c r="P857" s="9" t="n"/>
      <c r="Q857" s="10">
        <f>SUM(K857:P857)</f>
        <v/>
      </c>
      <c r="R857" s="10">
        <f>J857+Q857</f>
        <v/>
      </c>
      <c r="S857" s="16" t="n"/>
    </row>
    <row r="858" ht="18" customHeight="1" s="43">
      <c r="B858" s="48" t="n"/>
      <c r="C858" s="7" t="inlineStr">
        <is>
          <t>59期</t>
        </is>
      </c>
      <c r="D858" s="12" t="n"/>
      <c r="E858" s="12" t="n"/>
      <c r="F858" s="12" t="n"/>
      <c r="G858" s="12" t="n"/>
      <c r="H858" s="12" t="n"/>
      <c r="I858" s="13" t="n"/>
      <c r="J858" s="14">
        <f>SUM(D858:I858)</f>
        <v/>
      </c>
      <c r="K858" s="15" t="n"/>
      <c r="L858" s="12" t="n"/>
      <c r="M858" s="12" t="n"/>
      <c r="N858" s="12" t="n"/>
      <c r="O858" s="12" t="n"/>
      <c r="P858" s="13" t="n"/>
      <c r="Q858" s="14">
        <f>SUM(K858:P858)</f>
        <v/>
      </c>
      <c r="R858" s="14">
        <f>J858+Q858</f>
        <v/>
      </c>
      <c r="S858" s="17" t="n"/>
    </row>
    <row r="859" ht="18" customHeight="1" s="43">
      <c r="B859" s="48" t="n"/>
      <c r="C859" s="23" t="inlineStr">
        <is>
          <t>増　減</t>
        </is>
      </c>
      <c r="D859" s="24">
        <f>D858-D857</f>
        <v/>
      </c>
      <c r="E859" s="24">
        <f>E858-E857</f>
        <v/>
      </c>
      <c r="F859" s="24">
        <f>F858-F857</f>
        <v/>
      </c>
      <c r="G859" s="24">
        <f>G858-G857</f>
        <v/>
      </c>
      <c r="H859" s="24">
        <f>H858-H857</f>
        <v/>
      </c>
      <c r="I859" s="27">
        <f>I858-I857</f>
        <v/>
      </c>
      <c r="J859" s="30">
        <f>SUM(D859:I859)</f>
        <v/>
      </c>
      <c r="K859" s="29">
        <f>K858-K857</f>
        <v/>
      </c>
      <c r="L859" s="24">
        <f>L858-L857</f>
        <v/>
      </c>
      <c r="M859" s="24">
        <f>M858-M857</f>
        <v/>
      </c>
      <c r="N859" s="24">
        <f>N858-N857</f>
        <v/>
      </c>
      <c r="O859" s="24">
        <f>O858-O857</f>
        <v/>
      </c>
      <c r="P859" s="27">
        <f>P858-P857</f>
        <v/>
      </c>
      <c r="Q859" s="30">
        <f>SUM(K859:P859)</f>
        <v/>
      </c>
      <c r="R859" s="30">
        <f>J859+Q859</f>
        <v/>
      </c>
      <c r="S859" s="17" t="n"/>
    </row>
    <row r="860" ht="18" customHeight="1" s="43" thickBot="1">
      <c r="B860" s="60" t="n"/>
      <c r="C860" s="25" t="inlineStr">
        <is>
          <t>稼働棟数</t>
        </is>
      </c>
      <c r="D860" s="20" t="n"/>
      <c r="E860" s="20" t="n"/>
      <c r="F860" s="20" t="n"/>
      <c r="G860" s="20" t="n"/>
      <c r="H860" s="20" t="n"/>
      <c r="I860" s="28" t="n"/>
      <c r="J860" s="21">
        <f>I860</f>
        <v/>
      </c>
      <c r="K860" s="22" t="n"/>
      <c r="L860" s="20" t="n"/>
      <c r="M860" s="20" t="n"/>
      <c r="N860" s="20" t="n"/>
      <c r="O860" s="20" t="n"/>
      <c r="P860" s="28" t="n"/>
      <c r="Q860" s="21">
        <f>P860</f>
        <v/>
      </c>
      <c r="R860" s="21">
        <f>Q860</f>
        <v/>
      </c>
      <c r="S860" s="18" t="n"/>
    </row>
    <row r="861" ht="18" customHeight="1" s="43">
      <c r="B861" s="59" t="inlineStr">
        <is>
          <t>富士機械/食用花</t>
        </is>
      </c>
      <c r="C861" s="31" t="inlineStr">
        <is>
          <t>58期</t>
        </is>
      </c>
      <c r="D861" s="8" t="n"/>
      <c r="E861" s="8" t="n"/>
      <c r="F861" s="8" t="n"/>
      <c r="G861" s="8" t="n"/>
      <c r="H861" s="8" t="n"/>
      <c r="I861" s="9" t="n"/>
      <c r="J861" s="10">
        <f>SUM(D861:I861)</f>
        <v/>
      </c>
      <c r="K861" s="11" t="n"/>
      <c r="L861" s="8" t="n"/>
      <c r="M861" s="8" t="n"/>
      <c r="N861" s="8" t="n"/>
      <c r="O861" s="8" t="n"/>
      <c r="P861" s="9" t="n"/>
      <c r="Q861" s="10">
        <f>SUM(K861:P861)</f>
        <v/>
      </c>
      <c r="R861" s="10">
        <f>J861+Q861</f>
        <v/>
      </c>
      <c r="S861" s="16" t="n"/>
    </row>
    <row r="862" ht="18" customHeight="1" s="43">
      <c r="B862" s="48" t="n"/>
      <c r="C862" s="7" t="inlineStr">
        <is>
          <t>59期</t>
        </is>
      </c>
      <c r="D862" s="12" t="n"/>
      <c r="E862" s="12" t="n"/>
      <c r="F862" s="12" t="n"/>
      <c r="G862" s="12" t="n"/>
      <c r="H862" s="12" t="n"/>
      <c r="I862" s="13" t="n"/>
      <c r="J862" s="14">
        <f>SUM(D862:I862)</f>
        <v/>
      </c>
      <c r="K862" s="15" t="n"/>
      <c r="L862" s="12" t="n"/>
      <c r="M862" s="12" t="n"/>
      <c r="N862" s="12" t="n"/>
      <c r="O862" s="12" t="n"/>
      <c r="P862" s="13" t="n"/>
      <c r="Q862" s="14">
        <f>SUM(K862:P862)</f>
        <v/>
      </c>
      <c r="R862" s="14">
        <f>J862+Q862</f>
        <v/>
      </c>
      <c r="S862" s="17" t="n"/>
    </row>
    <row r="863" ht="18" customHeight="1" s="43">
      <c r="B863" s="48" t="n"/>
      <c r="C863" s="23" t="inlineStr">
        <is>
          <t>増　減</t>
        </is>
      </c>
      <c r="D863" s="24">
        <f>D862-D861</f>
        <v/>
      </c>
      <c r="E863" s="24">
        <f>E862-E861</f>
        <v/>
      </c>
      <c r="F863" s="24">
        <f>F862-F861</f>
        <v/>
      </c>
      <c r="G863" s="24">
        <f>G862-G861</f>
        <v/>
      </c>
      <c r="H863" s="24">
        <f>H862-H861</f>
        <v/>
      </c>
      <c r="I863" s="27">
        <f>I862-I861</f>
        <v/>
      </c>
      <c r="J863" s="30">
        <f>SUM(D863:I863)</f>
        <v/>
      </c>
      <c r="K863" s="29">
        <f>K862-K861</f>
        <v/>
      </c>
      <c r="L863" s="24">
        <f>L862-L861</f>
        <v/>
      </c>
      <c r="M863" s="24">
        <f>M862-M861</f>
        <v/>
      </c>
      <c r="N863" s="24">
        <f>N862-N861</f>
        <v/>
      </c>
      <c r="O863" s="24">
        <f>O862-O861</f>
        <v/>
      </c>
      <c r="P863" s="27">
        <f>P862-P861</f>
        <v/>
      </c>
      <c r="Q863" s="30">
        <f>SUM(K863:P863)</f>
        <v/>
      </c>
      <c r="R863" s="30">
        <f>J863+Q863</f>
        <v/>
      </c>
      <c r="S863" s="17" t="n"/>
    </row>
    <row r="864" ht="18" customHeight="1" s="43" thickBot="1">
      <c r="B864" s="60" t="n"/>
      <c r="C864" s="25" t="inlineStr">
        <is>
          <t>稼働棟数</t>
        </is>
      </c>
      <c r="D864" s="20" t="n"/>
      <c r="E864" s="20" t="n"/>
      <c r="F864" s="20" t="n"/>
      <c r="G864" s="20" t="n"/>
      <c r="H864" s="20" t="n"/>
      <c r="I864" s="28" t="n"/>
      <c r="J864" s="21">
        <f>I864</f>
        <v/>
      </c>
      <c r="K864" s="22" t="n"/>
      <c r="L864" s="20" t="n"/>
      <c r="M864" s="20" t="n"/>
      <c r="N864" s="20" t="n"/>
      <c r="O864" s="20" t="n"/>
      <c r="P864" s="28" t="n"/>
      <c r="Q864" s="21">
        <f>P864</f>
        <v/>
      </c>
      <c r="R864" s="21">
        <f>Q864</f>
        <v/>
      </c>
      <c r="S864" s="18" t="n"/>
    </row>
    <row r="865" ht="18" customHeight="1" s="43">
      <c r="B865" s="59" t="inlineStr">
        <is>
          <t>富士機械/葉物野菜</t>
        </is>
      </c>
      <c r="C865" s="31" t="inlineStr">
        <is>
          <t>58期</t>
        </is>
      </c>
      <c r="D865" s="8" t="n"/>
      <c r="E865" s="8" t="n"/>
      <c r="F865" s="8" t="n"/>
      <c r="G865" s="8" t="n"/>
      <c r="H865" s="8" t="n"/>
      <c r="I865" s="9" t="n"/>
      <c r="J865" s="10">
        <f>SUM(D865:I865)</f>
        <v/>
      </c>
      <c r="K865" s="11" t="n"/>
      <c r="L865" s="8" t="n"/>
      <c r="M865" s="8" t="n"/>
      <c r="N865" s="8" t="n"/>
      <c r="O865" s="8" t="n"/>
      <c r="P865" s="9" t="n"/>
      <c r="Q865" s="10">
        <f>SUM(K865:P865)</f>
        <v/>
      </c>
      <c r="R865" s="10">
        <f>J865+Q865</f>
        <v/>
      </c>
      <c r="S865" s="16" t="n"/>
    </row>
    <row r="866" ht="18" customHeight="1" s="43">
      <c r="B866" s="48" t="n"/>
      <c r="C866" s="7" t="inlineStr">
        <is>
          <t>59期</t>
        </is>
      </c>
      <c r="D866" s="12" t="n"/>
      <c r="E866" s="12" t="n"/>
      <c r="F866" s="12" t="n"/>
      <c r="G866" s="12" t="n"/>
      <c r="H866" s="12" t="n"/>
      <c r="I866" s="13" t="n"/>
      <c r="J866" s="14">
        <f>SUM(D866:I866)</f>
        <v/>
      </c>
      <c r="K866" s="15" t="n"/>
      <c r="L866" s="12" t="n"/>
      <c r="M866" s="12" t="n"/>
      <c r="N866" s="12" t="n"/>
      <c r="O866" s="12" t="n"/>
      <c r="P866" s="13" t="n"/>
      <c r="Q866" s="14">
        <f>SUM(K866:P866)</f>
        <v/>
      </c>
      <c r="R866" s="14">
        <f>J866+Q866</f>
        <v/>
      </c>
      <c r="S866" s="17" t="n"/>
    </row>
    <row r="867" ht="18" customHeight="1" s="43">
      <c r="B867" s="48" t="n"/>
      <c r="C867" s="23" t="inlineStr">
        <is>
          <t>増　減</t>
        </is>
      </c>
      <c r="D867" s="24">
        <f>D866-D865</f>
        <v/>
      </c>
      <c r="E867" s="24">
        <f>E866-E865</f>
        <v/>
      </c>
      <c r="F867" s="24">
        <f>F866-F865</f>
        <v/>
      </c>
      <c r="G867" s="24">
        <f>G866-G865</f>
        <v/>
      </c>
      <c r="H867" s="24">
        <f>H866-H865</f>
        <v/>
      </c>
      <c r="I867" s="27">
        <f>I866-I865</f>
        <v/>
      </c>
      <c r="J867" s="30">
        <f>SUM(D867:I867)</f>
        <v/>
      </c>
      <c r="K867" s="29">
        <f>K866-K865</f>
        <v/>
      </c>
      <c r="L867" s="24">
        <f>L866-L865</f>
        <v/>
      </c>
      <c r="M867" s="24">
        <f>M866-M865</f>
        <v/>
      </c>
      <c r="N867" s="24">
        <f>N866-N865</f>
        <v/>
      </c>
      <c r="O867" s="24">
        <f>O866-O865</f>
        <v/>
      </c>
      <c r="P867" s="27">
        <f>P866-P865</f>
        <v/>
      </c>
      <c r="Q867" s="30">
        <f>SUM(K867:P867)</f>
        <v/>
      </c>
      <c r="R867" s="30">
        <f>J867+Q867</f>
        <v/>
      </c>
      <c r="S867" s="17" t="n"/>
    </row>
    <row r="868" ht="18" customHeight="1" s="43" thickBot="1">
      <c r="B868" s="60" t="n"/>
      <c r="C868" s="25" t="inlineStr">
        <is>
          <t>稼働棟数</t>
        </is>
      </c>
      <c r="D868" s="20" t="n"/>
      <c r="E868" s="20" t="n"/>
      <c r="F868" s="20" t="n"/>
      <c r="G868" s="20" t="n"/>
      <c r="H868" s="20" t="n"/>
      <c r="I868" s="28" t="n"/>
      <c r="J868" s="21">
        <f>I868</f>
        <v/>
      </c>
      <c r="K868" s="22" t="n"/>
      <c r="L868" s="20" t="n"/>
      <c r="M868" s="20" t="n"/>
      <c r="N868" s="20" t="n"/>
      <c r="O868" s="20" t="n"/>
      <c r="P868" s="28" t="n"/>
      <c r="Q868" s="21">
        <f>P868</f>
        <v/>
      </c>
      <c r="R868" s="21">
        <f>Q868</f>
        <v/>
      </c>
      <c r="S868" s="18" t="n"/>
    </row>
    <row r="869" ht="18" customHeight="1" s="43">
      <c r="B869" s="59" t="inlineStr">
        <is>
          <t>サンテレホン/イチゴ</t>
        </is>
      </c>
      <c r="C869" s="31" t="inlineStr">
        <is>
          <t>58期</t>
        </is>
      </c>
      <c r="D869" s="8" t="n"/>
      <c r="E869" s="8" t="n"/>
      <c r="F869" s="8" t="n"/>
      <c r="G869" s="8" t="n"/>
      <c r="H869" s="8" t="n"/>
      <c r="I869" s="9" t="n"/>
      <c r="J869" s="10">
        <f>SUM(D869:I869)</f>
        <v/>
      </c>
      <c r="K869" s="11" t="n"/>
      <c r="L869" s="8" t="n"/>
      <c r="M869" s="8" t="n"/>
      <c r="N869" s="8" t="n"/>
      <c r="O869" s="8" t="n"/>
      <c r="P869" s="9" t="n"/>
      <c r="Q869" s="10">
        <f>SUM(K869:P869)</f>
        <v/>
      </c>
      <c r="R869" s="10">
        <f>J869+Q869</f>
        <v/>
      </c>
      <c r="S869" s="16" t="n"/>
    </row>
    <row r="870" ht="18" customHeight="1" s="43">
      <c r="B870" s="48" t="n"/>
      <c r="C870" s="7" t="inlineStr">
        <is>
          <t>59期</t>
        </is>
      </c>
      <c r="D870" s="12" t="n"/>
      <c r="E870" s="12" t="n"/>
      <c r="F870" s="12" t="n"/>
      <c r="G870" s="12" t="n"/>
      <c r="H870" s="12" t="n"/>
      <c r="I870" s="13" t="n"/>
      <c r="J870" s="14">
        <f>SUM(D870:I870)</f>
        <v/>
      </c>
      <c r="K870" s="15" t="n"/>
      <c r="L870" s="12" t="n"/>
      <c r="M870" s="12" t="n"/>
      <c r="N870" s="12" t="n"/>
      <c r="O870" s="12" t="n"/>
      <c r="P870" s="13" t="n"/>
      <c r="Q870" s="14">
        <f>SUM(K870:P870)</f>
        <v/>
      </c>
      <c r="R870" s="14">
        <f>J870+Q870</f>
        <v/>
      </c>
      <c r="S870" s="17" t="n"/>
    </row>
    <row r="871" ht="18" customHeight="1" s="43">
      <c r="B871" s="48" t="n"/>
      <c r="C871" s="23" t="inlineStr">
        <is>
          <t>増　減</t>
        </is>
      </c>
      <c r="D871" s="24">
        <f>D870-D869</f>
        <v/>
      </c>
      <c r="E871" s="24">
        <f>E870-E869</f>
        <v/>
      </c>
      <c r="F871" s="24">
        <f>F870-F869</f>
        <v/>
      </c>
      <c r="G871" s="24">
        <f>G870-G869</f>
        <v/>
      </c>
      <c r="H871" s="24">
        <f>H870-H869</f>
        <v/>
      </c>
      <c r="I871" s="27">
        <f>I870-I869</f>
        <v/>
      </c>
      <c r="J871" s="30">
        <f>SUM(D871:I871)</f>
        <v/>
      </c>
      <c r="K871" s="29">
        <f>K870-K869</f>
        <v/>
      </c>
      <c r="L871" s="24">
        <f>L870-L869</f>
        <v/>
      </c>
      <c r="M871" s="24">
        <f>M870-M869</f>
        <v/>
      </c>
      <c r="N871" s="24">
        <f>N870-N869</f>
        <v/>
      </c>
      <c r="O871" s="24">
        <f>O870-O869</f>
        <v/>
      </c>
      <c r="P871" s="27">
        <f>P870-P869</f>
        <v/>
      </c>
      <c r="Q871" s="30">
        <f>SUM(K871:P871)</f>
        <v/>
      </c>
      <c r="R871" s="30">
        <f>J871+Q871</f>
        <v/>
      </c>
      <c r="S871" s="17" t="n"/>
    </row>
    <row r="872" ht="18" customHeight="1" s="43" thickBot="1">
      <c r="B872" s="60" t="n"/>
      <c r="C872" s="25" t="inlineStr">
        <is>
          <t>稼働棟数</t>
        </is>
      </c>
      <c r="D872" s="20" t="n"/>
      <c r="E872" s="20" t="n"/>
      <c r="F872" s="20" t="n"/>
      <c r="G872" s="20" t="n"/>
      <c r="H872" s="20" t="n"/>
      <c r="I872" s="28" t="n"/>
      <c r="J872" s="21">
        <f>I872</f>
        <v/>
      </c>
      <c r="K872" s="22" t="n"/>
      <c r="L872" s="20" t="n"/>
      <c r="M872" s="20" t="n"/>
      <c r="N872" s="20" t="n"/>
      <c r="O872" s="20" t="n"/>
      <c r="P872" s="28" t="n"/>
      <c r="Q872" s="21">
        <f>P872</f>
        <v/>
      </c>
      <c r="R872" s="21">
        <f>Q872</f>
        <v/>
      </c>
      <c r="S872" s="18" t="n"/>
    </row>
    <row r="873" ht="18" customHeight="1" s="43">
      <c r="B873" s="59" t="inlineStr">
        <is>
          <t>サンテレホン/トマト</t>
        </is>
      </c>
      <c r="C873" s="31" t="inlineStr">
        <is>
          <t>58期</t>
        </is>
      </c>
      <c r="D873" s="8" t="n"/>
      <c r="E873" s="8" t="n"/>
      <c r="F873" s="8" t="n"/>
      <c r="G873" s="8" t="n"/>
      <c r="H873" s="8" t="n"/>
      <c r="I873" s="9" t="n"/>
      <c r="J873" s="10">
        <f>SUM(D873:I873)</f>
        <v/>
      </c>
      <c r="K873" s="11" t="n"/>
      <c r="L873" s="8" t="n"/>
      <c r="M873" s="8" t="n"/>
      <c r="N873" s="8" t="n"/>
      <c r="O873" s="8" t="n"/>
      <c r="P873" s="9" t="n"/>
      <c r="Q873" s="10">
        <f>SUM(K873:P873)</f>
        <v/>
      </c>
      <c r="R873" s="10">
        <f>J873+Q873</f>
        <v/>
      </c>
      <c r="S873" s="16" t="n"/>
    </row>
    <row r="874" ht="18" customHeight="1" s="43">
      <c r="B874" s="48" t="n"/>
      <c r="C874" s="7" t="inlineStr">
        <is>
          <t>59期</t>
        </is>
      </c>
      <c r="D874" s="12" t="n"/>
      <c r="E874" s="12" t="n"/>
      <c r="F874" s="12" t="n"/>
      <c r="G874" s="12" t="n"/>
      <c r="H874" s="12" t="n"/>
      <c r="I874" s="13" t="n"/>
      <c r="J874" s="14">
        <f>SUM(D874:I874)</f>
        <v/>
      </c>
      <c r="K874" s="15" t="n"/>
      <c r="L874" s="12" t="n"/>
      <c r="M874" s="12" t="n"/>
      <c r="N874" s="12" t="n"/>
      <c r="O874" s="12" t="n"/>
      <c r="P874" s="13" t="n"/>
      <c r="Q874" s="14">
        <f>SUM(K874:P874)</f>
        <v/>
      </c>
      <c r="R874" s="14">
        <f>J874+Q874</f>
        <v/>
      </c>
      <c r="S874" s="17" t="n"/>
    </row>
    <row r="875" ht="18" customHeight="1" s="43">
      <c r="B875" s="48" t="n"/>
      <c r="C875" s="23" t="inlineStr">
        <is>
          <t>増　減</t>
        </is>
      </c>
      <c r="D875" s="24">
        <f>D874-D873</f>
        <v/>
      </c>
      <c r="E875" s="24">
        <f>E874-E873</f>
        <v/>
      </c>
      <c r="F875" s="24">
        <f>F874-F873</f>
        <v/>
      </c>
      <c r="G875" s="24">
        <f>G874-G873</f>
        <v/>
      </c>
      <c r="H875" s="24">
        <f>H874-H873</f>
        <v/>
      </c>
      <c r="I875" s="27">
        <f>I874-I873</f>
        <v/>
      </c>
      <c r="J875" s="30">
        <f>SUM(D875:I875)</f>
        <v/>
      </c>
      <c r="K875" s="29">
        <f>K874-K873</f>
        <v/>
      </c>
      <c r="L875" s="24">
        <f>L874-L873</f>
        <v/>
      </c>
      <c r="M875" s="24">
        <f>M874-M873</f>
        <v/>
      </c>
      <c r="N875" s="24">
        <f>N874-N873</f>
        <v/>
      </c>
      <c r="O875" s="24">
        <f>O874-O873</f>
        <v/>
      </c>
      <c r="P875" s="27">
        <f>P874-P873</f>
        <v/>
      </c>
      <c r="Q875" s="30">
        <f>SUM(K875:P875)</f>
        <v/>
      </c>
      <c r="R875" s="30">
        <f>J875+Q875</f>
        <v/>
      </c>
      <c r="S875" s="17" t="n"/>
    </row>
    <row r="876" ht="18" customHeight="1" s="43" thickBot="1">
      <c r="B876" s="60" t="n"/>
      <c r="C876" s="25" t="inlineStr">
        <is>
          <t>稼働棟数</t>
        </is>
      </c>
      <c r="D876" s="20" t="n"/>
      <c r="E876" s="20" t="n"/>
      <c r="F876" s="20" t="n"/>
      <c r="G876" s="20" t="n"/>
      <c r="H876" s="20" t="n"/>
      <c r="I876" s="28" t="n"/>
      <c r="J876" s="21">
        <f>I876</f>
        <v/>
      </c>
      <c r="K876" s="22" t="n"/>
      <c r="L876" s="20" t="n"/>
      <c r="M876" s="20" t="n"/>
      <c r="N876" s="20" t="n"/>
      <c r="O876" s="20" t="n"/>
      <c r="P876" s="28" t="n"/>
      <c r="Q876" s="21">
        <f>P876</f>
        <v/>
      </c>
      <c r="R876" s="21">
        <f>Q876</f>
        <v/>
      </c>
      <c r="S876" s="18" t="n"/>
    </row>
    <row r="877" ht="18" customHeight="1" s="43">
      <c r="B877" s="59" t="inlineStr">
        <is>
          <t>サンテレホン/ナス</t>
        </is>
      </c>
      <c r="C877" s="31" t="inlineStr">
        <is>
          <t>58期</t>
        </is>
      </c>
      <c r="D877" s="8" t="n"/>
      <c r="E877" s="8" t="n"/>
      <c r="F877" s="8" t="n"/>
      <c r="G877" s="8" t="n"/>
      <c r="H877" s="8" t="n"/>
      <c r="I877" s="9" t="n"/>
      <c r="J877" s="10">
        <f>SUM(D877:I877)</f>
        <v/>
      </c>
      <c r="K877" s="11" t="n"/>
      <c r="L877" s="8" t="n"/>
      <c r="M877" s="8" t="n"/>
      <c r="N877" s="8" t="n"/>
      <c r="O877" s="8" t="n"/>
      <c r="P877" s="9" t="n"/>
      <c r="Q877" s="10">
        <f>SUM(K877:P877)</f>
        <v/>
      </c>
      <c r="R877" s="10">
        <f>J877+Q877</f>
        <v/>
      </c>
      <c r="S877" s="16" t="n"/>
    </row>
    <row r="878" ht="18" customHeight="1" s="43">
      <c r="B878" s="48" t="n"/>
      <c r="C878" s="7" t="inlineStr">
        <is>
          <t>59期</t>
        </is>
      </c>
      <c r="D878" s="12" t="n"/>
      <c r="E878" s="12" t="n"/>
      <c r="F878" s="12" t="n"/>
      <c r="G878" s="12" t="n"/>
      <c r="H878" s="12" t="n"/>
      <c r="I878" s="13" t="n"/>
      <c r="J878" s="14">
        <f>SUM(D878:I878)</f>
        <v/>
      </c>
      <c r="K878" s="15" t="n"/>
      <c r="L878" s="12" t="n"/>
      <c r="M878" s="12" t="n"/>
      <c r="N878" s="12" t="n"/>
      <c r="O878" s="12" t="n"/>
      <c r="P878" s="13" t="n"/>
      <c r="Q878" s="14">
        <f>SUM(K878:P878)</f>
        <v/>
      </c>
      <c r="R878" s="14">
        <f>J878+Q878</f>
        <v/>
      </c>
      <c r="S878" s="17" t="n"/>
    </row>
    <row r="879" ht="18" customHeight="1" s="43">
      <c r="B879" s="48" t="n"/>
      <c r="C879" s="23" t="inlineStr">
        <is>
          <t>増　減</t>
        </is>
      </c>
      <c r="D879" s="24">
        <f>D878-D877</f>
        <v/>
      </c>
      <c r="E879" s="24">
        <f>E878-E877</f>
        <v/>
      </c>
      <c r="F879" s="24">
        <f>F878-F877</f>
        <v/>
      </c>
      <c r="G879" s="24">
        <f>G878-G877</f>
        <v/>
      </c>
      <c r="H879" s="24">
        <f>H878-H877</f>
        <v/>
      </c>
      <c r="I879" s="27">
        <f>I878-I877</f>
        <v/>
      </c>
      <c r="J879" s="30">
        <f>SUM(D879:I879)</f>
        <v/>
      </c>
      <c r="K879" s="29">
        <f>K878-K877</f>
        <v/>
      </c>
      <c r="L879" s="24">
        <f>L878-L877</f>
        <v/>
      </c>
      <c r="M879" s="24">
        <f>M878-M877</f>
        <v/>
      </c>
      <c r="N879" s="24">
        <f>N878-N877</f>
        <v/>
      </c>
      <c r="O879" s="24">
        <f>O878-O877</f>
        <v/>
      </c>
      <c r="P879" s="27">
        <f>P878-P877</f>
        <v/>
      </c>
      <c r="Q879" s="30">
        <f>SUM(K879:P879)</f>
        <v/>
      </c>
      <c r="R879" s="30">
        <f>J879+Q879</f>
        <v/>
      </c>
      <c r="S879" s="17" t="n"/>
    </row>
    <row r="880" ht="18" customHeight="1" s="43" thickBot="1">
      <c r="B880" s="60" t="n"/>
      <c r="C880" s="25" t="inlineStr">
        <is>
          <t>稼働棟数</t>
        </is>
      </c>
      <c r="D880" s="20" t="n"/>
      <c r="E880" s="20" t="n"/>
      <c r="F880" s="20" t="n"/>
      <c r="G880" s="20" t="n"/>
      <c r="H880" s="20" t="n"/>
      <c r="I880" s="28" t="n"/>
      <c r="J880" s="21">
        <f>I880</f>
        <v/>
      </c>
      <c r="K880" s="22" t="n"/>
      <c r="L880" s="20" t="n"/>
      <c r="M880" s="20" t="n"/>
      <c r="N880" s="20" t="n"/>
      <c r="O880" s="20" t="n"/>
      <c r="P880" s="28" t="n"/>
      <c r="Q880" s="21">
        <f>P880</f>
        <v/>
      </c>
      <c r="R880" s="21">
        <f>Q880</f>
        <v/>
      </c>
      <c r="S880" s="18" t="n"/>
    </row>
    <row r="881" ht="18" customHeight="1" s="43">
      <c r="B881" s="59" t="inlineStr">
        <is>
          <t>サンテレホン/ハーブ</t>
        </is>
      </c>
      <c r="C881" s="31" t="inlineStr">
        <is>
          <t>58期</t>
        </is>
      </c>
      <c r="D881" s="8" t="n"/>
      <c r="E881" s="8" t="n"/>
      <c r="F881" s="8" t="n"/>
      <c r="G881" s="8" t="n"/>
      <c r="H881" s="8" t="n"/>
      <c r="I881" s="9" t="n"/>
      <c r="J881" s="10">
        <f>SUM(D881:I881)</f>
        <v/>
      </c>
      <c r="K881" s="11" t="n"/>
      <c r="L881" s="8" t="n"/>
      <c r="M881" s="8" t="n"/>
      <c r="N881" s="8" t="n"/>
      <c r="O881" s="8" t="n"/>
      <c r="P881" s="9" t="n"/>
      <c r="Q881" s="10">
        <f>SUM(K881:P881)</f>
        <v/>
      </c>
      <c r="R881" s="10">
        <f>J881+Q881</f>
        <v/>
      </c>
      <c r="S881" s="16" t="n"/>
    </row>
    <row r="882" ht="18" customHeight="1" s="43">
      <c r="B882" s="48" t="n"/>
      <c r="C882" s="7" t="inlineStr">
        <is>
          <t>59期</t>
        </is>
      </c>
      <c r="D882" s="12" t="n"/>
      <c r="E882" s="12" t="n"/>
      <c r="F882" s="12" t="n"/>
      <c r="G882" s="12" t="n"/>
      <c r="H882" s="12" t="n"/>
      <c r="I882" s="13" t="n"/>
      <c r="J882" s="14">
        <f>SUM(D882:I882)</f>
        <v/>
      </c>
      <c r="K882" s="15" t="n"/>
      <c r="L882" s="12" t="n"/>
      <c r="M882" s="12" t="n"/>
      <c r="N882" s="12" t="n"/>
      <c r="O882" s="12" t="n"/>
      <c r="P882" s="13" t="n"/>
      <c r="Q882" s="14">
        <f>SUM(K882:P882)</f>
        <v/>
      </c>
      <c r="R882" s="14">
        <f>J882+Q882</f>
        <v/>
      </c>
      <c r="S882" s="17" t="n"/>
    </row>
    <row r="883" ht="18" customHeight="1" s="43">
      <c r="B883" s="48" t="n"/>
      <c r="C883" s="23" t="inlineStr">
        <is>
          <t>増　減</t>
        </is>
      </c>
      <c r="D883" s="24">
        <f>D882-D881</f>
        <v/>
      </c>
      <c r="E883" s="24">
        <f>E882-E881</f>
        <v/>
      </c>
      <c r="F883" s="24">
        <f>F882-F881</f>
        <v/>
      </c>
      <c r="G883" s="24">
        <f>G882-G881</f>
        <v/>
      </c>
      <c r="H883" s="24">
        <f>H882-H881</f>
        <v/>
      </c>
      <c r="I883" s="27">
        <f>I882-I881</f>
        <v/>
      </c>
      <c r="J883" s="30">
        <f>SUM(D883:I883)</f>
        <v/>
      </c>
      <c r="K883" s="29">
        <f>K882-K881</f>
        <v/>
      </c>
      <c r="L883" s="24">
        <f>L882-L881</f>
        <v/>
      </c>
      <c r="M883" s="24">
        <f>M882-M881</f>
        <v/>
      </c>
      <c r="N883" s="24">
        <f>N882-N881</f>
        <v/>
      </c>
      <c r="O883" s="24">
        <f>O882-O881</f>
        <v/>
      </c>
      <c r="P883" s="27">
        <f>P882-P881</f>
        <v/>
      </c>
      <c r="Q883" s="30">
        <f>SUM(K883:P883)</f>
        <v/>
      </c>
      <c r="R883" s="30">
        <f>J883+Q883</f>
        <v/>
      </c>
      <c r="S883" s="17" t="n"/>
    </row>
    <row r="884" ht="18" customHeight="1" s="43" thickBot="1">
      <c r="B884" s="60" t="n"/>
      <c r="C884" s="25" t="inlineStr">
        <is>
          <t>稼働棟数</t>
        </is>
      </c>
      <c r="D884" s="20" t="n"/>
      <c r="E884" s="20" t="n"/>
      <c r="F884" s="20" t="n"/>
      <c r="G884" s="20" t="n"/>
      <c r="H884" s="20" t="n"/>
      <c r="I884" s="28" t="n"/>
      <c r="J884" s="21">
        <f>I884</f>
        <v/>
      </c>
      <c r="K884" s="22" t="n"/>
      <c r="L884" s="20" t="n"/>
      <c r="M884" s="20" t="n"/>
      <c r="N884" s="20" t="n"/>
      <c r="O884" s="20" t="n"/>
      <c r="P884" s="28" t="n"/>
      <c r="Q884" s="21">
        <f>P884</f>
        <v/>
      </c>
      <c r="R884" s="21">
        <f>Q884</f>
        <v/>
      </c>
      <c r="S884" s="18" t="n"/>
    </row>
    <row r="885" ht="18" customHeight="1" s="43">
      <c r="B885" s="59" t="inlineStr">
        <is>
          <t>サンテレホン/パプリカ</t>
        </is>
      </c>
      <c r="C885" s="31" t="inlineStr">
        <is>
          <t>58期</t>
        </is>
      </c>
      <c r="D885" s="8" t="n"/>
      <c r="E885" s="8" t="n"/>
      <c r="F885" s="8" t="n"/>
      <c r="G885" s="8" t="n"/>
      <c r="H885" s="8" t="n"/>
      <c r="I885" s="9" t="n"/>
      <c r="J885" s="10">
        <f>SUM(D885:I885)</f>
        <v/>
      </c>
      <c r="K885" s="11" t="n"/>
      <c r="L885" s="8" t="n"/>
      <c r="M885" s="8" t="n"/>
      <c r="N885" s="8" t="n"/>
      <c r="O885" s="8" t="n"/>
      <c r="P885" s="9" t="n"/>
      <c r="Q885" s="10">
        <f>SUM(K885:P885)</f>
        <v/>
      </c>
      <c r="R885" s="10">
        <f>J885+Q885</f>
        <v/>
      </c>
      <c r="S885" s="16" t="n"/>
    </row>
    <row r="886" ht="18" customHeight="1" s="43">
      <c r="B886" s="48" t="n"/>
      <c r="C886" s="7" t="inlineStr">
        <is>
          <t>59期</t>
        </is>
      </c>
      <c r="D886" s="12" t="n"/>
      <c r="E886" s="12" t="n"/>
      <c r="F886" s="12" t="n"/>
      <c r="G886" s="12" t="n"/>
      <c r="H886" s="12" t="n"/>
      <c r="I886" s="13" t="n"/>
      <c r="J886" s="14">
        <f>SUM(D886:I886)</f>
        <v/>
      </c>
      <c r="K886" s="15" t="n"/>
      <c r="L886" s="12" t="n"/>
      <c r="M886" s="12" t="n"/>
      <c r="N886" s="12" t="n"/>
      <c r="O886" s="12" t="n"/>
      <c r="P886" s="13" t="n"/>
      <c r="Q886" s="14">
        <f>SUM(K886:P886)</f>
        <v/>
      </c>
      <c r="R886" s="14">
        <f>J886+Q886</f>
        <v/>
      </c>
      <c r="S886" s="17" t="n"/>
    </row>
    <row r="887" ht="18" customHeight="1" s="43">
      <c r="B887" s="48" t="n"/>
      <c r="C887" s="23" t="inlineStr">
        <is>
          <t>増　減</t>
        </is>
      </c>
      <c r="D887" s="24">
        <f>D886-D885</f>
        <v/>
      </c>
      <c r="E887" s="24">
        <f>E886-E885</f>
        <v/>
      </c>
      <c r="F887" s="24">
        <f>F886-F885</f>
        <v/>
      </c>
      <c r="G887" s="24">
        <f>G886-G885</f>
        <v/>
      </c>
      <c r="H887" s="24">
        <f>H886-H885</f>
        <v/>
      </c>
      <c r="I887" s="27">
        <f>I886-I885</f>
        <v/>
      </c>
      <c r="J887" s="30">
        <f>SUM(D887:I887)</f>
        <v/>
      </c>
      <c r="K887" s="29">
        <f>K886-K885</f>
        <v/>
      </c>
      <c r="L887" s="24">
        <f>L886-L885</f>
        <v/>
      </c>
      <c r="M887" s="24">
        <f>M886-M885</f>
        <v/>
      </c>
      <c r="N887" s="24">
        <f>N886-N885</f>
        <v/>
      </c>
      <c r="O887" s="24">
        <f>O886-O885</f>
        <v/>
      </c>
      <c r="P887" s="27">
        <f>P886-P885</f>
        <v/>
      </c>
      <c r="Q887" s="30">
        <f>SUM(K887:P887)</f>
        <v/>
      </c>
      <c r="R887" s="30">
        <f>J887+Q887</f>
        <v/>
      </c>
      <c r="S887" s="17" t="n"/>
    </row>
    <row r="888" ht="18" customHeight="1" s="43" thickBot="1">
      <c r="B888" s="60" t="n"/>
      <c r="C888" s="25" t="inlineStr">
        <is>
          <t>稼働棟数</t>
        </is>
      </c>
      <c r="D888" s="20" t="n"/>
      <c r="E888" s="20" t="n"/>
      <c r="F888" s="20" t="n"/>
      <c r="G888" s="20" t="n"/>
      <c r="H888" s="20" t="n"/>
      <c r="I888" s="28" t="n"/>
      <c r="J888" s="21">
        <f>I888</f>
        <v/>
      </c>
      <c r="K888" s="22" t="n"/>
      <c r="L888" s="20" t="n"/>
      <c r="M888" s="20" t="n"/>
      <c r="N888" s="20" t="n"/>
      <c r="O888" s="20" t="n"/>
      <c r="P888" s="28" t="n"/>
      <c r="Q888" s="21">
        <f>P888</f>
        <v/>
      </c>
      <c r="R888" s="21">
        <f>Q888</f>
        <v/>
      </c>
      <c r="S888" s="18" t="n"/>
    </row>
    <row r="889" ht="18" customHeight="1" s="43">
      <c r="B889" s="59" t="inlineStr">
        <is>
          <t>サンテレホン/ピーマン</t>
        </is>
      </c>
      <c r="C889" s="31" t="inlineStr">
        <is>
          <t>58期</t>
        </is>
      </c>
      <c r="D889" s="8" t="n"/>
      <c r="E889" s="8" t="n"/>
      <c r="F889" s="8" t="n"/>
      <c r="G889" s="8" t="n"/>
      <c r="H889" s="8" t="n"/>
      <c r="I889" s="9" t="n"/>
      <c r="J889" s="10">
        <f>SUM(D889:I889)</f>
        <v/>
      </c>
      <c r="K889" s="11" t="n"/>
      <c r="L889" s="8" t="n"/>
      <c r="M889" s="8" t="n"/>
      <c r="N889" s="8" t="n"/>
      <c r="O889" s="8" t="n"/>
      <c r="P889" s="9" t="n"/>
      <c r="Q889" s="10">
        <f>SUM(K889:P889)</f>
        <v/>
      </c>
      <c r="R889" s="10">
        <f>J889+Q889</f>
        <v/>
      </c>
      <c r="S889" s="16" t="n"/>
    </row>
    <row r="890" ht="18" customHeight="1" s="43">
      <c r="B890" s="48" t="n"/>
      <c r="C890" s="7" t="inlineStr">
        <is>
          <t>59期</t>
        </is>
      </c>
      <c r="D890" s="12" t="n"/>
      <c r="E890" s="12" t="n"/>
      <c r="F890" s="12" t="n"/>
      <c r="G890" s="12" t="n"/>
      <c r="H890" s="12" t="n"/>
      <c r="I890" s="13" t="n"/>
      <c r="J890" s="14">
        <f>SUM(D890:I890)</f>
        <v/>
      </c>
      <c r="K890" s="15" t="n"/>
      <c r="L890" s="12" t="n"/>
      <c r="M890" s="12" t="n"/>
      <c r="N890" s="12" t="n"/>
      <c r="O890" s="12" t="n"/>
      <c r="P890" s="13" t="n"/>
      <c r="Q890" s="14">
        <f>SUM(K890:P890)</f>
        <v/>
      </c>
      <c r="R890" s="14">
        <f>J890+Q890</f>
        <v/>
      </c>
      <c r="S890" s="17" t="n"/>
    </row>
    <row r="891" ht="18" customHeight="1" s="43">
      <c r="B891" s="48" t="n"/>
      <c r="C891" s="23" t="inlineStr">
        <is>
          <t>増　減</t>
        </is>
      </c>
      <c r="D891" s="24">
        <f>D890-D889</f>
        <v/>
      </c>
      <c r="E891" s="24">
        <f>E890-E889</f>
        <v/>
      </c>
      <c r="F891" s="24">
        <f>F890-F889</f>
        <v/>
      </c>
      <c r="G891" s="24">
        <f>G890-G889</f>
        <v/>
      </c>
      <c r="H891" s="24">
        <f>H890-H889</f>
        <v/>
      </c>
      <c r="I891" s="27">
        <f>I890-I889</f>
        <v/>
      </c>
      <c r="J891" s="30">
        <f>SUM(D891:I891)</f>
        <v/>
      </c>
      <c r="K891" s="29">
        <f>K890-K889</f>
        <v/>
      </c>
      <c r="L891" s="24">
        <f>L890-L889</f>
        <v/>
      </c>
      <c r="M891" s="24">
        <f>M890-M889</f>
        <v/>
      </c>
      <c r="N891" s="24">
        <f>N890-N889</f>
        <v/>
      </c>
      <c r="O891" s="24">
        <f>O890-O889</f>
        <v/>
      </c>
      <c r="P891" s="27">
        <f>P890-P889</f>
        <v/>
      </c>
      <c r="Q891" s="30">
        <f>SUM(K891:P891)</f>
        <v/>
      </c>
      <c r="R891" s="30">
        <f>J891+Q891</f>
        <v/>
      </c>
      <c r="S891" s="17" t="n"/>
    </row>
    <row r="892" ht="18" customHeight="1" s="43" thickBot="1">
      <c r="B892" s="60" t="n"/>
      <c r="C892" s="25" t="inlineStr">
        <is>
          <t>稼働棟数</t>
        </is>
      </c>
      <c r="D892" s="20" t="n"/>
      <c r="E892" s="20" t="n"/>
      <c r="F892" s="20" t="n"/>
      <c r="G892" s="20" t="n"/>
      <c r="H892" s="20" t="n"/>
      <c r="I892" s="28" t="n"/>
      <c r="J892" s="21">
        <f>I892</f>
        <v/>
      </c>
      <c r="K892" s="22" t="n"/>
      <c r="L892" s="20" t="n"/>
      <c r="M892" s="20" t="n"/>
      <c r="N892" s="20" t="n"/>
      <c r="O892" s="20" t="n"/>
      <c r="P892" s="28" t="n"/>
      <c r="Q892" s="21">
        <f>P892</f>
        <v/>
      </c>
      <c r="R892" s="21">
        <f>Q892</f>
        <v/>
      </c>
      <c r="S892" s="18" t="n"/>
    </row>
    <row r="893" ht="18" customHeight="1" s="43">
      <c r="B893" s="59" t="inlineStr">
        <is>
          <t>サンテレホン/マイクロ</t>
        </is>
      </c>
      <c r="C893" s="31" t="inlineStr">
        <is>
          <t>58期</t>
        </is>
      </c>
      <c r="D893" s="8" t="n"/>
      <c r="E893" s="8" t="n"/>
      <c r="F893" s="8" t="n"/>
      <c r="G893" s="8" t="n">
        <v>0.23</v>
      </c>
      <c r="H893" s="8" t="n"/>
      <c r="I893" s="9" t="n"/>
      <c r="J893" s="10" t="n">
        <v>0.23</v>
      </c>
      <c r="K893" s="11" t="n"/>
      <c r="L893" s="8" t="n"/>
      <c r="M893" s="8" t="n"/>
      <c r="N893" s="8" t="n"/>
      <c r="O893" s="8" t="n"/>
      <c r="P893" s="9" t="n"/>
      <c r="Q893" s="10" t="n">
        <v>0</v>
      </c>
      <c r="R893" s="10" t="n">
        <v>0.23</v>
      </c>
      <c r="S893" s="16" t="n"/>
    </row>
    <row r="894" ht="18" customHeight="1" s="43">
      <c r="B894" s="48" t="n"/>
      <c r="C894" s="7" t="inlineStr">
        <is>
          <t>59期</t>
        </is>
      </c>
      <c r="D894" s="12" t="n"/>
      <c r="E894" s="12" t="n"/>
      <c r="F894" s="12" t="n"/>
      <c r="G894" s="12" t="n"/>
      <c r="H894" s="12" t="n"/>
      <c r="I894" s="13" t="n"/>
      <c r="J894" s="14">
        <f>SUM(D894:I894)</f>
        <v/>
      </c>
      <c r="K894" s="15" t="n"/>
      <c r="L894" s="12" t="n"/>
      <c r="M894" s="12" t="n"/>
      <c r="N894" s="12" t="n"/>
      <c r="O894" s="12" t="n"/>
      <c r="P894" s="13" t="n"/>
      <c r="Q894" s="14">
        <f>SUM(K894:P894)</f>
        <v/>
      </c>
      <c r="R894" s="14">
        <f>J894+Q894</f>
        <v/>
      </c>
      <c r="S894" s="17" t="n"/>
    </row>
    <row r="895" ht="18" customHeight="1" s="43">
      <c r="B895" s="48" t="n"/>
      <c r="C895" s="23" t="inlineStr">
        <is>
          <t>増　減</t>
        </is>
      </c>
      <c r="D895" s="24">
        <f>D894-D893</f>
        <v/>
      </c>
      <c r="E895" s="24">
        <f>E894-E893</f>
        <v/>
      </c>
      <c r="F895" s="24">
        <f>F894-F893</f>
        <v/>
      </c>
      <c r="G895" s="24">
        <f>G894-G893</f>
        <v/>
      </c>
      <c r="H895" s="24">
        <f>H894-H893</f>
        <v/>
      </c>
      <c r="I895" s="27">
        <f>I894-I893</f>
        <v/>
      </c>
      <c r="J895" s="30">
        <f>SUM(D895:I895)</f>
        <v/>
      </c>
      <c r="K895" s="29">
        <f>K894-K893</f>
        <v/>
      </c>
      <c r="L895" s="24">
        <f>L894-L893</f>
        <v/>
      </c>
      <c r="M895" s="24">
        <f>M894-M893</f>
        <v/>
      </c>
      <c r="N895" s="24">
        <f>N894-N893</f>
        <v/>
      </c>
      <c r="O895" s="24">
        <f>O894-O893</f>
        <v/>
      </c>
      <c r="P895" s="27">
        <f>P894-P893</f>
        <v/>
      </c>
      <c r="Q895" s="30">
        <f>SUM(K895:P895)</f>
        <v/>
      </c>
      <c r="R895" s="30">
        <f>J895+Q895</f>
        <v/>
      </c>
      <c r="S895" s="17" t="n"/>
    </row>
    <row r="896" ht="18" customHeight="1" s="43" thickBot="1">
      <c r="B896" s="60" t="n"/>
      <c r="C896" s="25" t="inlineStr">
        <is>
          <t>稼働棟数</t>
        </is>
      </c>
      <c r="D896" s="20" t="n"/>
      <c r="E896" s="20" t="n"/>
      <c r="F896" s="20" t="n"/>
      <c r="G896" s="20" t="n"/>
      <c r="H896" s="20" t="n"/>
      <c r="I896" s="28" t="n"/>
      <c r="J896" s="21">
        <f>I896</f>
        <v/>
      </c>
      <c r="K896" s="22" t="n"/>
      <c r="L896" s="20" t="n"/>
      <c r="M896" s="20" t="n"/>
      <c r="N896" s="20" t="n"/>
      <c r="O896" s="20" t="n"/>
      <c r="P896" s="28" t="n"/>
      <c r="Q896" s="21">
        <f>P896</f>
        <v/>
      </c>
      <c r="R896" s="21">
        <f>Q896</f>
        <v/>
      </c>
      <c r="S896" s="18" t="n"/>
    </row>
    <row r="897" ht="18" customHeight="1" s="43">
      <c r="B897" s="59" t="inlineStr">
        <is>
          <t>サンテレホン/ミニトマト</t>
        </is>
      </c>
      <c r="C897" s="31" t="inlineStr">
        <is>
          <t>58期</t>
        </is>
      </c>
      <c r="D897" s="8" t="n"/>
      <c r="E897" s="8" t="n"/>
      <c r="F897" s="8" t="n"/>
      <c r="G897" s="8" t="n"/>
      <c r="H897" s="8" t="n"/>
      <c r="I897" s="9" t="n"/>
      <c r="J897" s="10">
        <f>SUM(D897:I897)</f>
        <v/>
      </c>
      <c r="K897" s="11" t="n"/>
      <c r="L897" s="8" t="n"/>
      <c r="M897" s="8" t="n"/>
      <c r="N897" s="8" t="n"/>
      <c r="O897" s="8" t="n"/>
      <c r="P897" s="9" t="n"/>
      <c r="Q897" s="10">
        <f>SUM(K897:P897)</f>
        <v/>
      </c>
      <c r="R897" s="10">
        <f>J897+Q897</f>
        <v/>
      </c>
      <c r="S897" s="16" t="n"/>
    </row>
    <row r="898" ht="18" customHeight="1" s="43">
      <c r="B898" s="48" t="n"/>
      <c r="C898" s="7" t="inlineStr">
        <is>
          <t>59期</t>
        </is>
      </c>
      <c r="D898" s="12" t="n"/>
      <c r="E898" s="12" t="n"/>
      <c r="F898" s="12" t="n"/>
      <c r="G898" s="12" t="n"/>
      <c r="H898" s="12" t="n"/>
      <c r="I898" s="13" t="n"/>
      <c r="J898" s="14">
        <f>SUM(D898:I898)</f>
        <v/>
      </c>
      <c r="K898" s="15" t="n"/>
      <c r="L898" s="12" t="n"/>
      <c r="M898" s="12" t="n"/>
      <c r="N898" s="12" t="n"/>
      <c r="O898" s="12" t="n"/>
      <c r="P898" s="13" t="n"/>
      <c r="Q898" s="14">
        <f>SUM(K898:P898)</f>
        <v/>
      </c>
      <c r="R898" s="14">
        <f>J898+Q898</f>
        <v/>
      </c>
      <c r="S898" s="17" t="n"/>
    </row>
    <row r="899" ht="18" customHeight="1" s="43">
      <c r="B899" s="48" t="n"/>
      <c r="C899" s="23" t="inlineStr">
        <is>
          <t>増　減</t>
        </is>
      </c>
      <c r="D899" s="24">
        <f>D898-D897</f>
        <v/>
      </c>
      <c r="E899" s="24">
        <f>E898-E897</f>
        <v/>
      </c>
      <c r="F899" s="24">
        <f>F898-F897</f>
        <v/>
      </c>
      <c r="G899" s="24">
        <f>G898-G897</f>
        <v/>
      </c>
      <c r="H899" s="24">
        <f>H898-H897</f>
        <v/>
      </c>
      <c r="I899" s="27">
        <f>I898-I897</f>
        <v/>
      </c>
      <c r="J899" s="30">
        <f>SUM(D899:I899)</f>
        <v/>
      </c>
      <c r="K899" s="29">
        <f>K898-K897</f>
        <v/>
      </c>
      <c r="L899" s="24">
        <f>L898-L897</f>
        <v/>
      </c>
      <c r="M899" s="24">
        <f>M898-M897</f>
        <v/>
      </c>
      <c r="N899" s="24">
        <f>N898-N897</f>
        <v/>
      </c>
      <c r="O899" s="24">
        <f>O898-O897</f>
        <v/>
      </c>
      <c r="P899" s="27">
        <f>P898-P897</f>
        <v/>
      </c>
      <c r="Q899" s="30">
        <f>SUM(K899:P899)</f>
        <v/>
      </c>
      <c r="R899" s="30">
        <f>J899+Q899</f>
        <v/>
      </c>
      <c r="S899" s="17" t="n"/>
    </row>
    <row r="900" ht="18" customHeight="1" s="43" thickBot="1">
      <c r="B900" s="60" t="n"/>
      <c r="C900" s="25" t="inlineStr">
        <is>
          <t>稼働棟数</t>
        </is>
      </c>
      <c r="D900" s="20" t="n"/>
      <c r="E900" s="20" t="n"/>
      <c r="F900" s="20" t="n"/>
      <c r="G900" s="20" t="n"/>
      <c r="H900" s="20" t="n"/>
      <c r="I900" s="28" t="n"/>
      <c r="J900" s="21">
        <f>I900</f>
        <v/>
      </c>
      <c r="K900" s="22" t="n"/>
      <c r="L900" s="20" t="n"/>
      <c r="M900" s="20" t="n"/>
      <c r="N900" s="20" t="n"/>
      <c r="O900" s="20" t="n"/>
      <c r="P900" s="28" t="n"/>
      <c r="Q900" s="21">
        <f>P900</f>
        <v/>
      </c>
      <c r="R900" s="21">
        <f>Q900</f>
        <v/>
      </c>
      <c r="S900" s="18" t="n"/>
    </row>
    <row r="901" ht="18" customHeight="1" s="43">
      <c r="B901" s="59" t="inlineStr">
        <is>
          <t>サンテレホン/根物野菜</t>
        </is>
      </c>
      <c r="C901" s="31" t="inlineStr">
        <is>
          <t>58期</t>
        </is>
      </c>
      <c r="D901" s="8" t="n"/>
      <c r="E901" s="8" t="n"/>
      <c r="F901" s="8" t="n"/>
      <c r="G901" s="8" t="n">
        <v>1.2</v>
      </c>
      <c r="H901" s="8" t="n"/>
      <c r="I901" s="9" t="n"/>
      <c r="J901" s="10" t="n">
        <v>1.2</v>
      </c>
      <c r="K901" s="11" t="n"/>
      <c r="L901" s="8" t="n"/>
      <c r="M901" s="8" t="n"/>
      <c r="N901" s="8" t="n"/>
      <c r="O901" s="8" t="n"/>
      <c r="P901" s="9" t="n"/>
      <c r="Q901" s="10" t="n">
        <v>0</v>
      </c>
      <c r="R901" s="10" t="n">
        <v>1.2</v>
      </c>
      <c r="S901" s="16" t="n"/>
    </row>
    <row r="902" ht="18" customHeight="1" s="43">
      <c r="B902" s="48" t="n"/>
      <c r="C902" s="7" t="inlineStr">
        <is>
          <t>59期</t>
        </is>
      </c>
      <c r="D902" s="12" t="n"/>
      <c r="E902" s="12" t="n"/>
      <c r="F902" s="12" t="n"/>
      <c r="G902" s="12" t="n"/>
      <c r="H902" s="12" t="n"/>
      <c r="I902" s="13" t="n"/>
      <c r="J902" s="14">
        <f>SUM(D902:I902)</f>
        <v/>
      </c>
      <c r="K902" s="15" t="n"/>
      <c r="L902" s="12" t="n"/>
      <c r="M902" s="12" t="n"/>
      <c r="N902" s="12" t="n"/>
      <c r="O902" s="12" t="n"/>
      <c r="P902" s="13" t="n"/>
      <c r="Q902" s="14">
        <f>SUM(K902:P902)</f>
        <v/>
      </c>
      <c r="R902" s="14">
        <f>J902+Q902</f>
        <v/>
      </c>
      <c r="S902" s="17" t="n"/>
    </row>
    <row r="903" ht="18" customHeight="1" s="43">
      <c r="B903" s="48" t="n"/>
      <c r="C903" s="23" t="inlineStr">
        <is>
          <t>増　減</t>
        </is>
      </c>
      <c r="D903" s="24">
        <f>D902-D901</f>
        <v/>
      </c>
      <c r="E903" s="24">
        <f>E902-E901</f>
        <v/>
      </c>
      <c r="F903" s="24">
        <f>F902-F901</f>
        <v/>
      </c>
      <c r="G903" s="24">
        <f>G902-G901</f>
        <v/>
      </c>
      <c r="H903" s="24">
        <f>H902-H901</f>
        <v/>
      </c>
      <c r="I903" s="27">
        <f>I902-I901</f>
        <v/>
      </c>
      <c r="J903" s="30">
        <f>SUM(D903:I903)</f>
        <v/>
      </c>
      <c r="K903" s="29">
        <f>K902-K901</f>
        <v/>
      </c>
      <c r="L903" s="24">
        <f>L902-L901</f>
        <v/>
      </c>
      <c r="M903" s="24">
        <f>M902-M901</f>
        <v/>
      </c>
      <c r="N903" s="24">
        <f>N902-N901</f>
        <v/>
      </c>
      <c r="O903" s="24">
        <f>O902-O901</f>
        <v/>
      </c>
      <c r="P903" s="27">
        <f>P902-P901</f>
        <v/>
      </c>
      <c r="Q903" s="30">
        <f>SUM(K903:P903)</f>
        <v/>
      </c>
      <c r="R903" s="30">
        <f>J903+Q903</f>
        <v/>
      </c>
      <c r="S903" s="17" t="n"/>
    </row>
    <row r="904" ht="18" customHeight="1" s="43" thickBot="1">
      <c r="B904" s="60" t="n"/>
      <c r="C904" s="25" t="inlineStr">
        <is>
          <t>稼働棟数</t>
        </is>
      </c>
      <c r="D904" s="20" t="n"/>
      <c r="E904" s="20" t="n"/>
      <c r="F904" s="20" t="n"/>
      <c r="G904" s="20" t="n"/>
      <c r="H904" s="20" t="n"/>
      <c r="I904" s="28" t="n"/>
      <c r="J904" s="21">
        <f>I904</f>
        <v/>
      </c>
      <c r="K904" s="22" t="n"/>
      <c r="L904" s="20" t="n"/>
      <c r="M904" s="20" t="n"/>
      <c r="N904" s="20" t="n"/>
      <c r="O904" s="20" t="n"/>
      <c r="P904" s="28" t="n"/>
      <c r="Q904" s="21">
        <f>P904</f>
        <v/>
      </c>
      <c r="R904" s="21">
        <f>Q904</f>
        <v/>
      </c>
      <c r="S904" s="18" t="n"/>
    </row>
    <row r="905" ht="18" customHeight="1" s="43">
      <c r="B905" s="59" t="inlineStr">
        <is>
          <t>サンテレホン/実物野菜</t>
        </is>
      </c>
      <c r="C905" s="31" t="inlineStr">
        <is>
          <t>58期</t>
        </is>
      </c>
      <c r="D905" s="8" t="n"/>
      <c r="E905" s="8" t="n"/>
      <c r="F905" s="8" t="n"/>
      <c r="G905" s="8" t="n"/>
      <c r="H905" s="8" t="n"/>
      <c r="I905" s="9" t="n"/>
      <c r="J905" s="10">
        <f>SUM(D905:I905)</f>
        <v/>
      </c>
      <c r="K905" s="11" t="n"/>
      <c r="L905" s="8" t="n"/>
      <c r="M905" s="8" t="n"/>
      <c r="N905" s="8" t="n"/>
      <c r="O905" s="8" t="n"/>
      <c r="P905" s="9" t="n"/>
      <c r="Q905" s="10">
        <f>SUM(K905:P905)</f>
        <v/>
      </c>
      <c r="R905" s="10">
        <f>J905+Q905</f>
        <v/>
      </c>
      <c r="S905" s="16" t="n"/>
    </row>
    <row r="906" ht="18" customHeight="1" s="43">
      <c r="B906" s="48" t="n"/>
      <c r="C906" s="7" t="inlineStr">
        <is>
          <t>59期</t>
        </is>
      </c>
      <c r="D906" s="12" t="n"/>
      <c r="E906" s="12" t="n"/>
      <c r="F906" s="12" t="n"/>
      <c r="G906" s="12" t="n"/>
      <c r="H906" s="12" t="n"/>
      <c r="I906" s="13" t="n"/>
      <c r="J906" s="14">
        <f>SUM(D906:I906)</f>
        <v/>
      </c>
      <c r="K906" s="15" t="n"/>
      <c r="L906" s="12" t="n"/>
      <c r="M906" s="12" t="n"/>
      <c r="N906" s="12" t="n"/>
      <c r="O906" s="12" t="n"/>
      <c r="P906" s="13" t="n"/>
      <c r="Q906" s="14">
        <f>SUM(K906:P906)</f>
        <v/>
      </c>
      <c r="R906" s="14">
        <f>J906+Q906</f>
        <v/>
      </c>
      <c r="S906" s="17" t="n"/>
    </row>
    <row r="907" ht="18" customHeight="1" s="43">
      <c r="B907" s="48" t="n"/>
      <c r="C907" s="23" t="inlineStr">
        <is>
          <t>増　減</t>
        </is>
      </c>
      <c r="D907" s="24">
        <f>D906-D905</f>
        <v/>
      </c>
      <c r="E907" s="24">
        <f>E906-E905</f>
        <v/>
      </c>
      <c r="F907" s="24">
        <f>F906-F905</f>
        <v/>
      </c>
      <c r="G907" s="24">
        <f>G906-G905</f>
        <v/>
      </c>
      <c r="H907" s="24">
        <f>H906-H905</f>
        <v/>
      </c>
      <c r="I907" s="27">
        <f>I906-I905</f>
        <v/>
      </c>
      <c r="J907" s="30">
        <f>SUM(D907:I907)</f>
        <v/>
      </c>
      <c r="K907" s="29">
        <f>K906-K905</f>
        <v/>
      </c>
      <c r="L907" s="24">
        <f>L906-L905</f>
        <v/>
      </c>
      <c r="M907" s="24">
        <f>M906-M905</f>
        <v/>
      </c>
      <c r="N907" s="24">
        <f>N906-N905</f>
        <v/>
      </c>
      <c r="O907" s="24">
        <f>O906-O905</f>
        <v/>
      </c>
      <c r="P907" s="27">
        <f>P906-P905</f>
        <v/>
      </c>
      <c r="Q907" s="30">
        <f>SUM(K907:P907)</f>
        <v/>
      </c>
      <c r="R907" s="30">
        <f>J907+Q907</f>
        <v/>
      </c>
      <c r="S907" s="17" t="n"/>
    </row>
    <row r="908" ht="18" customHeight="1" s="43" thickBot="1">
      <c r="B908" s="60" t="n"/>
      <c r="C908" s="25" t="inlineStr">
        <is>
          <t>稼働棟数</t>
        </is>
      </c>
      <c r="D908" s="20" t="n"/>
      <c r="E908" s="20" t="n"/>
      <c r="F908" s="20" t="n"/>
      <c r="G908" s="20" t="n"/>
      <c r="H908" s="20" t="n"/>
      <c r="I908" s="28" t="n"/>
      <c r="J908" s="21">
        <f>I908</f>
        <v/>
      </c>
      <c r="K908" s="22" t="n"/>
      <c r="L908" s="20" t="n"/>
      <c r="M908" s="20" t="n"/>
      <c r="N908" s="20" t="n"/>
      <c r="O908" s="20" t="n"/>
      <c r="P908" s="28" t="n"/>
      <c r="Q908" s="21">
        <f>P908</f>
        <v/>
      </c>
      <c r="R908" s="21">
        <f>Q908</f>
        <v/>
      </c>
      <c r="S908" s="18" t="n"/>
    </row>
    <row r="909" ht="18" customHeight="1" s="43">
      <c r="B909" s="59" t="inlineStr">
        <is>
          <t>サンテレホン/食用花</t>
        </is>
      </c>
      <c r="C909" s="31" t="inlineStr">
        <is>
          <t>58期</t>
        </is>
      </c>
      <c r="D909" s="8" t="n"/>
      <c r="E909" s="8" t="n"/>
      <c r="F909" s="8" t="n"/>
      <c r="G909" s="8" t="n"/>
      <c r="H909" s="8" t="n"/>
      <c r="I909" s="9" t="n"/>
      <c r="J909" s="10">
        <f>SUM(D909:I909)</f>
        <v/>
      </c>
      <c r="K909" s="11" t="n"/>
      <c r="L909" s="8" t="n"/>
      <c r="M909" s="8" t="n"/>
      <c r="N909" s="8" t="n"/>
      <c r="O909" s="8" t="n"/>
      <c r="P909" s="9" t="n"/>
      <c r="Q909" s="10">
        <f>SUM(K909:P909)</f>
        <v/>
      </c>
      <c r="R909" s="10">
        <f>J909+Q909</f>
        <v/>
      </c>
      <c r="S909" s="16" t="n"/>
    </row>
    <row r="910" ht="18" customHeight="1" s="43">
      <c r="B910" s="48" t="n"/>
      <c r="C910" s="7" t="inlineStr">
        <is>
          <t>59期</t>
        </is>
      </c>
      <c r="D910" s="12" t="n"/>
      <c r="E910" s="12" t="n"/>
      <c r="F910" s="12" t="n"/>
      <c r="G910" s="12" t="n"/>
      <c r="H910" s="12" t="n"/>
      <c r="I910" s="13" t="n"/>
      <c r="J910" s="14">
        <f>SUM(D910:I910)</f>
        <v/>
      </c>
      <c r="K910" s="15" t="n"/>
      <c r="L910" s="12" t="n"/>
      <c r="M910" s="12" t="n"/>
      <c r="N910" s="12" t="n"/>
      <c r="O910" s="12" t="n"/>
      <c r="P910" s="13" t="n"/>
      <c r="Q910" s="14">
        <f>SUM(K910:P910)</f>
        <v/>
      </c>
      <c r="R910" s="14">
        <f>J910+Q910</f>
        <v/>
      </c>
      <c r="S910" s="17" t="n"/>
    </row>
    <row r="911" ht="18" customHeight="1" s="43">
      <c r="B911" s="48" t="n"/>
      <c r="C911" s="23" t="inlineStr">
        <is>
          <t>増　減</t>
        </is>
      </c>
      <c r="D911" s="24">
        <f>D910-D909</f>
        <v/>
      </c>
      <c r="E911" s="24">
        <f>E910-E909</f>
        <v/>
      </c>
      <c r="F911" s="24">
        <f>F910-F909</f>
        <v/>
      </c>
      <c r="G911" s="24">
        <f>G910-G909</f>
        <v/>
      </c>
      <c r="H911" s="24">
        <f>H910-H909</f>
        <v/>
      </c>
      <c r="I911" s="27">
        <f>I910-I909</f>
        <v/>
      </c>
      <c r="J911" s="30">
        <f>SUM(D911:I911)</f>
        <v/>
      </c>
      <c r="K911" s="29">
        <f>K910-K909</f>
        <v/>
      </c>
      <c r="L911" s="24">
        <f>L910-L909</f>
        <v/>
      </c>
      <c r="M911" s="24">
        <f>M910-M909</f>
        <v/>
      </c>
      <c r="N911" s="24">
        <f>N910-N909</f>
        <v/>
      </c>
      <c r="O911" s="24">
        <f>O910-O909</f>
        <v/>
      </c>
      <c r="P911" s="27">
        <f>P910-P909</f>
        <v/>
      </c>
      <c r="Q911" s="30">
        <f>SUM(K911:P911)</f>
        <v/>
      </c>
      <c r="R911" s="30">
        <f>J911+Q911</f>
        <v/>
      </c>
      <c r="S911" s="17" t="n"/>
    </row>
    <row r="912" ht="18" customHeight="1" s="43" thickBot="1">
      <c r="B912" s="60" t="n"/>
      <c r="C912" s="25" t="inlineStr">
        <is>
          <t>稼働棟数</t>
        </is>
      </c>
      <c r="D912" s="20" t="n"/>
      <c r="E912" s="20" t="n"/>
      <c r="F912" s="20" t="n"/>
      <c r="G912" s="20" t="n"/>
      <c r="H912" s="20" t="n"/>
      <c r="I912" s="28" t="n"/>
      <c r="J912" s="21">
        <f>I912</f>
        <v/>
      </c>
      <c r="K912" s="22" t="n"/>
      <c r="L912" s="20" t="n"/>
      <c r="M912" s="20" t="n"/>
      <c r="N912" s="20" t="n"/>
      <c r="O912" s="20" t="n"/>
      <c r="P912" s="28" t="n"/>
      <c r="Q912" s="21">
        <f>P912</f>
        <v/>
      </c>
      <c r="R912" s="21">
        <f>Q912</f>
        <v/>
      </c>
      <c r="S912" s="18" t="n"/>
    </row>
    <row r="913" ht="18" customHeight="1" s="43">
      <c r="B913" s="59" t="inlineStr">
        <is>
          <t>サンテレホン/葉物野菜</t>
        </is>
      </c>
      <c r="C913" s="31" t="inlineStr">
        <is>
          <t>58期</t>
        </is>
      </c>
      <c r="D913" s="8" t="n"/>
      <c r="E913" s="8" t="n"/>
      <c r="F913" s="8" t="n"/>
      <c r="G913" s="8" t="n"/>
      <c r="H913" s="8" t="n"/>
      <c r="I913" s="9" t="n"/>
      <c r="J913" s="10">
        <f>SUM(D913:I913)</f>
        <v/>
      </c>
      <c r="K913" s="11" t="n"/>
      <c r="L913" s="8" t="n"/>
      <c r="M913" s="8" t="n"/>
      <c r="N913" s="8" t="n"/>
      <c r="O913" s="8" t="n"/>
      <c r="P913" s="9" t="n"/>
      <c r="Q913" s="10">
        <f>SUM(K913:P913)</f>
        <v/>
      </c>
      <c r="R913" s="10">
        <f>J913+Q913</f>
        <v/>
      </c>
      <c r="S913" s="16" t="n"/>
    </row>
    <row r="914" ht="18" customHeight="1" s="43">
      <c r="B914" s="48" t="n"/>
      <c r="C914" s="7" t="inlineStr">
        <is>
          <t>59期</t>
        </is>
      </c>
      <c r="D914" s="12" t="n"/>
      <c r="E914" s="12" t="n"/>
      <c r="F914" s="12" t="n"/>
      <c r="G914" s="12" t="n"/>
      <c r="H914" s="12" t="n"/>
      <c r="I914" s="13" t="n"/>
      <c r="J914" s="14">
        <f>SUM(D914:I914)</f>
        <v/>
      </c>
      <c r="K914" s="15" t="n"/>
      <c r="L914" s="12" t="n"/>
      <c r="M914" s="12" t="n"/>
      <c r="N914" s="12" t="n"/>
      <c r="O914" s="12" t="n"/>
      <c r="P914" s="13" t="n"/>
      <c r="Q914" s="14">
        <f>SUM(K914:P914)</f>
        <v/>
      </c>
      <c r="R914" s="14">
        <f>J914+Q914</f>
        <v/>
      </c>
      <c r="S914" s="17" t="n"/>
    </row>
    <row r="915" ht="18" customHeight="1" s="43">
      <c r="B915" s="48" t="n"/>
      <c r="C915" s="23" t="inlineStr">
        <is>
          <t>増　減</t>
        </is>
      </c>
      <c r="D915" s="24">
        <f>D914-D913</f>
        <v/>
      </c>
      <c r="E915" s="24">
        <f>E914-E913</f>
        <v/>
      </c>
      <c r="F915" s="24">
        <f>F914-F913</f>
        <v/>
      </c>
      <c r="G915" s="24">
        <f>G914-G913</f>
        <v/>
      </c>
      <c r="H915" s="24">
        <f>H914-H913</f>
        <v/>
      </c>
      <c r="I915" s="27">
        <f>I914-I913</f>
        <v/>
      </c>
      <c r="J915" s="30">
        <f>SUM(D915:I915)</f>
        <v/>
      </c>
      <c r="K915" s="29">
        <f>K914-K913</f>
        <v/>
      </c>
      <c r="L915" s="24">
        <f>L914-L913</f>
        <v/>
      </c>
      <c r="M915" s="24">
        <f>M914-M913</f>
        <v/>
      </c>
      <c r="N915" s="24">
        <f>N914-N913</f>
        <v/>
      </c>
      <c r="O915" s="24">
        <f>O914-O913</f>
        <v/>
      </c>
      <c r="P915" s="27">
        <f>P914-P913</f>
        <v/>
      </c>
      <c r="Q915" s="30">
        <f>SUM(K915:P915)</f>
        <v/>
      </c>
      <c r="R915" s="30">
        <f>J915+Q915</f>
        <v/>
      </c>
      <c r="S915" s="17" t="n"/>
    </row>
    <row r="916" ht="18" customHeight="1" s="43" thickBot="1">
      <c r="B916" s="60" t="n"/>
      <c r="C916" s="25" t="inlineStr">
        <is>
          <t>稼働棟数</t>
        </is>
      </c>
      <c r="D916" s="20" t="n"/>
      <c r="E916" s="20" t="n"/>
      <c r="F916" s="20" t="n"/>
      <c r="G916" s="20" t="n"/>
      <c r="H916" s="20" t="n"/>
      <c r="I916" s="28" t="n"/>
      <c r="J916" s="21">
        <f>I916</f>
        <v/>
      </c>
      <c r="K916" s="22" t="n"/>
      <c r="L916" s="20" t="n"/>
      <c r="M916" s="20" t="n"/>
      <c r="N916" s="20" t="n"/>
      <c r="O916" s="20" t="n"/>
      <c r="P916" s="28" t="n"/>
      <c r="Q916" s="21">
        <f>P916</f>
        <v/>
      </c>
      <c r="R916" s="21">
        <f>Q916</f>
        <v/>
      </c>
      <c r="S916" s="18" t="n"/>
    </row>
    <row r="917" ht="18" customHeight="1" s="43">
      <c r="B917" s="59" t="inlineStr">
        <is>
          <t>サンテレホン/イチゴ</t>
        </is>
      </c>
      <c r="C917" s="31" t="inlineStr">
        <is>
          <t>58期</t>
        </is>
      </c>
      <c r="D917" s="8" t="n"/>
      <c r="E917" s="8" t="n"/>
      <c r="F917" s="8" t="n"/>
      <c r="G917" s="8" t="n"/>
      <c r="H917" s="8" t="n"/>
      <c r="I917" s="9" t="n"/>
      <c r="J917" s="10">
        <f>SUM(D917:I917)</f>
        <v/>
      </c>
      <c r="K917" s="11" t="n"/>
      <c r="L917" s="8" t="n"/>
      <c r="M917" s="8" t="n"/>
      <c r="N917" s="8" t="n"/>
      <c r="O917" s="8" t="n"/>
      <c r="P917" s="9" t="n"/>
      <c r="Q917" s="10">
        <f>SUM(K917:P917)</f>
        <v/>
      </c>
      <c r="R917" s="10">
        <f>J917+Q917</f>
        <v/>
      </c>
      <c r="S917" s="16" t="n"/>
    </row>
    <row r="918" ht="18" customHeight="1" s="43">
      <c r="B918" s="48" t="n"/>
      <c r="C918" s="7" t="inlineStr">
        <is>
          <t>59期</t>
        </is>
      </c>
      <c r="D918" s="12" t="n"/>
      <c r="E918" s="12" t="n"/>
      <c r="F918" s="12" t="n"/>
      <c r="G918" s="12" t="n"/>
      <c r="H918" s="12" t="n"/>
      <c r="I918" s="13" t="n"/>
      <c r="J918" s="14">
        <f>SUM(D918:I918)</f>
        <v/>
      </c>
      <c r="K918" s="15" t="n"/>
      <c r="L918" s="12" t="n"/>
      <c r="M918" s="12" t="n"/>
      <c r="N918" s="12" t="n"/>
      <c r="O918" s="12" t="n"/>
      <c r="P918" s="13" t="n"/>
      <c r="Q918" s="14">
        <f>SUM(K918:P918)</f>
        <v/>
      </c>
      <c r="R918" s="14">
        <f>J918+Q918</f>
        <v/>
      </c>
      <c r="S918" s="17" t="n"/>
    </row>
    <row r="919" ht="18" customHeight="1" s="43">
      <c r="B919" s="48" t="n"/>
      <c r="C919" s="23" t="inlineStr">
        <is>
          <t>増　減</t>
        </is>
      </c>
      <c r="D919" s="24">
        <f>D918-D917</f>
        <v/>
      </c>
      <c r="E919" s="24">
        <f>E918-E917</f>
        <v/>
      </c>
      <c r="F919" s="24">
        <f>F918-F917</f>
        <v/>
      </c>
      <c r="G919" s="24">
        <f>G918-G917</f>
        <v/>
      </c>
      <c r="H919" s="24">
        <f>H918-H917</f>
        <v/>
      </c>
      <c r="I919" s="27">
        <f>I918-I917</f>
        <v/>
      </c>
      <c r="J919" s="30">
        <f>SUM(D919:I919)</f>
        <v/>
      </c>
      <c r="K919" s="29">
        <f>K918-K917</f>
        <v/>
      </c>
      <c r="L919" s="24">
        <f>L918-L917</f>
        <v/>
      </c>
      <c r="M919" s="24">
        <f>M918-M917</f>
        <v/>
      </c>
      <c r="N919" s="24">
        <f>N918-N917</f>
        <v/>
      </c>
      <c r="O919" s="24">
        <f>O918-O917</f>
        <v/>
      </c>
      <c r="P919" s="27">
        <f>P918-P917</f>
        <v/>
      </c>
      <c r="Q919" s="30">
        <f>SUM(K919:P919)</f>
        <v/>
      </c>
      <c r="R919" s="30">
        <f>J919+Q919</f>
        <v/>
      </c>
      <c r="S919" s="17" t="n"/>
    </row>
    <row r="920" ht="18" customHeight="1" s="43" thickBot="1">
      <c r="B920" s="60" t="n"/>
      <c r="C920" s="25" t="inlineStr">
        <is>
          <t>稼働棟数</t>
        </is>
      </c>
      <c r="D920" s="20" t="n"/>
      <c r="E920" s="20" t="n"/>
      <c r="F920" s="20" t="n"/>
      <c r="G920" s="20" t="n"/>
      <c r="H920" s="20" t="n"/>
      <c r="I920" s="28" t="n"/>
      <c r="J920" s="21">
        <f>I920</f>
        <v/>
      </c>
      <c r="K920" s="22" t="n"/>
      <c r="L920" s="20" t="n"/>
      <c r="M920" s="20" t="n"/>
      <c r="N920" s="20" t="n"/>
      <c r="O920" s="20" t="n"/>
      <c r="P920" s="28" t="n"/>
      <c r="Q920" s="21">
        <f>P920</f>
        <v/>
      </c>
      <c r="R920" s="21">
        <f>Q920</f>
        <v/>
      </c>
      <c r="S920" s="18" t="n"/>
    </row>
    <row r="921" ht="18" customHeight="1" s="43">
      <c r="B921" s="59" t="inlineStr">
        <is>
          <t>サンテレホン/トマト</t>
        </is>
      </c>
      <c r="C921" s="31" t="inlineStr">
        <is>
          <t>58期</t>
        </is>
      </c>
      <c r="D921" s="8" t="n"/>
      <c r="E921" s="8" t="n"/>
      <c r="F921" s="8" t="n"/>
      <c r="G921" s="8" t="n"/>
      <c r="H921" s="8" t="n"/>
      <c r="I921" s="9" t="n"/>
      <c r="J921" s="10">
        <f>SUM(D921:I921)</f>
        <v/>
      </c>
      <c r="K921" s="11" t="n"/>
      <c r="L921" s="8" t="n"/>
      <c r="M921" s="8" t="n"/>
      <c r="N921" s="8" t="n"/>
      <c r="O921" s="8" t="n"/>
      <c r="P921" s="9" t="n"/>
      <c r="Q921" s="10">
        <f>SUM(K921:P921)</f>
        <v/>
      </c>
      <c r="R921" s="10">
        <f>J921+Q921</f>
        <v/>
      </c>
      <c r="S921" s="16" t="n"/>
    </row>
    <row r="922" ht="18" customHeight="1" s="43">
      <c r="B922" s="48" t="n"/>
      <c r="C922" s="7" t="inlineStr">
        <is>
          <t>59期</t>
        </is>
      </c>
      <c r="D922" s="12" t="n"/>
      <c r="E922" s="12" t="n"/>
      <c r="F922" s="12" t="n"/>
      <c r="G922" s="12" t="n"/>
      <c r="H922" s="12" t="n"/>
      <c r="I922" s="13" t="n"/>
      <c r="J922" s="14">
        <f>SUM(D922:I922)</f>
        <v/>
      </c>
      <c r="K922" s="15" t="n"/>
      <c r="L922" s="12" t="n"/>
      <c r="M922" s="12" t="n"/>
      <c r="N922" s="12" t="n"/>
      <c r="O922" s="12" t="n"/>
      <c r="P922" s="13" t="n"/>
      <c r="Q922" s="14">
        <f>SUM(K922:P922)</f>
        <v/>
      </c>
      <c r="R922" s="14">
        <f>J922+Q922</f>
        <v/>
      </c>
      <c r="S922" s="17" t="n"/>
    </row>
    <row r="923" ht="18" customHeight="1" s="43">
      <c r="B923" s="48" t="n"/>
      <c r="C923" s="23" t="inlineStr">
        <is>
          <t>増　減</t>
        </is>
      </c>
      <c r="D923" s="24">
        <f>D922-D921</f>
        <v/>
      </c>
      <c r="E923" s="24">
        <f>E922-E921</f>
        <v/>
      </c>
      <c r="F923" s="24">
        <f>F922-F921</f>
        <v/>
      </c>
      <c r="G923" s="24">
        <f>G922-G921</f>
        <v/>
      </c>
      <c r="H923" s="24">
        <f>H922-H921</f>
        <v/>
      </c>
      <c r="I923" s="27">
        <f>I922-I921</f>
        <v/>
      </c>
      <c r="J923" s="30">
        <f>SUM(D923:I923)</f>
        <v/>
      </c>
      <c r="K923" s="29">
        <f>K922-K921</f>
        <v/>
      </c>
      <c r="L923" s="24">
        <f>L922-L921</f>
        <v/>
      </c>
      <c r="M923" s="24">
        <f>M922-M921</f>
        <v/>
      </c>
      <c r="N923" s="24">
        <f>N922-N921</f>
        <v/>
      </c>
      <c r="O923" s="24">
        <f>O922-O921</f>
        <v/>
      </c>
      <c r="P923" s="27">
        <f>P922-P921</f>
        <v/>
      </c>
      <c r="Q923" s="30">
        <f>SUM(K923:P923)</f>
        <v/>
      </c>
      <c r="R923" s="30">
        <f>J923+Q923</f>
        <v/>
      </c>
      <c r="S923" s="17" t="n"/>
    </row>
    <row r="924" ht="18" customHeight="1" s="43" thickBot="1">
      <c r="B924" s="60" t="n"/>
      <c r="C924" s="25" t="inlineStr">
        <is>
          <t>稼働棟数</t>
        </is>
      </c>
      <c r="D924" s="20" t="n"/>
      <c r="E924" s="20" t="n"/>
      <c r="F924" s="20" t="n"/>
      <c r="G924" s="20" t="n"/>
      <c r="H924" s="20" t="n"/>
      <c r="I924" s="28" t="n"/>
      <c r="J924" s="21">
        <f>I924</f>
        <v/>
      </c>
      <c r="K924" s="22" t="n"/>
      <c r="L924" s="20" t="n"/>
      <c r="M924" s="20" t="n"/>
      <c r="N924" s="20" t="n"/>
      <c r="O924" s="20" t="n"/>
      <c r="P924" s="28" t="n"/>
      <c r="Q924" s="21">
        <f>P924</f>
        <v/>
      </c>
      <c r="R924" s="21">
        <f>Q924</f>
        <v/>
      </c>
      <c r="S924" s="18" t="n"/>
    </row>
    <row r="925" ht="18" customHeight="1" s="43">
      <c r="B925" s="59" t="inlineStr">
        <is>
          <t>サンテレホン/ナス</t>
        </is>
      </c>
      <c r="C925" s="31" t="inlineStr">
        <is>
          <t>58期</t>
        </is>
      </c>
      <c r="D925" s="8" t="n"/>
      <c r="E925" s="8" t="n"/>
      <c r="F925" s="8" t="n"/>
      <c r="G925" s="8" t="n"/>
      <c r="H925" s="8" t="n"/>
      <c r="I925" s="9" t="n"/>
      <c r="J925" s="10">
        <f>SUM(D925:I925)</f>
        <v/>
      </c>
      <c r="K925" s="11" t="n"/>
      <c r="L925" s="8" t="n"/>
      <c r="M925" s="8" t="n"/>
      <c r="N925" s="8" t="n"/>
      <c r="O925" s="8" t="n"/>
      <c r="P925" s="9" t="n"/>
      <c r="Q925" s="10">
        <f>SUM(K925:P925)</f>
        <v/>
      </c>
      <c r="R925" s="10">
        <f>J925+Q925</f>
        <v/>
      </c>
      <c r="S925" s="16" t="n"/>
    </row>
    <row r="926" ht="18" customHeight="1" s="43">
      <c r="B926" s="48" t="n"/>
      <c r="C926" s="7" t="inlineStr">
        <is>
          <t>59期</t>
        </is>
      </c>
      <c r="D926" s="12" t="n"/>
      <c r="E926" s="12" t="n"/>
      <c r="F926" s="12" t="n"/>
      <c r="G926" s="12" t="n"/>
      <c r="H926" s="12" t="n"/>
      <c r="I926" s="13" t="n"/>
      <c r="J926" s="14">
        <f>SUM(D926:I926)</f>
        <v/>
      </c>
      <c r="K926" s="15" t="n"/>
      <c r="L926" s="12" t="n"/>
      <c r="M926" s="12" t="n"/>
      <c r="N926" s="12" t="n"/>
      <c r="O926" s="12" t="n"/>
      <c r="P926" s="13" t="n"/>
      <c r="Q926" s="14">
        <f>SUM(K926:P926)</f>
        <v/>
      </c>
      <c r="R926" s="14">
        <f>J926+Q926</f>
        <v/>
      </c>
      <c r="S926" s="17" t="n"/>
    </row>
    <row r="927" ht="18" customHeight="1" s="43">
      <c r="B927" s="48" t="n"/>
      <c r="C927" s="23" t="inlineStr">
        <is>
          <t>増　減</t>
        </is>
      </c>
      <c r="D927" s="24">
        <f>D926-D925</f>
        <v/>
      </c>
      <c r="E927" s="24">
        <f>E926-E925</f>
        <v/>
      </c>
      <c r="F927" s="24">
        <f>F926-F925</f>
        <v/>
      </c>
      <c r="G927" s="24">
        <f>G926-G925</f>
        <v/>
      </c>
      <c r="H927" s="24">
        <f>H926-H925</f>
        <v/>
      </c>
      <c r="I927" s="27">
        <f>I926-I925</f>
        <v/>
      </c>
      <c r="J927" s="30">
        <f>SUM(D927:I927)</f>
        <v/>
      </c>
      <c r="K927" s="29">
        <f>K926-K925</f>
        <v/>
      </c>
      <c r="L927" s="24">
        <f>L926-L925</f>
        <v/>
      </c>
      <c r="M927" s="24">
        <f>M926-M925</f>
        <v/>
      </c>
      <c r="N927" s="24">
        <f>N926-N925</f>
        <v/>
      </c>
      <c r="O927" s="24">
        <f>O926-O925</f>
        <v/>
      </c>
      <c r="P927" s="27">
        <f>P926-P925</f>
        <v/>
      </c>
      <c r="Q927" s="30">
        <f>SUM(K927:P927)</f>
        <v/>
      </c>
      <c r="R927" s="30">
        <f>J927+Q927</f>
        <v/>
      </c>
      <c r="S927" s="17" t="n"/>
    </row>
    <row r="928" ht="18" customHeight="1" s="43" thickBot="1">
      <c r="B928" s="60" t="n"/>
      <c r="C928" s="25" t="inlineStr">
        <is>
          <t>稼働棟数</t>
        </is>
      </c>
      <c r="D928" s="20" t="n"/>
      <c r="E928" s="20" t="n"/>
      <c r="F928" s="20" t="n"/>
      <c r="G928" s="20" t="n"/>
      <c r="H928" s="20" t="n"/>
      <c r="I928" s="28" t="n"/>
      <c r="J928" s="21">
        <f>I928</f>
        <v/>
      </c>
      <c r="K928" s="22" t="n"/>
      <c r="L928" s="20" t="n"/>
      <c r="M928" s="20" t="n"/>
      <c r="N928" s="20" t="n"/>
      <c r="O928" s="20" t="n"/>
      <c r="P928" s="28" t="n"/>
      <c r="Q928" s="21">
        <f>P928</f>
        <v/>
      </c>
      <c r="R928" s="21">
        <f>Q928</f>
        <v/>
      </c>
      <c r="S928" s="18" t="n"/>
    </row>
    <row r="929" ht="18" customHeight="1" s="43">
      <c r="B929" s="59" t="inlineStr">
        <is>
          <t>サンテレホン/ハーブ</t>
        </is>
      </c>
      <c r="C929" s="31" t="inlineStr">
        <is>
          <t>58期</t>
        </is>
      </c>
      <c r="D929" s="8" t="n"/>
      <c r="E929" s="8" t="n"/>
      <c r="F929" s="8" t="n"/>
      <c r="G929" s="8" t="n"/>
      <c r="H929" s="8" t="n"/>
      <c r="I929" s="9" t="n"/>
      <c r="J929" s="10">
        <f>SUM(D929:I929)</f>
        <v/>
      </c>
      <c r="K929" s="11" t="n"/>
      <c r="L929" s="8" t="n"/>
      <c r="M929" s="8" t="n"/>
      <c r="N929" s="8" t="n"/>
      <c r="O929" s="8" t="n"/>
      <c r="P929" s="9" t="n"/>
      <c r="Q929" s="10">
        <f>SUM(K929:P929)</f>
        <v/>
      </c>
      <c r="R929" s="10">
        <f>J929+Q929</f>
        <v/>
      </c>
      <c r="S929" s="16" t="n"/>
    </row>
    <row r="930" ht="18" customHeight="1" s="43">
      <c r="B930" s="48" t="n"/>
      <c r="C930" s="7" t="inlineStr">
        <is>
          <t>59期</t>
        </is>
      </c>
      <c r="D930" s="12" t="n"/>
      <c r="E930" s="12" t="n"/>
      <c r="F930" s="12" t="n"/>
      <c r="G930" s="12" t="n"/>
      <c r="H930" s="12" t="n"/>
      <c r="I930" s="13" t="n"/>
      <c r="J930" s="14">
        <f>SUM(D930:I930)</f>
        <v/>
      </c>
      <c r="K930" s="15" t="n"/>
      <c r="L930" s="12" t="n"/>
      <c r="M930" s="12" t="n"/>
      <c r="N930" s="12" t="n"/>
      <c r="O930" s="12" t="n"/>
      <c r="P930" s="13" t="n"/>
      <c r="Q930" s="14">
        <f>SUM(K930:P930)</f>
        <v/>
      </c>
      <c r="R930" s="14">
        <f>J930+Q930</f>
        <v/>
      </c>
      <c r="S930" s="17" t="n"/>
    </row>
    <row r="931" ht="18" customHeight="1" s="43">
      <c r="B931" s="48" t="n"/>
      <c r="C931" s="23" t="inlineStr">
        <is>
          <t>増　減</t>
        </is>
      </c>
      <c r="D931" s="24">
        <f>D930-D929</f>
        <v/>
      </c>
      <c r="E931" s="24">
        <f>E930-E929</f>
        <v/>
      </c>
      <c r="F931" s="24">
        <f>F930-F929</f>
        <v/>
      </c>
      <c r="G931" s="24">
        <f>G930-G929</f>
        <v/>
      </c>
      <c r="H931" s="24">
        <f>H930-H929</f>
        <v/>
      </c>
      <c r="I931" s="27">
        <f>I930-I929</f>
        <v/>
      </c>
      <c r="J931" s="30">
        <f>SUM(D931:I931)</f>
        <v/>
      </c>
      <c r="K931" s="29">
        <f>K930-K929</f>
        <v/>
      </c>
      <c r="L931" s="24">
        <f>L930-L929</f>
        <v/>
      </c>
      <c r="M931" s="24">
        <f>M930-M929</f>
        <v/>
      </c>
      <c r="N931" s="24">
        <f>N930-N929</f>
        <v/>
      </c>
      <c r="O931" s="24">
        <f>O930-O929</f>
        <v/>
      </c>
      <c r="P931" s="27">
        <f>P930-P929</f>
        <v/>
      </c>
      <c r="Q931" s="30">
        <f>SUM(K931:P931)</f>
        <v/>
      </c>
      <c r="R931" s="30">
        <f>J931+Q931</f>
        <v/>
      </c>
      <c r="S931" s="17" t="n"/>
    </row>
    <row r="932" ht="18" customHeight="1" s="43" thickBot="1">
      <c r="B932" s="60" t="n"/>
      <c r="C932" s="25" t="inlineStr">
        <is>
          <t>稼働棟数</t>
        </is>
      </c>
      <c r="D932" s="20" t="n"/>
      <c r="E932" s="20" t="n"/>
      <c r="F932" s="20" t="n"/>
      <c r="G932" s="20" t="n"/>
      <c r="H932" s="20" t="n"/>
      <c r="I932" s="28" t="n"/>
      <c r="J932" s="21">
        <f>I932</f>
        <v/>
      </c>
      <c r="K932" s="22" t="n"/>
      <c r="L932" s="20" t="n"/>
      <c r="M932" s="20" t="n"/>
      <c r="N932" s="20" t="n"/>
      <c r="O932" s="20" t="n"/>
      <c r="P932" s="28" t="n"/>
      <c r="Q932" s="21">
        <f>P932</f>
        <v/>
      </c>
      <c r="R932" s="21">
        <f>Q932</f>
        <v/>
      </c>
      <c r="S932" s="18" t="n"/>
    </row>
    <row r="933" ht="18" customHeight="1" s="43">
      <c r="B933" s="59" t="inlineStr">
        <is>
          <t>サンテレホン/パプリカ</t>
        </is>
      </c>
      <c r="C933" s="31" t="inlineStr">
        <is>
          <t>58期</t>
        </is>
      </c>
      <c r="D933" s="8" t="n"/>
      <c r="E933" s="8" t="n"/>
      <c r="F933" s="8" t="n"/>
      <c r="G933" s="8" t="n"/>
      <c r="H933" s="8" t="n"/>
      <c r="I933" s="9" t="n"/>
      <c r="J933" s="10">
        <f>SUM(D933:I933)</f>
        <v/>
      </c>
      <c r="K933" s="11" t="n"/>
      <c r="L933" s="8" t="n"/>
      <c r="M933" s="8" t="n"/>
      <c r="N933" s="8" t="n"/>
      <c r="O933" s="8" t="n"/>
      <c r="P933" s="9" t="n"/>
      <c r="Q933" s="10">
        <f>SUM(K933:P933)</f>
        <v/>
      </c>
      <c r="R933" s="10">
        <f>J933+Q933</f>
        <v/>
      </c>
      <c r="S933" s="16" t="n"/>
    </row>
    <row r="934" ht="18" customHeight="1" s="43">
      <c r="B934" s="48" t="n"/>
      <c r="C934" s="7" t="inlineStr">
        <is>
          <t>59期</t>
        </is>
      </c>
      <c r="D934" s="12" t="n"/>
      <c r="E934" s="12" t="n"/>
      <c r="F934" s="12" t="n"/>
      <c r="G934" s="12" t="n"/>
      <c r="H934" s="12" t="n"/>
      <c r="I934" s="13" t="n"/>
      <c r="J934" s="14">
        <f>SUM(D934:I934)</f>
        <v/>
      </c>
      <c r="K934" s="15" t="n"/>
      <c r="L934" s="12" t="n"/>
      <c r="M934" s="12" t="n"/>
      <c r="N934" s="12" t="n"/>
      <c r="O934" s="12" t="n"/>
      <c r="P934" s="13" t="n"/>
      <c r="Q934" s="14">
        <f>SUM(K934:P934)</f>
        <v/>
      </c>
      <c r="R934" s="14">
        <f>J934+Q934</f>
        <v/>
      </c>
      <c r="S934" s="17" t="n"/>
    </row>
    <row r="935" ht="18" customHeight="1" s="43">
      <c r="B935" s="48" t="n"/>
      <c r="C935" s="23" t="inlineStr">
        <is>
          <t>増　減</t>
        </is>
      </c>
      <c r="D935" s="24">
        <f>D934-D933</f>
        <v/>
      </c>
      <c r="E935" s="24">
        <f>E934-E933</f>
        <v/>
      </c>
      <c r="F935" s="24">
        <f>F934-F933</f>
        <v/>
      </c>
      <c r="G935" s="24">
        <f>G934-G933</f>
        <v/>
      </c>
      <c r="H935" s="24">
        <f>H934-H933</f>
        <v/>
      </c>
      <c r="I935" s="27">
        <f>I934-I933</f>
        <v/>
      </c>
      <c r="J935" s="30">
        <f>SUM(D935:I935)</f>
        <v/>
      </c>
      <c r="K935" s="29">
        <f>K934-K933</f>
        <v/>
      </c>
      <c r="L935" s="24">
        <f>L934-L933</f>
        <v/>
      </c>
      <c r="M935" s="24">
        <f>M934-M933</f>
        <v/>
      </c>
      <c r="N935" s="24">
        <f>N934-N933</f>
        <v/>
      </c>
      <c r="O935" s="24">
        <f>O934-O933</f>
        <v/>
      </c>
      <c r="P935" s="27">
        <f>P934-P933</f>
        <v/>
      </c>
      <c r="Q935" s="30">
        <f>SUM(K935:P935)</f>
        <v/>
      </c>
      <c r="R935" s="30">
        <f>J935+Q935</f>
        <v/>
      </c>
      <c r="S935" s="17" t="n"/>
    </row>
    <row r="936" ht="18" customHeight="1" s="43" thickBot="1">
      <c r="B936" s="60" t="n"/>
      <c r="C936" s="25" t="inlineStr">
        <is>
          <t>稼働棟数</t>
        </is>
      </c>
      <c r="D936" s="20" t="n"/>
      <c r="E936" s="20" t="n"/>
      <c r="F936" s="20" t="n"/>
      <c r="G936" s="20" t="n"/>
      <c r="H936" s="20" t="n"/>
      <c r="I936" s="28" t="n"/>
      <c r="J936" s="21">
        <f>I936</f>
        <v/>
      </c>
      <c r="K936" s="22" t="n"/>
      <c r="L936" s="20" t="n"/>
      <c r="M936" s="20" t="n"/>
      <c r="N936" s="20" t="n"/>
      <c r="O936" s="20" t="n"/>
      <c r="P936" s="28" t="n"/>
      <c r="Q936" s="21">
        <f>P936</f>
        <v/>
      </c>
      <c r="R936" s="21">
        <f>Q936</f>
        <v/>
      </c>
      <c r="S936" s="18" t="n"/>
    </row>
    <row r="937" ht="18" customHeight="1" s="43">
      <c r="B937" s="59" t="inlineStr">
        <is>
          <t>サンテレホン/ピーマン</t>
        </is>
      </c>
      <c r="C937" s="31" t="inlineStr">
        <is>
          <t>58期</t>
        </is>
      </c>
      <c r="D937" s="8" t="n"/>
      <c r="E937" s="8" t="n"/>
      <c r="F937" s="8" t="n"/>
      <c r="G937" s="8" t="n"/>
      <c r="H937" s="8" t="n"/>
      <c r="I937" s="9" t="n"/>
      <c r="J937" s="10">
        <f>SUM(D937:I937)</f>
        <v/>
      </c>
      <c r="K937" s="11" t="n"/>
      <c r="L937" s="8" t="n"/>
      <c r="M937" s="8" t="n"/>
      <c r="N937" s="8" t="n"/>
      <c r="O937" s="8" t="n"/>
      <c r="P937" s="9" t="n"/>
      <c r="Q937" s="10">
        <f>SUM(K937:P937)</f>
        <v/>
      </c>
      <c r="R937" s="10">
        <f>J937+Q937</f>
        <v/>
      </c>
      <c r="S937" s="16" t="n"/>
    </row>
    <row r="938" ht="18" customHeight="1" s="43">
      <c r="B938" s="48" t="n"/>
      <c r="C938" s="7" t="inlineStr">
        <is>
          <t>59期</t>
        </is>
      </c>
      <c r="D938" s="12" t="n"/>
      <c r="E938" s="12" t="n"/>
      <c r="F938" s="12" t="n"/>
      <c r="G938" s="12" t="n"/>
      <c r="H938" s="12" t="n"/>
      <c r="I938" s="13" t="n"/>
      <c r="J938" s="14">
        <f>SUM(D938:I938)</f>
        <v/>
      </c>
      <c r="K938" s="15" t="n"/>
      <c r="L938" s="12" t="n"/>
      <c r="M938" s="12" t="n"/>
      <c r="N938" s="12" t="n"/>
      <c r="O938" s="12" t="n"/>
      <c r="P938" s="13" t="n"/>
      <c r="Q938" s="14">
        <f>SUM(K938:P938)</f>
        <v/>
      </c>
      <c r="R938" s="14">
        <f>J938+Q938</f>
        <v/>
      </c>
      <c r="S938" s="17" t="n"/>
    </row>
    <row r="939" ht="18" customHeight="1" s="43">
      <c r="B939" s="48" t="n"/>
      <c r="C939" s="23" t="inlineStr">
        <is>
          <t>増　減</t>
        </is>
      </c>
      <c r="D939" s="24">
        <f>D938-D937</f>
        <v/>
      </c>
      <c r="E939" s="24">
        <f>E938-E937</f>
        <v/>
      </c>
      <c r="F939" s="24">
        <f>F938-F937</f>
        <v/>
      </c>
      <c r="G939" s="24">
        <f>G938-G937</f>
        <v/>
      </c>
      <c r="H939" s="24">
        <f>H938-H937</f>
        <v/>
      </c>
      <c r="I939" s="27">
        <f>I938-I937</f>
        <v/>
      </c>
      <c r="J939" s="30">
        <f>SUM(D939:I939)</f>
        <v/>
      </c>
      <c r="K939" s="29">
        <f>K938-K937</f>
        <v/>
      </c>
      <c r="L939" s="24">
        <f>L938-L937</f>
        <v/>
      </c>
      <c r="M939" s="24">
        <f>M938-M937</f>
        <v/>
      </c>
      <c r="N939" s="24">
        <f>N938-N937</f>
        <v/>
      </c>
      <c r="O939" s="24">
        <f>O938-O937</f>
        <v/>
      </c>
      <c r="P939" s="27">
        <f>P938-P937</f>
        <v/>
      </c>
      <c r="Q939" s="30">
        <f>SUM(K939:P939)</f>
        <v/>
      </c>
      <c r="R939" s="30">
        <f>J939+Q939</f>
        <v/>
      </c>
      <c r="S939" s="17" t="n"/>
    </row>
    <row r="940" ht="18" customHeight="1" s="43" thickBot="1">
      <c r="B940" s="60" t="n"/>
      <c r="C940" s="25" t="inlineStr">
        <is>
          <t>稼働棟数</t>
        </is>
      </c>
      <c r="D940" s="20" t="n"/>
      <c r="E940" s="20" t="n"/>
      <c r="F940" s="20" t="n"/>
      <c r="G940" s="20" t="n"/>
      <c r="H940" s="20" t="n"/>
      <c r="I940" s="28" t="n"/>
      <c r="J940" s="21">
        <f>I940</f>
        <v/>
      </c>
      <c r="K940" s="22" t="n"/>
      <c r="L940" s="20" t="n"/>
      <c r="M940" s="20" t="n"/>
      <c r="N940" s="20" t="n"/>
      <c r="O940" s="20" t="n"/>
      <c r="P940" s="28" t="n"/>
      <c r="Q940" s="21">
        <f>P940</f>
        <v/>
      </c>
      <c r="R940" s="21">
        <f>Q940</f>
        <v/>
      </c>
      <c r="S940" s="18" t="n"/>
    </row>
    <row r="941" ht="18" customHeight="1" s="43">
      <c r="B941" s="59" t="inlineStr">
        <is>
          <t>サンテレホン/マイクロ</t>
        </is>
      </c>
      <c r="C941" s="31" t="inlineStr">
        <is>
          <t>58期</t>
        </is>
      </c>
      <c r="D941" s="8" t="n"/>
      <c r="E941" s="8" t="n"/>
      <c r="F941" s="8" t="n"/>
      <c r="G941" s="8" t="n"/>
      <c r="H941" s="8" t="n"/>
      <c r="I941" s="9" t="n"/>
      <c r="J941" s="10">
        <f>SUM(D941:I941)</f>
        <v/>
      </c>
      <c r="K941" s="11" t="n"/>
      <c r="L941" s="8" t="n"/>
      <c r="M941" s="8" t="n"/>
      <c r="N941" s="8" t="n"/>
      <c r="O941" s="8" t="n"/>
      <c r="P941" s="9" t="n"/>
      <c r="Q941" s="10">
        <f>SUM(K941:P941)</f>
        <v/>
      </c>
      <c r="R941" s="10">
        <f>J941+Q941</f>
        <v/>
      </c>
      <c r="S941" s="16" t="n"/>
    </row>
    <row r="942" ht="18" customHeight="1" s="43">
      <c r="B942" s="48" t="n"/>
      <c r="C942" s="7" t="inlineStr">
        <is>
          <t>59期</t>
        </is>
      </c>
      <c r="D942" s="12" t="n"/>
      <c r="E942" s="12" t="n"/>
      <c r="F942" s="12" t="n"/>
      <c r="G942" s="12" t="n"/>
      <c r="H942" s="12" t="n"/>
      <c r="I942" s="13" t="n"/>
      <c r="J942" s="14">
        <f>SUM(D942:I942)</f>
        <v/>
      </c>
      <c r="K942" s="15" t="n"/>
      <c r="L942" s="12" t="n"/>
      <c r="M942" s="12" t="n"/>
      <c r="N942" s="12" t="n"/>
      <c r="O942" s="12" t="n"/>
      <c r="P942" s="13" t="n"/>
      <c r="Q942" s="14">
        <f>SUM(K942:P942)</f>
        <v/>
      </c>
      <c r="R942" s="14">
        <f>J942+Q942</f>
        <v/>
      </c>
      <c r="S942" s="17" t="n"/>
    </row>
    <row r="943" ht="18" customHeight="1" s="43">
      <c r="B943" s="48" t="n"/>
      <c r="C943" s="23" t="inlineStr">
        <is>
          <t>増　減</t>
        </is>
      </c>
      <c r="D943" s="24">
        <f>D942-D941</f>
        <v/>
      </c>
      <c r="E943" s="24">
        <f>E942-E941</f>
        <v/>
      </c>
      <c r="F943" s="24">
        <f>F942-F941</f>
        <v/>
      </c>
      <c r="G943" s="24">
        <f>G942-G941</f>
        <v/>
      </c>
      <c r="H943" s="24">
        <f>H942-H941</f>
        <v/>
      </c>
      <c r="I943" s="27">
        <f>I942-I941</f>
        <v/>
      </c>
      <c r="J943" s="30">
        <f>SUM(D943:I943)</f>
        <v/>
      </c>
      <c r="K943" s="29">
        <f>K942-K941</f>
        <v/>
      </c>
      <c r="L943" s="24">
        <f>L942-L941</f>
        <v/>
      </c>
      <c r="M943" s="24">
        <f>M942-M941</f>
        <v/>
      </c>
      <c r="N943" s="24">
        <f>N942-N941</f>
        <v/>
      </c>
      <c r="O943" s="24">
        <f>O942-O941</f>
        <v/>
      </c>
      <c r="P943" s="27">
        <f>P942-P941</f>
        <v/>
      </c>
      <c r="Q943" s="30">
        <f>SUM(K943:P943)</f>
        <v/>
      </c>
      <c r="R943" s="30">
        <f>J943+Q943</f>
        <v/>
      </c>
      <c r="S943" s="17" t="n"/>
    </row>
    <row r="944" ht="18" customHeight="1" s="43" thickBot="1">
      <c r="B944" s="60" t="n"/>
      <c r="C944" s="25" t="inlineStr">
        <is>
          <t>稼働棟数</t>
        </is>
      </c>
      <c r="D944" s="20" t="n"/>
      <c r="E944" s="20" t="n"/>
      <c r="F944" s="20" t="n"/>
      <c r="G944" s="20" t="n"/>
      <c r="H944" s="20" t="n"/>
      <c r="I944" s="28" t="n"/>
      <c r="J944" s="21">
        <f>I944</f>
        <v/>
      </c>
      <c r="K944" s="22" t="n"/>
      <c r="L944" s="20" t="n"/>
      <c r="M944" s="20" t="n"/>
      <c r="N944" s="20" t="n"/>
      <c r="O944" s="20" t="n"/>
      <c r="P944" s="28" t="n"/>
      <c r="Q944" s="21">
        <f>P944</f>
        <v/>
      </c>
      <c r="R944" s="21">
        <f>Q944</f>
        <v/>
      </c>
      <c r="S944" s="18" t="n"/>
    </row>
    <row r="945" ht="18" customHeight="1" s="43">
      <c r="B945" s="59" t="inlineStr">
        <is>
          <t>サンテレホン/ミニトマト</t>
        </is>
      </c>
      <c r="C945" s="31" t="inlineStr">
        <is>
          <t>58期</t>
        </is>
      </c>
      <c r="D945" s="8" t="n"/>
      <c r="E945" s="8" t="n"/>
      <c r="F945" s="8" t="n"/>
      <c r="G945" s="8" t="n"/>
      <c r="H945" s="8" t="n"/>
      <c r="I945" s="9" t="n"/>
      <c r="J945" s="10">
        <f>SUM(D945:I945)</f>
        <v/>
      </c>
      <c r="K945" s="11" t="n"/>
      <c r="L945" s="8" t="n"/>
      <c r="M945" s="8" t="n"/>
      <c r="N945" s="8" t="n"/>
      <c r="O945" s="8" t="n"/>
      <c r="P945" s="9" t="n"/>
      <c r="Q945" s="10">
        <f>SUM(K945:P945)</f>
        <v/>
      </c>
      <c r="R945" s="10">
        <f>J945+Q945</f>
        <v/>
      </c>
      <c r="S945" s="16" t="n"/>
    </row>
    <row r="946" ht="18" customHeight="1" s="43">
      <c r="B946" s="48" t="n"/>
      <c r="C946" s="7" t="inlineStr">
        <is>
          <t>59期</t>
        </is>
      </c>
      <c r="D946" s="12" t="n"/>
      <c r="E946" s="12" t="n"/>
      <c r="F946" s="12" t="n"/>
      <c r="G946" s="12" t="n"/>
      <c r="H946" s="12" t="n"/>
      <c r="I946" s="13" t="n"/>
      <c r="J946" s="14">
        <f>SUM(D946:I946)</f>
        <v/>
      </c>
      <c r="K946" s="15" t="n"/>
      <c r="L946" s="12" t="n"/>
      <c r="M946" s="12" t="n"/>
      <c r="N946" s="12" t="n"/>
      <c r="O946" s="12" t="n"/>
      <c r="P946" s="13" t="n"/>
      <c r="Q946" s="14">
        <f>SUM(K946:P946)</f>
        <v/>
      </c>
      <c r="R946" s="14">
        <f>J946+Q946</f>
        <v/>
      </c>
      <c r="S946" s="17" t="n"/>
    </row>
    <row r="947" ht="18" customHeight="1" s="43">
      <c r="B947" s="48" t="n"/>
      <c r="C947" s="23" t="inlineStr">
        <is>
          <t>増　減</t>
        </is>
      </c>
      <c r="D947" s="24">
        <f>D946-D945</f>
        <v/>
      </c>
      <c r="E947" s="24">
        <f>E946-E945</f>
        <v/>
      </c>
      <c r="F947" s="24">
        <f>F946-F945</f>
        <v/>
      </c>
      <c r="G947" s="24">
        <f>G946-G945</f>
        <v/>
      </c>
      <c r="H947" s="24">
        <f>H946-H945</f>
        <v/>
      </c>
      <c r="I947" s="27">
        <f>I946-I945</f>
        <v/>
      </c>
      <c r="J947" s="30">
        <f>SUM(D947:I947)</f>
        <v/>
      </c>
      <c r="K947" s="29">
        <f>K946-K945</f>
        <v/>
      </c>
      <c r="L947" s="24">
        <f>L946-L945</f>
        <v/>
      </c>
      <c r="M947" s="24">
        <f>M946-M945</f>
        <v/>
      </c>
      <c r="N947" s="24">
        <f>N946-N945</f>
        <v/>
      </c>
      <c r="O947" s="24">
        <f>O946-O945</f>
        <v/>
      </c>
      <c r="P947" s="27">
        <f>P946-P945</f>
        <v/>
      </c>
      <c r="Q947" s="30">
        <f>SUM(K947:P947)</f>
        <v/>
      </c>
      <c r="R947" s="30">
        <f>J947+Q947</f>
        <v/>
      </c>
      <c r="S947" s="17" t="n"/>
    </row>
    <row r="948" ht="18" customHeight="1" s="43" thickBot="1">
      <c r="B948" s="60" t="n"/>
      <c r="C948" s="25" t="inlineStr">
        <is>
          <t>稼働棟数</t>
        </is>
      </c>
      <c r="D948" s="20" t="n"/>
      <c r="E948" s="20" t="n"/>
      <c r="F948" s="20" t="n"/>
      <c r="G948" s="20" t="n"/>
      <c r="H948" s="20" t="n"/>
      <c r="I948" s="28" t="n"/>
      <c r="J948" s="21">
        <f>I948</f>
        <v/>
      </c>
      <c r="K948" s="22" t="n"/>
      <c r="L948" s="20" t="n"/>
      <c r="M948" s="20" t="n"/>
      <c r="N948" s="20" t="n"/>
      <c r="O948" s="20" t="n"/>
      <c r="P948" s="28" t="n"/>
      <c r="Q948" s="21">
        <f>P948</f>
        <v/>
      </c>
      <c r="R948" s="21">
        <f>Q948</f>
        <v/>
      </c>
      <c r="S948" s="18" t="n"/>
    </row>
    <row r="949" ht="18" customHeight="1" s="43">
      <c r="B949" s="59" t="inlineStr">
        <is>
          <t>サンテレホン/根物野菜</t>
        </is>
      </c>
      <c r="C949" s="31" t="inlineStr">
        <is>
          <t>58期</t>
        </is>
      </c>
      <c r="D949" s="8" t="n"/>
      <c r="E949" s="8" t="n"/>
      <c r="F949" s="8" t="n"/>
      <c r="G949" s="8" t="n"/>
      <c r="H949" s="8" t="n"/>
      <c r="I949" s="9" t="n"/>
      <c r="J949" s="10">
        <f>SUM(D949:I949)</f>
        <v/>
      </c>
      <c r="K949" s="11" t="n"/>
      <c r="L949" s="8" t="n"/>
      <c r="M949" s="8" t="n"/>
      <c r="N949" s="8" t="n"/>
      <c r="O949" s="8" t="n"/>
      <c r="P949" s="9" t="n"/>
      <c r="Q949" s="10">
        <f>SUM(K949:P949)</f>
        <v/>
      </c>
      <c r="R949" s="10">
        <f>J949+Q949</f>
        <v/>
      </c>
      <c r="S949" s="16" t="n"/>
    </row>
    <row r="950" ht="18" customHeight="1" s="43">
      <c r="B950" s="48" t="n"/>
      <c r="C950" s="7" t="inlineStr">
        <is>
          <t>59期</t>
        </is>
      </c>
      <c r="D950" s="12" t="n"/>
      <c r="E950" s="12" t="n"/>
      <c r="F950" s="12" t="n"/>
      <c r="G950" s="12" t="n"/>
      <c r="H950" s="12" t="n"/>
      <c r="I950" s="13" t="n"/>
      <c r="J950" s="14">
        <f>SUM(D950:I950)</f>
        <v/>
      </c>
      <c r="K950" s="15" t="n"/>
      <c r="L950" s="12" t="n"/>
      <c r="M950" s="12" t="n"/>
      <c r="N950" s="12" t="n"/>
      <c r="O950" s="12" t="n"/>
      <c r="P950" s="13" t="n"/>
      <c r="Q950" s="14">
        <f>SUM(K950:P950)</f>
        <v/>
      </c>
      <c r="R950" s="14">
        <f>J950+Q950</f>
        <v/>
      </c>
      <c r="S950" s="17" t="n"/>
    </row>
    <row r="951" ht="18" customHeight="1" s="43">
      <c r="B951" s="48" t="n"/>
      <c r="C951" s="23" t="inlineStr">
        <is>
          <t>増　減</t>
        </is>
      </c>
      <c r="D951" s="24">
        <f>D950-D949</f>
        <v/>
      </c>
      <c r="E951" s="24">
        <f>E950-E949</f>
        <v/>
      </c>
      <c r="F951" s="24">
        <f>F950-F949</f>
        <v/>
      </c>
      <c r="G951" s="24">
        <f>G950-G949</f>
        <v/>
      </c>
      <c r="H951" s="24">
        <f>H950-H949</f>
        <v/>
      </c>
      <c r="I951" s="27">
        <f>I950-I949</f>
        <v/>
      </c>
      <c r="J951" s="30">
        <f>SUM(D951:I951)</f>
        <v/>
      </c>
      <c r="K951" s="29">
        <f>K950-K949</f>
        <v/>
      </c>
      <c r="L951" s="24">
        <f>L950-L949</f>
        <v/>
      </c>
      <c r="M951" s="24">
        <f>M950-M949</f>
        <v/>
      </c>
      <c r="N951" s="24">
        <f>N950-N949</f>
        <v/>
      </c>
      <c r="O951" s="24">
        <f>O950-O949</f>
        <v/>
      </c>
      <c r="P951" s="27">
        <f>P950-P949</f>
        <v/>
      </c>
      <c r="Q951" s="30">
        <f>SUM(K951:P951)</f>
        <v/>
      </c>
      <c r="R951" s="30">
        <f>J951+Q951</f>
        <v/>
      </c>
      <c r="S951" s="17" t="n"/>
    </row>
    <row r="952" ht="18" customHeight="1" s="43" thickBot="1">
      <c r="B952" s="60" t="n"/>
      <c r="C952" s="25" t="inlineStr">
        <is>
          <t>稼働棟数</t>
        </is>
      </c>
      <c r="D952" s="20" t="n"/>
      <c r="E952" s="20" t="n"/>
      <c r="F952" s="20" t="n"/>
      <c r="G952" s="20" t="n"/>
      <c r="H952" s="20" t="n"/>
      <c r="I952" s="28" t="n"/>
      <c r="J952" s="21">
        <f>I952</f>
        <v/>
      </c>
      <c r="K952" s="22" t="n"/>
      <c r="L952" s="20" t="n"/>
      <c r="M952" s="20" t="n"/>
      <c r="N952" s="20" t="n"/>
      <c r="O952" s="20" t="n"/>
      <c r="P952" s="28" t="n"/>
      <c r="Q952" s="21">
        <f>P952</f>
        <v/>
      </c>
      <c r="R952" s="21">
        <f>Q952</f>
        <v/>
      </c>
      <c r="S952" s="18" t="n"/>
    </row>
    <row r="953" ht="18" customHeight="1" s="43">
      <c r="B953" s="59" t="inlineStr">
        <is>
          <t>サンテレホン/実物野菜</t>
        </is>
      </c>
      <c r="C953" s="31" t="inlineStr">
        <is>
          <t>58期</t>
        </is>
      </c>
      <c r="D953" s="8" t="n"/>
      <c r="E953" s="8" t="n"/>
      <c r="F953" s="8" t="n"/>
      <c r="G953" s="8" t="n"/>
      <c r="H953" s="8" t="n"/>
      <c r="I953" s="9" t="n"/>
      <c r="J953" s="10">
        <f>SUM(D953:I953)</f>
        <v/>
      </c>
      <c r="K953" s="11" t="n"/>
      <c r="L953" s="8" t="n"/>
      <c r="M953" s="8" t="n"/>
      <c r="N953" s="8" t="n"/>
      <c r="O953" s="8" t="n"/>
      <c r="P953" s="9" t="n"/>
      <c r="Q953" s="10">
        <f>SUM(K953:P953)</f>
        <v/>
      </c>
      <c r="R953" s="10">
        <f>J953+Q953</f>
        <v/>
      </c>
      <c r="S953" s="16" t="n"/>
    </row>
    <row r="954" ht="18" customHeight="1" s="43">
      <c r="B954" s="48" t="n"/>
      <c r="C954" s="7" t="inlineStr">
        <is>
          <t>59期</t>
        </is>
      </c>
      <c r="D954" s="12" t="n"/>
      <c r="E954" s="12" t="n"/>
      <c r="F954" s="12" t="n"/>
      <c r="G954" s="12" t="n"/>
      <c r="H954" s="12" t="n"/>
      <c r="I954" s="13" t="n"/>
      <c r="J954" s="14">
        <f>SUM(D954:I954)</f>
        <v/>
      </c>
      <c r="K954" s="15" t="n"/>
      <c r="L954" s="12" t="n"/>
      <c r="M954" s="12" t="n"/>
      <c r="N954" s="12" t="n"/>
      <c r="O954" s="12" t="n"/>
      <c r="P954" s="13" t="n"/>
      <c r="Q954" s="14">
        <f>SUM(K954:P954)</f>
        <v/>
      </c>
      <c r="R954" s="14">
        <f>J954+Q954</f>
        <v/>
      </c>
      <c r="S954" s="17" t="n"/>
    </row>
    <row r="955" ht="18" customHeight="1" s="43">
      <c r="B955" s="48" t="n"/>
      <c r="C955" s="23" t="inlineStr">
        <is>
          <t>増　減</t>
        </is>
      </c>
      <c r="D955" s="24">
        <f>D954-D953</f>
        <v/>
      </c>
      <c r="E955" s="24">
        <f>E954-E953</f>
        <v/>
      </c>
      <c r="F955" s="24">
        <f>F954-F953</f>
        <v/>
      </c>
      <c r="G955" s="24">
        <f>G954-G953</f>
        <v/>
      </c>
      <c r="H955" s="24">
        <f>H954-H953</f>
        <v/>
      </c>
      <c r="I955" s="27">
        <f>I954-I953</f>
        <v/>
      </c>
      <c r="J955" s="30">
        <f>SUM(D955:I955)</f>
        <v/>
      </c>
      <c r="K955" s="29">
        <f>K954-K953</f>
        <v/>
      </c>
      <c r="L955" s="24">
        <f>L954-L953</f>
        <v/>
      </c>
      <c r="M955" s="24">
        <f>M954-M953</f>
        <v/>
      </c>
      <c r="N955" s="24">
        <f>N954-N953</f>
        <v/>
      </c>
      <c r="O955" s="24">
        <f>O954-O953</f>
        <v/>
      </c>
      <c r="P955" s="27">
        <f>P954-P953</f>
        <v/>
      </c>
      <c r="Q955" s="30">
        <f>SUM(K955:P955)</f>
        <v/>
      </c>
      <c r="R955" s="30">
        <f>J955+Q955</f>
        <v/>
      </c>
      <c r="S955" s="17" t="n"/>
    </row>
    <row r="956" ht="18" customHeight="1" s="43" thickBot="1">
      <c r="B956" s="60" t="n"/>
      <c r="C956" s="25" t="inlineStr">
        <is>
          <t>稼働棟数</t>
        </is>
      </c>
      <c r="D956" s="20" t="n"/>
      <c r="E956" s="20" t="n"/>
      <c r="F956" s="20" t="n"/>
      <c r="G956" s="20" t="n"/>
      <c r="H956" s="20" t="n"/>
      <c r="I956" s="28" t="n"/>
      <c r="J956" s="21">
        <f>I956</f>
        <v/>
      </c>
      <c r="K956" s="22" t="n"/>
      <c r="L956" s="20" t="n"/>
      <c r="M956" s="20" t="n"/>
      <c r="N956" s="20" t="n"/>
      <c r="O956" s="20" t="n"/>
      <c r="P956" s="28" t="n"/>
      <c r="Q956" s="21">
        <f>P956</f>
        <v/>
      </c>
      <c r="R956" s="21">
        <f>Q956</f>
        <v/>
      </c>
      <c r="S956" s="18" t="n"/>
    </row>
    <row r="957" ht="18" customHeight="1" s="43">
      <c r="B957" s="59" t="inlineStr">
        <is>
          <t>サンテレホン/食用花</t>
        </is>
      </c>
      <c r="C957" s="31" t="inlineStr">
        <is>
          <t>58期</t>
        </is>
      </c>
      <c r="D957" s="8" t="n"/>
      <c r="E957" s="8" t="n"/>
      <c r="F957" s="8" t="n"/>
      <c r="G957" s="8" t="n"/>
      <c r="H957" s="8" t="n"/>
      <c r="I957" s="9" t="n"/>
      <c r="J957" s="10">
        <f>SUM(D957:I957)</f>
        <v/>
      </c>
      <c r="K957" s="11" t="n"/>
      <c r="L957" s="8" t="n"/>
      <c r="M957" s="8" t="n"/>
      <c r="N957" s="8" t="n"/>
      <c r="O957" s="8" t="n"/>
      <c r="P957" s="9" t="n"/>
      <c r="Q957" s="10">
        <f>SUM(K957:P957)</f>
        <v/>
      </c>
      <c r="R957" s="10">
        <f>J957+Q957</f>
        <v/>
      </c>
      <c r="S957" s="16" t="n"/>
    </row>
    <row r="958" ht="18" customHeight="1" s="43">
      <c r="B958" s="48" t="n"/>
      <c r="C958" s="7" t="inlineStr">
        <is>
          <t>59期</t>
        </is>
      </c>
      <c r="D958" s="12" t="n"/>
      <c r="E958" s="12" t="n"/>
      <c r="F958" s="12" t="n"/>
      <c r="G958" s="12" t="n"/>
      <c r="H958" s="12" t="n"/>
      <c r="I958" s="13" t="n"/>
      <c r="J958" s="14">
        <f>SUM(D958:I958)</f>
        <v/>
      </c>
      <c r="K958" s="15" t="n"/>
      <c r="L958" s="12" t="n"/>
      <c r="M958" s="12" t="n"/>
      <c r="N958" s="12" t="n"/>
      <c r="O958" s="12" t="n"/>
      <c r="P958" s="13" t="n"/>
      <c r="Q958" s="14">
        <f>SUM(K958:P958)</f>
        <v/>
      </c>
      <c r="R958" s="14">
        <f>J958+Q958</f>
        <v/>
      </c>
      <c r="S958" s="17" t="n"/>
    </row>
    <row r="959" ht="18" customHeight="1" s="43">
      <c r="B959" s="48" t="n"/>
      <c r="C959" s="23" t="inlineStr">
        <is>
          <t>増　減</t>
        </is>
      </c>
      <c r="D959" s="24">
        <f>D958-D957</f>
        <v/>
      </c>
      <c r="E959" s="24">
        <f>E958-E957</f>
        <v/>
      </c>
      <c r="F959" s="24">
        <f>F958-F957</f>
        <v/>
      </c>
      <c r="G959" s="24">
        <f>G958-G957</f>
        <v/>
      </c>
      <c r="H959" s="24">
        <f>H958-H957</f>
        <v/>
      </c>
      <c r="I959" s="27">
        <f>I958-I957</f>
        <v/>
      </c>
      <c r="J959" s="30">
        <f>SUM(D959:I959)</f>
        <v/>
      </c>
      <c r="K959" s="29">
        <f>K958-K957</f>
        <v/>
      </c>
      <c r="L959" s="24">
        <f>L958-L957</f>
        <v/>
      </c>
      <c r="M959" s="24">
        <f>M958-M957</f>
        <v/>
      </c>
      <c r="N959" s="24">
        <f>N958-N957</f>
        <v/>
      </c>
      <c r="O959" s="24">
        <f>O958-O957</f>
        <v/>
      </c>
      <c r="P959" s="27">
        <f>P958-P957</f>
        <v/>
      </c>
      <c r="Q959" s="30">
        <f>SUM(K959:P959)</f>
        <v/>
      </c>
      <c r="R959" s="30">
        <f>J959+Q959</f>
        <v/>
      </c>
      <c r="S959" s="17" t="n"/>
    </row>
    <row r="960" ht="18" customHeight="1" s="43" thickBot="1">
      <c r="B960" s="60" t="n"/>
      <c r="C960" s="25" t="inlineStr">
        <is>
          <t>稼働棟数</t>
        </is>
      </c>
      <c r="D960" s="20" t="n"/>
      <c r="E960" s="20" t="n"/>
      <c r="F960" s="20" t="n"/>
      <c r="G960" s="20" t="n"/>
      <c r="H960" s="20" t="n"/>
      <c r="I960" s="28" t="n"/>
      <c r="J960" s="21">
        <f>I960</f>
        <v/>
      </c>
      <c r="K960" s="22" t="n"/>
      <c r="L960" s="20" t="n"/>
      <c r="M960" s="20" t="n"/>
      <c r="N960" s="20" t="n"/>
      <c r="O960" s="20" t="n"/>
      <c r="P960" s="28" t="n"/>
      <c r="Q960" s="21">
        <f>P960</f>
        <v/>
      </c>
      <c r="R960" s="21">
        <f>Q960</f>
        <v/>
      </c>
      <c r="S960" s="18" t="n"/>
    </row>
    <row r="961" ht="18" customHeight="1" s="43">
      <c r="B961" s="59" t="inlineStr">
        <is>
          <t>サンテレホン/葉物野菜</t>
        </is>
      </c>
      <c r="C961" s="31" t="inlineStr">
        <is>
          <t>58期</t>
        </is>
      </c>
      <c r="D961" s="8" t="n"/>
      <c r="E961" s="8" t="n"/>
      <c r="F961" s="8" t="n"/>
      <c r="G961" s="8" t="n"/>
      <c r="H961" s="8" t="n"/>
      <c r="I961" s="9" t="n"/>
      <c r="J961" s="10">
        <f>SUM(D961:I961)</f>
        <v/>
      </c>
      <c r="K961" s="11" t="n"/>
      <c r="L961" s="8" t="n"/>
      <c r="M961" s="8" t="n"/>
      <c r="N961" s="8" t="n"/>
      <c r="O961" s="8" t="n"/>
      <c r="P961" s="9" t="n"/>
      <c r="Q961" s="10">
        <f>SUM(K961:P961)</f>
        <v/>
      </c>
      <c r="R961" s="10">
        <f>J961+Q961</f>
        <v/>
      </c>
      <c r="S961" s="16" t="n"/>
    </row>
    <row r="962" ht="18" customHeight="1" s="43">
      <c r="B962" s="48" t="n"/>
      <c r="C962" s="7" t="inlineStr">
        <is>
          <t>59期</t>
        </is>
      </c>
      <c r="D962" s="12" t="n"/>
      <c r="E962" s="12" t="n"/>
      <c r="F962" s="12" t="n"/>
      <c r="G962" s="12" t="n"/>
      <c r="H962" s="12" t="n"/>
      <c r="I962" s="13" t="n"/>
      <c r="J962" s="14">
        <f>SUM(D962:I962)</f>
        <v/>
      </c>
      <c r="K962" s="15" t="n"/>
      <c r="L962" s="12" t="n"/>
      <c r="M962" s="12" t="n"/>
      <c r="N962" s="12" t="n"/>
      <c r="O962" s="12" t="n"/>
      <c r="P962" s="13" t="n"/>
      <c r="Q962" s="14">
        <f>SUM(K962:P962)</f>
        <v/>
      </c>
      <c r="R962" s="14">
        <f>J962+Q962</f>
        <v/>
      </c>
      <c r="S962" s="17" t="n"/>
    </row>
    <row r="963" ht="18" customHeight="1" s="43">
      <c r="B963" s="48" t="n"/>
      <c r="C963" s="23" t="inlineStr">
        <is>
          <t>増　減</t>
        </is>
      </c>
      <c r="D963" s="24">
        <f>D962-D961</f>
        <v/>
      </c>
      <c r="E963" s="24">
        <f>E962-E961</f>
        <v/>
      </c>
      <c r="F963" s="24">
        <f>F962-F961</f>
        <v/>
      </c>
      <c r="G963" s="24">
        <f>G962-G961</f>
        <v/>
      </c>
      <c r="H963" s="24">
        <f>H962-H961</f>
        <v/>
      </c>
      <c r="I963" s="27">
        <f>I962-I961</f>
        <v/>
      </c>
      <c r="J963" s="30">
        <f>SUM(D963:I963)</f>
        <v/>
      </c>
      <c r="K963" s="29">
        <f>K962-K961</f>
        <v/>
      </c>
      <c r="L963" s="24">
        <f>L962-L961</f>
        <v/>
      </c>
      <c r="M963" s="24">
        <f>M962-M961</f>
        <v/>
      </c>
      <c r="N963" s="24">
        <f>N962-N961</f>
        <v/>
      </c>
      <c r="O963" s="24">
        <f>O962-O961</f>
        <v/>
      </c>
      <c r="P963" s="27">
        <f>P962-P961</f>
        <v/>
      </c>
      <c r="Q963" s="30">
        <f>SUM(K963:P963)</f>
        <v/>
      </c>
      <c r="R963" s="30">
        <f>J963+Q963</f>
        <v/>
      </c>
      <c r="S963" s="17" t="n"/>
    </row>
    <row r="964" ht="18" customHeight="1" s="43" thickBot="1">
      <c r="B964" s="60" t="n"/>
      <c r="C964" s="25" t="inlineStr">
        <is>
          <t>稼働棟数</t>
        </is>
      </c>
      <c r="D964" s="20" t="n"/>
      <c r="E964" s="20" t="n"/>
      <c r="F964" s="20" t="n"/>
      <c r="G964" s="20" t="n"/>
      <c r="H964" s="20" t="n"/>
      <c r="I964" s="28" t="n"/>
      <c r="J964" s="21">
        <f>I964</f>
        <v/>
      </c>
      <c r="K964" s="22" t="n"/>
      <c r="L964" s="20" t="n"/>
      <c r="M964" s="20" t="n"/>
      <c r="N964" s="20" t="n"/>
      <c r="O964" s="20" t="n"/>
      <c r="P964" s="28" t="n"/>
      <c r="Q964" s="21">
        <f>P964</f>
        <v/>
      </c>
      <c r="R964" s="21">
        <f>Q964</f>
        <v/>
      </c>
      <c r="S964" s="18" t="n"/>
    </row>
    <row r="965" ht="18" customHeight="1" s="43">
      <c r="A965" s="44" t="n">
        <v>38</v>
      </c>
      <c r="B965" s="50" t="inlineStr">
        <is>
          <t>IDAJ/葉物野菜</t>
        </is>
      </c>
      <c r="C965" s="31" t="inlineStr">
        <is>
          <t>58期</t>
        </is>
      </c>
      <c r="D965" s="8" t="n"/>
      <c r="E965" s="8" t="n"/>
      <c r="F965" s="8" t="n"/>
      <c r="G965" s="8" t="n"/>
      <c r="H965" s="8" t="n"/>
      <c r="I965" s="9" t="n"/>
      <c r="J965" s="10">
        <f>SUM(D965:I965)</f>
        <v/>
      </c>
      <c r="K965" s="11" t="n"/>
      <c r="L965" s="8" t="n"/>
      <c r="M965" s="8" t="n"/>
      <c r="N965" s="8" t="n"/>
      <c r="O965" s="8" t="n"/>
      <c r="P965" s="9" t="n"/>
      <c r="Q965" s="10">
        <f>SUM(K965:P965)</f>
        <v/>
      </c>
      <c r="R965" s="10">
        <f>J965+Q965</f>
        <v/>
      </c>
      <c r="S965" s="16" t="n"/>
    </row>
    <row r="966" ht="18" customHeight="1" s="43">
      <c r="A966" s="45" t="n"/>
      <c r="B966" s="48" t="n"/>
      <c r="C966" s="7" t="inlineStr">
        <is>
          <t>59期</t>
        </is>
      </c>
      <c r="D966" s="12" t="n"/>
      <c r="E966" s="12" t="n"/>
      <c r="F966" s="12" t="n"/>
      <c r="G966" s="12" t="n"/>
      <c r="H966" s="12" t="n"/>
      <c r="I966" s="13" t="n"/>
      <c r="J966" s="14">
        <f>SUM(D966:I966)</f>
        <v/>
      </c>
      <c r="K966" s="15" t="n"/>
      <c r="L966" s="12" t="n"/>
      <c r="M966" s="12" t="n"/>
      <c r="N966" s="12" t="n"/>
      <c r="O966" s="12" t="n"/>
      <c r="P966" s="13" t="n"/>
      <c r="Q966" s="14">
        <f>SUM(K966:P966)</f>
        <v/>
      </c>
      <c r="R966" s="14">
        <f>J966+Q966</f>
        <v/>
      </c>
      <c r="S966" s="17" t="n"/>
    </row>
    <row r="967" ht="18" customHeight="1" s="43">
      <c r="A967" s="45" t="n"/>
      <c r="B967" s="48" t="n"/>
      <c r="C967" s="23" t="inlineStr">
        <is>
          <t>増　減</t>
        </is>
      </c>
      <c r="D967" s="24">
        <f>D966-D965</f>
        <v/>
      </c>
      <c r="E967" s="24">
        <f>E966-E965</f>
        <v/>
      </c>
      <c r="F967" s="24">
        <f>F966-F965</f>
        <v/>
      </c>
      <c r="G967" s="24">
        <f>G966-G965</f>
        <v/>
      </c>
      <c r="H967" s="24">
        <f>H966-H965</f>
        <v/>
      </c>
      <c r="I967" s="27">
        <f>I966-I965</f>
        <v/>
      </c>
      <c r="J967" s="30">
        <f>SUM(D967:I967)</f>
        <v/>
      </c>
      <c r="K967" s="29">
        <f>K966-K965</f>
        <v/>
      </c>
      <c r="L967" s="24">
        <f>L966-L965</f>
        <v/>
      </c>
      <c r="M967" s="24">
        <f>M966-M965</f>
        <v/>
      </c>
      <c r="N967" s="24">
        <f>N966-N965</f>
        <v/>
      </c>
      <c r="O967" s="24">
        <f>O966-O965</f>
        <v/>
      </c>
      <c r="P967" s="27">
        <f>P966-P965</f>
        <v/>
      </c>
      <c r="Q967" s="30">
        <f>SUM(K967:P967)</f>
        <v/>
      </c>
      <c r="R967" s="30">
        <f>J967+Q967</f>
        <v/>
      </c>
      <c r="S967" s="17" t="n"/>
    </row>
    <row r="968" ht="18" customHeight="1" s="43" thickBot="1">
      <c r="A968" s="46" t="n"/>
      <c r="B968" s="49" t="n"/>
      <c r="C968" s="25" t="inlineStr">
        <is>
          <t>稼働棟数</t>
        </is>
      </c>
      <c r="D968" s="20" t="n"/>
      <c r="E968" s="20" t="n"/>
      <c r="F968" s="20" t="n"/>
      <c r="G968" s="20" t="n"/>
      <c r="H968" s="20" t="n"/>
      <c r="I968" s="28" t="n"/>
      <c r="J968" s="21">
        <f>I968</f>
        <v/>
      </c>
      <c r="K968" s="22" t="n"/>
      <c r="L968" s="20" t="n"/>
      <c r="M968" s="20" t="n"/>
      <c r="N968" s="20" t="n"/>
      <c r="O968" s="20" t="n"/>
      <c r="P968" s="28" t="n"/>
      <c r="Q968" s="21">
        <f>P968</f>
        <v/>
      </c>
      <c r="R968" s="21">
        <f>Q968</f>
        <v/>
      </c>
      <c r="S968" s="18" t="n"/>
    </row>
    <row r="969" ht="18" customHeight="1" s="43">
      <c r="A969" s="44" t="n">
        <v>39</v>
      </c>
      <c r="B969" s="50" t="inlineStr">
        <is>
          <t>イソップ/ミニトマト</t>
        </is>
      </c>
      <c r="C969" s="31" t="inlineStr">
        <is>
          <t>58期</t>
        </is>
      </c>
      <c r="D969" s="8" t="n"/>
      <c r="E969" s="8" t="n"/>
      <c r="F969" s="8" t="n"/>
      <c r="G969" s="8" t="n"/>
      <c r="H969" s="8" t="n"/>
      <c r="I969" s="9" t="n"/>
      <c r="J969" s="10">
        <f>SUM(D969:I969)</f>
        <v/>
      </c>
      <c r="K969" s="11" t="n"/>
      <c r="L969" s="8" t="n"/>
      <c r="M969" s="8" t="n"/>
      <c r="N969" s="8" t="n"/>
      <c r="O969" s="8" t="n"/>
      <c r="P969" s="9" t="n"/>
      <c r="Q969" s="10">
        <f>SUM(K969:P969)</f>
        <v/>
      </c>
      <c r="R969" s="10">
        <f>J969+Q969</f>
        <v/>
      </c>
      <c r="S969" s="16" t="n"/>
    </row>
    <row r="970" ht="18" customHeight="1" s="43">
      <c r="A970" s="45" t="n"/>
      <c r="B970" s="48" t="n"/>
      <c r="C970" s="7" t="inlineStr">
        <is>
          <t>59期</t>
        </is>
      </c>
      <c r="D970" s="12" t="n"/>
      <c r="E970" s="12" t="n"/>
      <c r="F970" s="12" t="n"/>
      <c r="G970" s="12" t="n"/>
      <c r="H970" s="12" t="n"/>
      <c r="I970" s="13" t="n"/>
      <c r="J970" s="14">
        <f>SUM(D970:I970)</f>
        <v/>
      </c>
      <c r="K970" s="15" t="n"/>
      <c r="L970" s="12" t="n"/>
      <c r="M970" s="12" t="n"/>
      <c r="N970" s="12" t="n"/>
      <c r="O970" s="12" t="n"/>
      <c r="P970" s="13" t="n"/>
      <c r="Q970" s="14">
        <f>SUM(K970:P970)</f>
        <v/>
      </c>
      <c r="R970" s="14">
        <f>J970+Q970</f>
        <v/>
      </c>
      <c r="S970" s="17" t="n"/>
    </row>
    <row r="971" ht="18" customHeight="1" s="43">
      <c r="A971" s="45" t="n"/>
      <c r="B971" s="48" t="n"/>
      <c r="C971" s="23" t="inlineStr">
        <is>
          <t>増　減</t>
        </is>
      </c>
      <c r="D971" s="24">
        <f>D970-D969</f>
        <v/>
      </c>
      <c r="E971" s="24">
        <f>E970-E969</f>
        <v/>
      </c>
      <c r="F971" s="24">
        <f>F970-F969</f>
        <v/>
      </c>
      <c r="G971" s="24">
        <f>G970-G969</f>
        <v/>
      </c>
      <c r="H971" s="24">
        <f>H970-H969</f>
        <v/>
      </c>
      <c r="I971" s="27">
        <f>I970-I969</f>
        <v/>
      </c>
      <c r="J971" s="30">
        <f>SUM(D971:I971)</f>
        <v/>
      </c>
      <c r="K971" s="29">
        <f>K970-K969</f>
        <v/>
      </c>
      <c r="L971" s="24">
        <f>L970-L969</f>
        <v/>
      </c>
      <c r="M971" s="24">
        <f>M970-M969</f>
        <v/>
      </c>
      <c r="N971" s="24">
        <f>N970-N969</f>
        <v/>
      </c>
      <c r="O971" s="24">
        <f>O970-O969</f>
        <v/>
      </c>
      <c r="P971" s="27">
        <f>P970-P969</f>
        <v/>
      </c>
      <c r="Q971" s="30">
        <f>SUM(K971:P971)</f>
        <v/>
      </c>
      <c r="R971" s="30">
        <f>J971+Q971</f>
        <v/>
      </c>
      <c r="S971" s="17" t="n"/>
    </row>
    <row r="972" ht="18" customHeight="1" s="43" thickBot="1">
      <c r="A972" s="46" t="n"/>
      <c r="B972" s="49" t="n"/>
      <c r="C972" s="25" t="inlineStr">
        <is>
          <t>稼働棟数</t>
        </is>
      </c>
      <c r="D972" s="20" t="n"/>
      <c r="E972" s="20" t="n"/>
      <c r="F972" s="20" t="n"/>
      <c r="G972" s="20" t="n"/>
      <c r="H972" s="20" t="n"/>
      <c r="I972" s="28" t="n"/>
      <c r="J972" s="21">
        <f>I972</f>
        <v/>
      </c>
      <c r="K972" s="22" t="n"/>
      <c r="L972" s="20" t="n"/>
      <c r="M972" s="20" t="n"/>
      <c r="N972" s="20" t="n"/>
      <c r="O972" s="20" t="n"/>
      <c r="P972" s="28" t="n"/>
      <c r="Q972" s="21">
        <f>P972</f>
        <v/>
      </c>
      <c r="R972" s="21">
        <f>Q972</f>
        <v/>
      </c>
      <c r="S972" s="18" t="n"/>
    </row>
    <row r="973" ht="18" customHeight="1" s="43">
      <c r="A973" s="44" t="n"/>
      <c r="B973" s="50" t="inlineStr">
        <is>
          <t>イソップ/根物野菜</t>
        </is>
      </c>
      <c r="C973" s="31" t="inlineStr">
        <is>
          <t>58期</t>
        </is>
      </c>
      <c r="D973" s="8" t="n"/>
      <c r="E973" s="8" t="n"/>
      <c r="F973" s="8" t="n"/>
      <c r="G973" s="8" t="n"/>
      <c r="H973" s="8" t="n"/>
      <c r="I973" s="9" t="n"/>
      <c r="J973" s="10">
        <f>SUM(D973:I973)</f>
        <v/>
      </c>
      <c r="K973" s="11" t="n"/>
      <c r="L973" s="8" t="n"/>
      <c r="M973" s="8" t="n"/>
      <c r="N973" s="8" t="n"/>
      <c r="O973" s="8" t="n"/>
      <c r="P973" s="9" t="n"/>
      <c r="Q973" s="10">
        <f>SUM(K973:P973)</f>
        <v/>
      </c>
      <c r="R973" s="10">
        <f>J973+Q973</f>
        <v/>
      </c>
      <c r="S973" s="16" t="n"/>
    </row>
    <row r="974" ht="18" customHeight="1" s="43">
      <c r="A974" s="45" t="n"/>
      <c r="B974" s="48" t="n"/>
      <c r="C974" s="7" t="inlineStr">
        <is>
          <t>59期</t>
        </is>
      </c>
      <c r="D974" s="12" t="n"/>
      <c r="E974" s="12" t="n"/>
      <c r="F974" s="12" t="n"/>
      <c r="G974" s="12" t="n"/>
      <c r="H974" s="12" t="n"/>
      <c r="I974" s="13" t="n"/>
      <c r="J974" s="14">
        <f>SUM(D974:I974)</f>
        <v/>
      </c>
      <c r="K974" s="15" t="n"/>
      <c r="L974" s="12" t="n"/>
      <c r="M974" s="12" t="n"/>
      <c r="N974" s="12" t="n"/>
      <c r="O974" s="12" t="n"/>
      <c r="P974" s="13" t="n"/>
      <c r="Q974" s="14">
        <f>SUM(K974:P974)</f>
        <v/>
      </c>
      <c r="R974" s="14">
        <f>J974+Q974</f>
        <v/>
      </c>
      <c r="S974" s="17" t="n"/>
    </row>
    <row r="975" ht="18" customHeight="1" s="43">
      <c r="A975" s="45" t="n"/>
      <c r="B975" s="48" t="n"/>
      <c r="C975" s="23" t="inlineStr">
        <is>
          <t>増　減</t>
        </is>
      </c>
      <c r="D975" s="24">
        <f>D974-D973</f>
        <v/>
      </c>
      <c r="E975" s="24">
        <f>E974-E973</f>
        <v/>
      </c>
      <c r="F975" s="24">
        <f>F974-F973</f>
        <v/>
      </c>
      <c r="G975" s="24">
        <f>G974-G973</f>
        <v/>
      </c>
      <c r="H975" s="24">
        <f>H974-H973</f>
        <v/>
      </c>
      <c r="I975" s="27">
        <f>I974-I973</f>
        <v/>
      </c>
      <c r="J975" s="30">
        <f>SUM(D975:I975)</f>
        <v/>
      </c>
      <c r="K975" s="29">
        <f>K974-K973</f>
        <v/>
      </c>
      <c r="L975" s="24">
        <f>L974-L973</f>
        <v/>
      </c>
      <c r="M975" s="24">
        <f>M974-M973</f>
        <v/>
      </c>
      <c r="N975" s="24">
        <f>N974-N973</f>
        <v/>
      </c>
      <c r="O975" s="24">
        <f>O974-O973</f>
        <v/>
      </c>
      <c r="P975" s="27">
        <f>P974-P973</f>
        <v/>
      </c>
      <c r="Q975" s="30">
        <f>SUM(K975:P975)</f>
        <v/>
      </c>
      <c r="R975" s="30">
        <f>J975+Q975</f>
        <v/>
      </c>
      <c r="S975" s="17" t="n"/>
    </row>
    <row r="976" ht="18" customHeight="1" s="43" thickBot="1">
      <c r="A976" s="46" t="n"/>
      <c r="B976" s="49" t="n"/>
      <c r="C976" s="25" t="inlineStr">
        <is>
          <t>稼働棟数</t>
        </is>
      </c>
      <c r="D976" s="20" t="n"/>
      <c r="E976" s="20" t="n"/>
      <c r="F976" s="20" t="n"/>
      <c r="G976" s="20" t="n"/>
      <c r="H976" s="20" t="n"/>
      <c r="I976" s="28" t="n"/>
      <c r="J976" s="21">
        <f>I976</f>
        <v/>
      </c>
      <c r="K976" s="22" t="n"/>
      <c r="L976" s="20" t="n"/>
      <c r="M976" s="20" t="n"/>
      <c r="N976" s="20" t="n"/>
      <c r="O976" s="20" t="n"/>
      <c r="P976" s="28" t="n"/>
      <c r="Q976" s="21">
        <f>P976</f>
        <v/>
      </c>
      <c r="R976" s="21">
        <f>Q976</f>
        <v/>
      </c>
      <c r="S976" s="18" t="n"/>
    </row>
    <row r="977" ht="18" customHeight="1" s="43">
      <c r="A977" s="44" t="n"/>
      <c r="B977" s="50" t="n"/>
      <c r="C977" s="31" t="inlineStr">
        <is>
          <t>58期</t>
        </is>
      </c>
      <c r="D977" s="8" t="n"/>
      <c r="E977" s="8" t="n"/>
      <c r="F977" s="8" t="n"/>
      <c r="G977" s="8" t="n"/>
      <c r="H977" s="8" t="n"/>
      <c r="I977" s="9" t="n"/>
      <c r="J977" s="10">
        <f>SUM(D977:I977)</f>
        <v/>
      </c>
      <c r="K977" s="11" t="n"/>
      <c r="L977" s="8" t="n"/>
      <c r="M977" s="8" t="n"/>
      <c r="N977" s="8" t="n"/>
      <c r="O977" s="8" t="n"/>
      <c r="P977" s="9" t="n"/>
      <c r="Q977" s="10">
        <f>SUM(K977:P977)</f>
        <v/>
      </c>
      <c r="R977" s="10">
        <f>J977+Q977</f>
        <v/>
      </c>
      <c r="S977" s="16" t="n"/>
    </row>
    <row r="978" ht="18" customHeight="1" s="43">
      <c r="A978" s="45" t="n"/>
      <c r="B978" s="48" t="n"/>
      <c r="C978" s="7" t="inlineStr">
        <is>
          <t>59期</t>
        </is>
      </c>
      <c r="D978" s="12" t="n"/>
      <c r="E978" s="12" t="n"/>
      <c r="F978" s="12" t="n"/>
      <c r="G978" s="12" t="n"/>
      <c r="H978" s="12" t="n"/>
      <c r="I978" s="13" t="n"/>
      <c r="J978" s="14">
        <f>SUM(D978:I978)</f>
        <v/>
      </c>
      <c r="K978" s="15" t="n"/>
      <c r="L978" s="12" t="n"/>
      <c r="M978" s="12" t="n"/>
      <c r="N978" s="12" t="n"/>
      <c r="O978" s="12" t="n"/>
      <c r="P978" s="13" t="n"/>
      <c r="Q978" s="14">
        <f>SUM(K978:P978)</f>
        <v/>
      </c>
      <c r="R978" s="14">
        <f>J978+Q978</f>
        <v/>
      </c>
      <c r="S978" s="17" t="n"/>
    </row>
    <row r="979" ht="18" customHeight="1" s="43">
      <c r="A979" s="45" t="n"/>
      <c r="B979" s="48" t="n"/>
      <c r="C979" s="23" t="inlineStr">
        <is>
          <t>増　減</t>
        </is>
      </c>
      <c r="D979" s="24">
        <f>D978-D977</f>
        <v/>
      </c>
      <c r="E979" s="24">
        <f>E978-E977</f>
        <v/>
      </c>
      <c r="F979" s="24">
        <f>F978-F977</f>
        <v/>
      </c>
      <c r="G979" s="24">
        <f>G978-G977</f>
        <v/>
      </c>
      <c r="H979" s="24">
        <f>H978-H977</f>
        <v/>
      </c>
      <c r="I979" s="27">
        <f>I978-I977</f>
        <v/>
      </c>
      <c r="J979" s="30">
        <f>SUM(D979:I979)</f>
        <v/>
      </c>
      <c r="K979" s="29">
        <f>K978-K977</f>
        <v/>
      </c>
      <c r="L979" s="24">
        <f>L978-L977</f>
        <v/>
      </c>
      <c r="M979" s="24">
        <f>M978-M977</f>
        <v/>
      </c>
      <c r="N979" s="24">
        <f>N978-N977</f>
        <v/>
      </c>
      <c r="O979" s="24">
        <f>O978-O977</f>
        <v/>
      </c>
      <c r="P979" s="27">
        <f>P978-P977</f>
        <v/>
      </c>
      <c r="Q979" s="30">
        <f>SUM(K979:P979)</f>
        <v/>
      </c>
      <c r="R979" s="30">
        <f>J979+Q979</f>
        <v/>
      </c>
      <c r="S979" s="17" t="n"/>
    </row>
    <row r="980" ht="18" customHeight="1" s="43" thickBot="1">
      <c r="A980" s="46" t="n"/>
      <c r="B980" s="49" t="n"/>
      <c r="C980" s="25" t="inlineStr">
        <is>
          <t>稼働棟数</t>
        </is>
      </c>
      <c r="D980" s="20" t="n"/>
      <c r="E980" s="20" t="n"/>
      <c r="F980" s="20" t="n"/>
      <c r="G980" s="20" t="n"/>
      <c r="H980" s="20" t="n"/>
      <c r="I980" s="28" t="n"/>
      <c r="J980" s="21">
        <f>I980</f>
        <v/>
      </c>
      <c r="K980" s="22" t="n"/>
      <c r="L980" s="20" t="n"/>
      <c r="M980" s="20" t="n"/>
      <c r="N980" s="20" t="n"/>
      <c r="O980" s="20" t="n"/>
      <c r="P980" s="28" t="n"/>
      <c r="Q980" s="21">
        <f>P980</f>
        <v/>
      </c>
      <c r="R980" s="21">
        <f>Q980</f>
        <v/>
      </c>
      <c r="S980" s="18" t="n"/>
    </row>
    <row r="981" ht="18" customHeight="1" s="43">
      <c r="A981" s="44" t="n"/>
      <c r="B981" s="55" t="inlineStr">
        <is>
          <t>企業棟月間合計</t>
        </is>
      </c>
      <c r="C981" s="31" t="inlineStr">
        <is>
          <t>58期</t>
        </is>
      </c>
      <c r="D981" s="41" t="n">
        <v>0</v>
      </c>
      <c r="E981" s="41" t="n">
        <v>0</v>
      </c>
      <c r="F981" s="41" t="n">
        <v>0</v>
      </c>
      <c r="G981" s="41" t="n">
        <v>52.99</v>
      </c>
      <c r="H981" s="41" t="n">
        <v>0</v>
      </c>
      <c r="I981" s="41" t="n">
        <v>0</v>
      </c>
      <c r="J981" s="10" t="n">
        <v>52.99</v>
      </c>
      <c r="K981" s="41" t="n">
        <v>0</v>
      </c>
      <c r="L981" s="41" t="n">
        <v>0</v>
      </c>
      <c r="M981" s="41" t="n">
        <v>0</v>
      </c>
      <c r="N981" s="41" t="n">
        <v>0</v>
      </c>
      <c r="O981" s="41" t="n">
        <v>0</v>
      </c>
      <c r="P981" s="41" t="n">
        <v>0</v>
      </c>
      <c r="Q981" s="10" t="n">
        <v>0</v>
      </c>
      <c r="R981" s="10" t="n">
        <v>52.99</v>
      </c>
      <c r="S981" s="16" t="n"/>
    </row>
    <row r="982" ht="18" customHeight="1" s="43">
      <c r="A982" s="45" t="n"/>
      <c r="B982" s="48" t="n"/>
      <c r="C982" s="7" t="inlineStr">
        <is>
          <t>59期</t>
        </is>
      </c>
      <c r="D982" s="12" t="n"/>
      <c r="E982" s="12" t="n"/>
      <c r="F982" s="12" t="n"/>
      <c r="G982" s="12" t="n"/>
      <c r="H982" s="12" t="n"/>
      <c r="I982" s="12" t="n"/>
      <c r="J982" s="14">
        <f>SUM(D982:I982)</f>
        <v/>
      </c>
      <c r="K982" s="42" t="n"/>
      <c r="L982" s="42" t="n"/>
      <c r="M982" s="42" t="n"/>
      <c r="N982" s="42" t="n"/>
      <c r="O982" s="42" t="n"/>
      <c r="P982" s="42" t="n"/>
      <c r="Q982" s="14">
        <f>SUM(K982:P982)</f>
        <v/>
      </c>
      <c r="R982" s="14">
        <f>J982+Q982</f>
        <v/>
      </c>
      <c r="S982" s="17" t="n"/>
    </row>
    <row r="983" ht="18" customHeight="1" s="43">
      <c r="A983" s="45" t="n"/>
      <c r="B983" s="48" t="n"/>
      <c r="C983" s="23" t="inlineStr">
        <is>
          <t>増　減</t>
        </is>
      </c>
      <c r="D983" s="24">
        <f>D982-D981</f>
        <v/>
      </c>
      <c r="E983" s="24">
        <f>E982-E981</f>
        <v/>
      </c>
      <c r="F983" s="24">
        <f>F982-F981</f>
        <v/>
      </c>
      <c r="G983" s="24">
        <f>G982-G981</f>
        <v/>
      </c>
      <c r="H983" s="24">
        <f>H982-H981</f>
        <v/>
      </c>
      <c r="I983" s="27">
        <f>I982-I981</f>
        <v/>
      </c>
      <c r="J983" s="30">
        <f>SUM(D983:I983)</f>
        <v/>
      </c>
      <c r="K983" s="29">
        <f>K982-K981</f>
        <v/>
      </c>
      <c r="L983" s="24">
        <f>L982-L981</f>
        <v/>
      </c>
      <c r="M983" s="24">
        <f>M982-M981</f>
        <v/>
      </c>
      <c r="N983" s="24">
        <f>N982-N981</f>
        <v/>
      </c>
      <c r="O983" s="24">
        <f>O982-O981</f>
        <v/>
      </c>
      <c r="P983" s="27">
        <f>P982-P981</f>
        <v/>
      </c>
      <c r="Q983" s="30">
        <f>SUM(K983:P983)</f>
        <v/>
      </c>
      <c r="R983" s="30">
        <f>J983+Q983</f>
        <v/>
      </c>
      <c r="S983" s="17" t="n"/>
    </row>
    <row r="984" ht="18" customHeight="1" s="43" thickBot="1">
      <c r="A984" s="46" t="n"/>
      <c r="B984" s="49" t="n"/>
      <c r="C984" s="25" t="inlineStr">
        <is>
          <t>稼働棟数</t>
        </is>
      </c>
      <c r="D984" s="20" t="n"/>
      <c r="E984" s="20" t="n"/>
      <c r="F984" s="20" t="n"/>
      <c r="G984" s="20" t="n"/>
      <c r="H984" s="20" t="n"/>
      <c r="I984" s="28" t="n"/>
      <c r="J984" s="21">
        <f>I984</f>
        <v/>
      </c>
      <c r="K984" s="22" t="n"/>
      <c r="L984" s="20" t="n"/>
      <c r="M984" s="20" t="n"/>
      <c r="N984" s="20" t="n"/>
      <c r="O984" s="20" t="n"/>
      <c r="P984" s="28" t="n"/>
      <c r="Q984" s="21">
        <f>P984</f>
        <v/>
      </c>
      <c r="R984" s="21">
        <f>Q984</f>
        <v/>
      </c>
      <c r="S984" s="18" t="n"/>
    </row>
    <row r="985" ht="18" customHeight="1" s="43">
      <c r="B985" s="50" t="inlineStr">
        <is>
          <t>日建/イチゴ</t>
        </is>
      </c>
      <c r="C985" s="31" t="inlineStr">
        <is>
          <t>58期</t>
        </is>
      </c>
      <c r="D985" s="8" t="n"/>
      <c r="E985" s="8" t="n"/>
      <c r="F985" s="8" t="n"/>
      <c r="G985" s="8" t="n"/>
      <c r="H985" s="8" t="n"/>
      <c r="I985" s="9" t="n"/>
      <c r="J985" s="10">
        <f>SUM(D985:I985)</f>
        <v/>
      </c>
      <c r="K985" s="11" t="n"/>
      <c r="L985" s="8" t="n"/>
      <c r="M985" s="8" t="n"/>
      <c r="N985" s="8" t="n"/>
      <c r="O985" s="8" t="n"/>
      <c r="P985" s="9" t="n"/>
      <c r="Q985" s="10">
        <f>SUM(K985:P985)</f>
        <v/>
      </c>
      <c r="R985" s="10">
        <f>J985+Q985</f>
        <v/>
      </c>
      <c r="S985" s="16" t="n"/>
    </row>
    <row r="986" ht="18" customHeight="1" s="43">
      <c r="B986" s="48" t="n"/>
      <c r="C986" s="7" t="inlineStr">
        <is>
          <t>59期</t>
        </is>
      </c>
      <c r="D986" s="12" t="n"/>
      <c r="E986" s="12" t="n"/>
      <c r="F986" s="12" t="n"/>
      <c r="G986" s="12" t="n"/>
      <c r="H986" s="12" t="n"/>
      <c r="I986" s="13" t="n"/>
      <c r="J986" s="14">
        <f>SUM(D986:I986)</f>
        <v/>
      </c>
      <c r="K986" s="15" t="n"/>
      <c r="L986" s="12" t="n"/>
      <c r="M986" s="12" t="n"/>
      <c r="N986" s="12" t="n"/>
      <c r="O986" s="12" t="n"/>
      <c r="P986" s="13" t="n"/>
      <c r="Q986" s="14">
        <f>SUM(K986:P986)</f>
        <v/>
      </c>
      <c r="R986" s="14">
        <f>J986+Q986</f>
        <v/>
      </c>
      <c r="S986" s="17" t="n"/>
    </row>
    <row r="987" ht="18" customHeight="1" s="43">
      <c r="B987" s="48" t="n"/>
      <c r="C987" s="23" t="inlineStr">
        <is>
          <t>増　減</t>
        </is>
      </c>
      <c r="D987" s="24">
        <f>D986-D985</f>
        <v/>
      </c>
      <c r="E987" s="24">
        <f>E986-E985</f>
        <v/>
      </c>
      <c r="F987" s="24">
        <f>F986-F985</f>
        <v/>
      </c>
      <c r="G987" s="24">
        <f>G986-G985</f>
        <v/>
      </c>
      <c r="H987" s="24">
        <f>H986-H985</f>
        <v/>
      </c>
      <c r="I987" s="27">
        <f>I986-I985</f>
        <v/>
      </c>
      <c r="J987" s="30">
        <f>SUM(D987:I987)</f>
        <v/>
      </c>
      <c r="K987" s="29">
        <f>K986-K985</f>
        <v/>
      </c>
      <c r="L987" s="24">
        <f>L986-L985</f>
        <v/>
      </c>
      <c r="M987" s="24">
        <f>M986-M985</f>
        <v/>
      </c>
      <c r="N987" s="24">
        <f>N986-N985</f>
        <v/>
      </c>
      <c r="O987" s="24">
        <f>O986-O985</f>
        <v/>
      </c>
      <c r="P987" s="27">
        <f>P986-P985</f>
        <v/>
      </c>
      <c r="Q987" s="30">
        <f>SUM(K987:P987)</f>
        <v/>
      </c>
      <c r="R987" s="30">
        <f>J987+Q987</f>
        <v/>
      </c>
      <c r="S987" s="17" t="n"/>
    </row>
    <row r="988" ht="18" customHeight="1" s="43" thickBot="1">
      <c r="B988" s="49" t="n"/>
      <c r="C988" s="25" t="inlineStr">
        <is>
          <t>稼働棟数</t>
        </is>
      </c>
      <c r="D988" s="20" t="n"/>
      <c r="E988" s="20" t="n"/>
      <c r="F988" s="20" t="n"/>
      <c r="G988" s="20" t="n"/>
      <c r="H988" s="20" t="n"/>
      <c r="I988" s="28" t="n"/>
      <c r="J988" s="21">
        <f>I988</f>
        <v/>
      </c>
      <c r="K988" s="22" t="n"/>
      <c r="L988" s="20" t="n"/>
      <c r="M988" s="20" t="n"/>
      <c r="N988" s="20" t="n"/>
      <c r="O988" s="20" t="n"/>
      <c r="P988" s="28" t="n"/>
      <c r="Q988" s="21">
        <f>P988</f>
        <v/>
      </c>
      <c r="R988" s="21">
        <f>Q988</f>
        <v/>
      </c>
      <c r="S988" s="18" t="n"/>
    </row>
    <row r="989" ht="18" customHeight="1" s="43">
      <c r="B989" s="50" t="inlineStr">
        <is>
          <t>日建/トマト</t>
        </is>
      </c>
      <c r="C989" s="31" t="inlineStr">
        <is>
          <t>58期</t>
        </is>
      </c>
      <c r="D989" s="8" t="n"/>
      <c r="E989" s="8" t="n"/>
      <c r="F989" s="8" t="n"/>
      <c r="G989" s="8" t="n"/>
      <c r="H989" s="8" t="n"/>
      <c r="I989" s="9" t="n"/>
      <c r="J989" s="10">
        <f>SUM(D989:I989)</f>
        <v/>
      </c>
      <c r="K989" s="11" t="n"/>
      <c r="L989" s="8" t="n"/>
      <c r="M989" s="8" t="n"/>
      <c r="N989" s="8" t="n"/>
      <c r="O989" s="8" t="n"/>
      <c r="P989" s="9" t="n"/>
      <c r="Q989" s="10">
        <f>SUM(K989:P989)</f>
        <v/>
      </c>
      <c r="R989" s="10">
        <f>J989+Q989</f>
        <v/>
      </c>
      <c r="S989" s="16" t="n"/>
    </row>
    <row r="990" ht="18" customHeight="1" s="43">
      <c r="B990" s="48" t="n"/>
      <c r="C990" s="7" t="inlineStr">
        <is>
          <t>59期</t>
        </is>
      </c>
      <c r="D990" s="12" t="n"/>
      <c r="E990" s="12" t="n"/>
      <c r="F990" s="12" t="n"/>
      <c r="G990" s="12" t="n"/>
      <c r="H990" s="12" t="n"/>
      <c r="I990" s="13" t="n"/>
      <c r="J990" s="14">
        <f>SUM(D990:I990)</f>
        <v/>
      </c>
      <c r="K990" s="15" t="n"/>
      <c r="L990" s="12" t="n"/>
      <c r="M990" s="12" t="n"/>
      <c r="N990" s="12" t="n"/>
      <c r="O990" s="12" t="n"/>
      <c r="P990" s="13" t="n"/>
      <c r="Q990" s="14">
        <f>SUM(K990:P990)</f>
        <v/>
      </c>
      <c r="R990" s="14">
        <f>J990+Q990</f>
        <v/>
      </c>
      <c r="S990" s="17" t="n"/>
    </row>
    <row r="991" ht="18" customHeight="1" s="43">
      <c r="B991" s="48" t="n"/>
      <c r="C991" s="23" t="inlineStr">
        <is>
          <t>増　減</t>
        </is>
      </c>
      <c r="D991" s="24">
        <f>D990-D989</f>
        <v/>
      </c>
      <c r="E991" s="24">
        <f>E990-E989</f>
        <v/>
      </c>
      <c r="F991" s="24">
        <f>F990-F989</f>
        <v/>
      </c>
      <c r="G991" s="24">
        <f>G990-G989</f>
        <v/>
      </c>
      <c r="H991" s="24">
        <f>H990-H989</f>
        <v/>
      </c>
      <c r="I991" s="27">
        <f>I990-I989</f>
        <v/>
      </c>
      <c r="J991" s="30">
        <f>SUM(D991:I991)</f>
        <v/>
      </c>
      <c r="K991" s="29">
        <f>K990-K989</f>
        <v/>
      </c>
      <c r="L991" s="24">
        <f>L990-L989</f>
        <v/>
      </c>
      <c r="M991" s="24">
        <f>M990-M989</f>
        <v/>
      </c>
      <c r="N991" s="24">
        <f>N990-N989</f>
        <v/>
      </c>
      <c r="O991" s="24">
        <f>O990-O989</f>
        <v/>
      </c>
      <c r="P991" s="27">
        <f>P990-P989</f>
        <v/>
      </c>
      <c r="Q991" s="30">
        <f>SUM(K991:P991)</f>
        <v/>
      </c>
      <c r="R991" s="30">
        <f>J991+Q991</f>
        <v/>
      </c>
      <c r="S991" s="17" t="n"/>
    </row>
    <row r="992" ht="18" customHeight="1" s="43" thickBot="1">
      <c r="B992" s="49" t="n"/>
      <c r="C992" s="25" t="inlineStr">
        <is>
          <t>稼働棟数</t>
        </is>
      </c>
      <c r="D992" s="20" t="n"/>
      <c r="E992" s="20" t="n"/>
      <c r="F992" s="20" t="n"/>
      <c r="G992" s="20" t="n"/>
      <c r="H992" s="20" t="n"/>
      <c r="I992" s="28" t="n"/>
      <c r="J992" s="21">
        <f>I992</f>
        <v/>
      </c>
      <c r="K992" s="22" t="n"/>
      <c r="L992" s="20" t="n"/>
      <c r="M992" s="20" t="n"/>
      <c r="N992" s="20" t="n"/>
      <c r="O992" s="20" t="n"/>
      <c r="P992" s="28" t="n"/>
      <c r="Q992" s="21">
        <f>P992</f>
        <v/>
      </c>
      <c r="R992" s="21">
        <f>Q992</f>
        <v/>
      </c>
      <c r="S992" s="18" t="n"/>
    </row>
    <row r="993" ht="18" customHeight="1" s="43">
      <c r="A993" s="0" t="n"/>
      <c r="B993" s="50" t="inlineStr">
        <is>
          <t>日建/ナス</t>
        </is>
      </c>
      <c r="C993" s="31" t="inlineStr">
        <is>
          <t>58期</t>
        </is>
      </c>
      <c r="D993" s="8" t="n"/>
      <c r="E993" s="8" t="n"/>
      <c r="F993" s="8" t="n"/>
      <c r="G993" s="8" t="n"/>
      <c r="H993" s="8" t="n"/>
      <c r="I993" s="9" t="n"/>
      <c r="J993" s="10">
        <f>SUM(D993:I993)</f>
        <v/>
      </c>
      <c r="K993" s="11" t="n"/>
      <c r="L993" s="8" t="n"/>
      <c r="M993" s="8" t="n"/>
      <c r="N993" s="8" t="n"/>
      <c r="O993" s="8" t="n"/>
      <c r="P993" s="9" t="n"/>
      <c r="Q993" s="10">
        <f>SUM(K993:P993)</f>
        <v/>
      </c>
      <c r="R993" s="10">
        <f>J993+Q993</f>
        <v/>
      </c>
      <c r="S993" s="16" t="n"/>
    </row>
    <row r="994" ht="18" customHeight="1" s="43">
      <c r="A994" s="0" t="n"/>
      <c r="B994" s="48" t="n"/>
      <c r="C994" s="7" t="inlineStr">
        <is>
          <t>59期</t>
        </is>
      </c>
      <c r="D994" s="12" t="n"/>
      <c r="E994" s="12" t="n"/>
      <c r="F994" s="12" t="n"/>
      <c r="G994" s="12" t="n"/>
      <c r="H994" s="12" t="n"/>
      <c r="I994" s="13" t="n"/>
      <c r="J994" s="14">
        <f>SUM(D994:I994)</f>
        <v/>
      </c>
      <c r="K994" s="15" t="n"/>
      <c r="L994" s="12" t="n"/>
      <c r="M994" s="12" t="n"/>
      <c r="N994" s="12" t="n"/>
      <c r="O994" s="12" t="n"/>
      <c r="P994" s="13" t="n"/>
      <c r="Q994" s="14">
        <f>SUM(K994:P994)</f>
        <v/>
      </c>
      <c r="R994" s="14">
        <f>J994+Q994</f>
        <v/>
      </c>
      <c r="S994" s="17" t="n"/>
    </row>
    <row r="995" ht="18" customHeight="1" s="43">
      <c r="A995" s="0" t="n"/>
      <c r="B995" s="48" t="n"/>
      <c r="C995" s="23" t="inlineStr">
        <is>
          <t>増　減</t>
        </is>
      </c>
      <c r="D995" s="24">
        <f>D994-D993</f>
        <v/>
      </c>
      <c r="E995" s="24">
        <f>E994-E993</f>
        <v/>
      </c>
      <c r="F995" s="24">
        <f>F994-F993</f>
        <v/>
      </c>
      <c r="G995" s="24">
        <f>G994-G993</f>
        <v/>
      </c>
      <c r="H995" s="24">
        <f>H994-H993</f>
        <v/>
      </c>
      <c r="I995" s="27">
        <f>I994-I993</f>
        <v/>
      </c>
      <c r="J995" s="30">
        <f>SUM(D995:I995)</f>
        <v/>
      </c>
      <c r="K995" s="29">
        <f>K994-K993</f>
        <v/>
      </c>
      <c r="L995" s="24">
        <f>L994-L993</f>
        <v/>
      </c>
      <c r="M995" s="24">
        <f>M994-M993</f>
        <v/>
      </c>
      <c r="N995" s="24">
        <f>N994-N993</f>
        <v/>
      </c>
      <c r="O995" s="24">
        <f>O994-O993</f>
        <v/>
      </c>
      <c r="P995" s="27">
        <f>P994-P993</f>
        <v/>
      </c>
      <c r="Q995" s="30">
        <f>SUM(K995:P995)</f>
        <v/>
      </c>
      <c r="R995" s="30">
        <f>J995+Q995</f>
        <v/>
      </c>
      <c r="S995" s="17" t="n"/>
    </row>
    <row r="996" ht="18" customHeight="1" s="43" thickBot="1">
      <c r="A996" s="0" t="n"/>
      <c r="B996" s="49" t="n"/>
      <c r="C996" s="25" t="inlineStr">
        <is>
          <t>稼働棟数</t>
        </is>
      </c>
      <c r="D996" s="20" t="n"/>
      <c r="E996" s="20" t="n"/>
      <c r="F996" s="20" t="n"/>
      <c r="G996" s="20" t="n"/>
      <c r="H996" s="20" t="n"/>
      <c r="I996" s="28" t="n"/>
      <c r="J996" s="21">
        <f>I996</f>
        <v/>
      </c>
      <c r="K996" s="22" t="n"/>
      <c r="L996" s="20" t="n"/>
      <c r="M996" s="20" t="n"/>
      <c r="N996" s="20" t="n"/>
      <c r="O996" s="20" t="n"/>
      <c r="P996" s="28" t="n"/>
      <c r="Q996" s="21">
        <f>P996</f>
        <v/>
      </c>
      <c r="R996" s="21">
        <f>Q996</f>
        <v/>
      </c>
      <c r="S996" s="18" t="n"/>
    </row>
    <row r="997" ht="18" customHeight="1" s="43">
      <c r="A997" s="0" t="n"/>
      <c r="B997" s="50" t="inlineStr">
        <is>
          <t>日建/ハーブ</t>
        </is>
      </c>
      <c r="C997" s="31" t="inlineStr">
        <is>
          <t>58期</t>
        </is>
      </c>
      <c r="D997" s="8" t="n"/>
      <c r="E997" s="8" t="n"/>
      <c r="F997" s="8" t="n"/>
      <c r="G997" s="8" t="n"/>
      <c r="H997" s="8" t="n"/>
      <c r="I997" s="9" t="n"/>
      <c r="J997" s="10">
        <f>SUM(D997:I997)</f>
        <v/>
      </c>
      <c r="K997" s="11" t="n"/>
      <c r="L997" s="8" t="n"/>
      <c r="M997" s="8" t="n"/>
      <c r="N997" s="8" t="n"/>
      <c r="O997" s="8" t="n"/>
      <c r="P997" s="9" t="n"/>
      <c r="Q997" s="10">
        <f>SUM(K997:P997)</f>
        <v/>
      </c>
      <c r="R997" s="10">
        <f>J997+Q997</f>
        <v/>
      </c>
      <c r="S997" s="16" t="n"/>
    </row>
    <row r="998" ht="18" customHeight="1" s="43">
      <c r="A998" s="0" t="n"/>
      <c r="B998" s="48" t="n"/>
      <c r="C998" s="7" t="inlineStr">
        <is>
          <t>59期</t>
        </is>
      </c>
      <c r="D998" s="12" t="n"/>
      <c r="E998" s="12" t="n"/>
      <c r="F998" s="12" t="n"/>
      <c r="G998" s="12" t="n"/>
      <c r="H998" s="12" t="n"/>
      <c r="I998" s="13" t="n"/>
      <c r="J998" s="14">
        <f>SUM(D998:I998)</f>
        <v/>
      </c>
      <c r="K998" s="15" t="n"/>
      <c r="L998" s="12" t="n"/>
      <c r="M998" s="12" t="n"/>
      <c r="N998" s="12" t="n"/>
      <c r="O998" s="12" t="n"/>
      <c r="P998" s="13" t="n"/>
      <c r="Q998" s="14">
        <f>SUM(K998:P998)</f>
        <v/>
      </c>
      <c r="R998" s="14">
        <f>J998+Q998</f>
        <v/>
      </c>
      <c r="S998" s="17" t="n"/>
    </row>
    <row r="999" ht="18" customHeight="1" s="43">
      <c r="A999" s="0" t="n"/>
      <c r="B999" s="48" t="n"/>
      <c r="C999" s="23" t="inlineStr">
        <is>
          <t>増　減</t>
        </is>
      </c>
      <c r="D999" s="24">
        <f>D998-D997</f>
        <v/>
      </c>
      <c r="E999" s="24">
        <f>E998-E997</f>
        <v/>
      </c>
      <c r="F999" s="24">
        <f>F998-F997</f>
        <v/>
      </c>
      <c r="G999" s="24">
        <f>G998-G997</f>
        <v/>
      </c>
      <c r="H999" s="24">
        <f>H998-H997</f>
        <v/>
      </c>
      <c r="I999" s="27">
        <f>I998-I997</f>
        <v/>
      </c>
      <c r="J999" s="30">
        <f>SUM(D999:I999)</f>
        <v/>
      </c>
      <c r="K999" s="29">
        <f>K998-K997</f>
        <v/>
      </c>
      <c r="L999" s="24">
        <f>L998-L997</f>
        <v/>
      </c>
      <c r="M999" s="24">
        <f>M998-M997</f>
        <v/>
      </c>
      <c r="N999" s="24">
        <f>N998-N997</f>
        <v/>
      </c>
      <c r="O999" s="24">
        <f>O998-O997</f>
        <v/>
      </c>
      <c r="P999" s="27">
        <f>P998-P997</f>
        <v/>
      </c>
      <c r="Q999" s="30">
        <f>SUM(K999:P999)</f>
        <v/>
      </c>
      <c r="R999" s="30">
        <f>J999+Q999</f>
        <v/>
      </c>
      <c r="S999" s="17" t="n"/>
    </row>
    <row r="1000" ht="18" customHeight="1" s="43" thickBot="1">
      <c r="A1000" s="0" t="n"/>
      <c r="B1000" s="49" t="n"/>
      <c r="C1000" s="25" t="inlineStr">
        <is>
          <t>稼働棟数</t>
        </is>
      </c>
      <c r="D1000" s="20" t="n"/>
      <c r="E1000" s="20" t="n"/>
      <c r="F1000" s="20" t="n"/>
      <c r="G1000" s="20" t="n"/>
      <c r="H1000" s="20" t="n"/>
      <c r="I1000" s="28" t="n"/>
      <c r="J1000" s="21">
        <f>I1000</f>
        <v/>
      </c>
      <c r="K1000" s="22" t="n"/>
      <c r="L1000" s="20" t="n"/>
      <c r="M1000" s="20" t="n"/>
      <c r="N1000" s="20" t="n"/>
      <c r="O1000" s="20" t="n"/>
      <c r="P1000" s="28" t="n"/>
      <c r="Q1000" s="21">
        <f>P1000</f>
        <v/>
      </c>
      <c r="R1000" s="21">
        <f>Q1000</f>
        <v/>
      </c>
      <c r="S1000" s="18" t="n"/>
    </row>
    <row r="1001" ht="18" customHeight="1" s="43">
      <c r="A1001" s="0" t="n"/>
      <c r="B1001" s="50" t="inlineStr">
        <is>
          <t>日建/パプリカ</t>
        </is>
      </c>
      <c r="C1001" s="31" t="inlineStr">
        <is>
          <t>58期</t>
        </is>
      </c>
      <c r="D1001" s="8" t="n"/>
      <c r="E1001" s="8" t="n"/>
      <c r="F1001" s="8" t="n"/>
      <c r="G1001" s="8" t="n"/>
      <c r="H1001" s="8" t="n"/>
      <c r="I1001" s="9" t="n"/>
      <c r="J1001" s="10">
        <f>SUM(D1001:I1001)</f>
        <v/>
      </c>
      <c r="K1001" s="11" t="n"/>
      <c r="L1001" s="8" t="n"/>
      <c r="M1001" s="8" t="n"/>
      <c r="N1001" s="8" t="n"/>
      <c r="O1001" s="8" t="n"/>
      <c r="P1001" s="9" t="n"/>
      <c r="Q1001" s="10">
        <f>SUM(K1001:P1001)</f>
        <v/>
      </c>
      <c r="R1001" s="10">
        <f>J1001+Q1001</f>
        <v/>
      </c>
      <c r="S1001" s="16" t="n"/>
    </row>
    <row r="1002" ht="18" customHeight="1" s="43">
      <c r="A1002" s="0" t="n"/>
      <c r="B1002" s="48" t="n"/>
      <c r="C1002" s="7" t="inlineStr">
        <is>
          <t>59期</t>
        </is>
      </c>
      <c r="D1002" s="12" t="n"/>
      <c r="E1002" s="12" t="n"/>
      <c r="F1002" s="12" t="n"/>
      <c r="G1002" s="12" t="n"/>
      <c r="H1002" s="12" t="n"/>
      <c r="I1002" s="13" t="n"/>
      <c r="J1002" s="14">
        <f>SUM(D1002:I1002)</f>
        <v/>
      </c>
      <c r="K1002" s="15" t="n"/>
      <c r="L1002" s="12" t="n"/>
      <c r="M1002" s="12" t="n"/>
      <c r="N1002" s="12" t="n"/>
      <c r="O1002" s="12" t="n"/>
      <c r="P1002" s="13" t="n"/>
      <c r="Q1002" s="14">
        <f>SUM(K1002:P1002)</f>
        <v/>
      </c>
      <c r="R1002" s="14">
        <f>J1002+Q1002</f>
        <v/>
      </c>
      <c r="S1002" s="17" t="n"/>
    </row>
    <row r="1003" ht="18" customHeight="1" s="43">
      <c r="A1003" s="0" t="n"/>
      <c r="B1003" s="48" t="n"/>
      <c r="C1003" s="23" t="inlineStr">
        <is>
          <t>増　減</t>
        </is>
      </c>
      <c r="D1003" s="24">
        <f>D1002-D1001</f>
        <v/>
      </c>
      <c r="E1003" s="24">
        <f>E1002-E1001</f>
        <v/>
      </c>
      <c r="F1003" s="24">
        <f>F1002-F1001</f>
        <v/>
      </c>
      <c r="G1003" s="24">
        <f>G1002-G1001</f>
        <v/>
      </c>
      <c r="H1003" s="24">
        <f>H1002-H1001</f>
        <v/>
      </c>
      <c r="I1003" s="27">
        <f>I1002-I1001</f>
        <v/>
      </c>
      <c r="J1003" s="30">
        <f>SUM(D1003:I1003)</f>
        <v/>
      </c>
      <c r="K1003" s="29">
        <f>K1002-K1001</f>
        <v/>
      </c>
      <c r="L1003" s="24">
        <f>L1002-L1001</f>
        <v/>
      </c>
      <c r="M1003" s="24">
        <f>M1002-M1001</f>
        <v/>
      </c>
      <c r="N1003" s="24">
        <f>N1002-N1001</f>
        <v/>
      </c>
      <c r="O1003" s="24">
        <f>O1002-O1001</f>
        <v/>
      </c>
      <c r="P1003" s="27">
        <f>P1002-P1001</f>
        <v/>
      </c>
      <c r="Q1003" s="30">
        <f>SUM(K1003:P1003)</f>
        <v/>
      </c>
      <c r="R1003" s="30">
        <f>J1003+Q1003</f>
        <v/>
      </c>
      <c r="S1003" s="17" t="n"/>
    </row>
    <row r="1004" ht="18" customHeight="1" s="43" thickBot="1">
      <c r="A1004" s="0" t="n"/>
      <c r="B1004" s="49" t="n"/>
      <c r="C1004" s="25" t="inlineStr">
        <is>
          <t>稼働棟数</t>
        </is>
      </c>
      <c r="D1004" s="20" t="n"/>
      <c r="E1004" s="20" t="n"/>
      <c r="F1004" s="20" t="n"/>
      <c r="G1004" s="20" t="n"/>
      <c r="H1004" s="20" t="n"/>
      <c r="I1004" s="28" t="n"/>
      <c r="J1004" s="21">
        <f>I1004</f>
        <v/>
      </c>
      <c r="K1004" s="22" t="n"/>
      <c r="L1004" s="20" t="n"/>
      <c r="M1004" s="20" t="n"/>
      <c r="N1004" s="20" t="n"/>
      <c r="O1004" s="20" t="n"/>
      <c r="P1004" s="28" t="n"/>
      <c r="Q1004" s="21">
        <f>P1004</f>
        <v/>
      </c>
      <c r="R1004" s="21">
        <f>Q1004</f>
        <v/>
      </c>
      <c r="S1004" s="18" t="n"/>
    </row>
    <row r="1005" ht="18" customHeight="1" s="43">
      <c r="A1005" s="0" t="n"/>
      <c r="B1005" s="50" t="inlineStr">
        <is>
          <t>日建/ピーマン</t>
        </is>
      </c>
      <c r="C1005" s="31" t="inlineStr">
        <is>
          <t>58期</t>
        </is>
      </c>
      <c r="D1005" s="8" t="n"/>
      <c r="E1005" s="8" t="n"/>
      <c r="F1005" s="8" t="n"/>
      <c r="G1005" s="8" t="n"/>
      <c r="H1005" s="8" t="n"/>
      <c r="I1005" s="9" t="n"/>
      <c r="J1005" s="10">
        <f>SUM(D1005:I1005)</f>
        <v/>
      </c>
      <c r="K1005" s="11" t="n"/>
      <c r="L1005" s="8" t="n"/>
      <c r="M1005" s="8" t="n"/>
      <c r="N1005" s="8" t="n"/>
      <c r="O1005" s="8" t="n"/>
      <c r="P1005" s="9" t="n"/>
      <c r="Q1005" s="10">
        <f>SUM(K1005:P1005)</f>
        <v/>
      </c>
      <c r="R1005" s="10">
        <f>J1005+Q1005</f>
        <v/>
      </c>
      <c r="S1005" s="16" t="n"/>
    </row>
    <row r="1006" ht="18" customHeight="1" s="43">
      <c r="A1006" s="0" t="n"/>
      <c r="B1006" s="48" t="n"/>
      <c r="C1006" s="7" t="inlineStr">
        <is>
          <t>59期</t>
        </is>
      </c>
      <c r="D1006" s="12" t="n"/>
      <c r="E1006" s="12" t="n"/>
      <c r="F1006" s="12" t="n"/>
      <c r="G1006" s="12" t="n"/>
      <c r="H1006" s="12" t="n"/>
      <c r="I1006" s="13" t="n"/>
      <c r="J1006" s="14">
        <f>SUM(D1006:I1006)</f>
        <v/>
      </c>
      <c r="K1006" s="15" t="n"/>
      <c r="L1006" s="12" t="n"/>
      <c r="M1006" s="12" t="n"/>
      <c r="N1006" s="12" t="n"/>
      <c r="O1006" s="12" t="n"/>
      <c r="P1006" s="13" t="n"/>
      <c r="Q1006" s="14">
        <f>SUM(K1006:P1006)</f>
        <v/>
      </c>
      <c r="R1006" s="14">
        <f>J1006+Q1006</f>
        <v/>
      </c>
      <c r="S1006" s="17" t="n"/>
    </row>
    <row r="1007" ht="18" customHeight="1" s="43">
      <c r="A1007" s="0" t="n"/>
      <c r="B1007" s="48" t="n"/>
      <c r="C1007" s="23" t="inlineStr">
        <is>
          <t>増　減</t>
        </is>
      </c>
      <c r="D1007" s="24">
        <f>D1006-D1005</f>
        <v/>
      </c>
      <c r="E1007" s="24">
        <f>E1006-E1005</f>
        <v/>
      </c>
      <c r="F1007" s="24">
        <f>F1006-F1005</f>
        <v/>
      </c>
      <c r="G1007" s="24">
        <f>G1006-G1005</f>
        <v/>
      </c>
      <c r="H1007" s="24">
        <f>H1006-H1005</f>
        <v/>
      </c>
      <c r="I1007" s="27">
        <f>I1006-I1005</f>
        <v/>
      </c>
      <c r="J1007" s="30">
        <f>SUM(D1007:I1007)</f>
        <v/>
      </c>
      <c r="K1007" s="29">
        <f>K1006-K1005</f>
        <v/>
      </c>
      <c r="L1007" s="24">
        <f>L1006-L1005</f>
        <v/>
      </c>
      <c r="M1007" s="24">
        <f>M1006-M1005</f>
        <v/>
      </c>
      <c r="N1007" s="24">
        <f>N1006-N1005</f>
        <v/>
      </c>
      <c r="O1007" s="24">
        <f>O1006-O1005</f>
        <v/>
      </c>
      <c r="P1007" s="27">
        <f>P1006-P1005</f>
        <v/>
      </c>
      <c r="Q1007" s="30">
        <f>SUM(K1007:P1007)</f>
        <v/>
      </c>
      <c r="R1007" s="30">
        <f>J1007+Q1007</f>
        <v/>
      </c>
      <c r="S1007" s="17" t="n"/>
    </row>
    <row r="1008" ht="18" customHeight="1" s="43" thickBot="1">
      <c r="A1008" s="0" t="n"/>
      <c r="B1008" s="49" t="n"/>
      <c r="C1008" s="25" t="inlineStr">
        <is>
          <t>稼働棟数</t>
        </is>
      </c>
      <c r="D1008" s="20" t="n"/>
      <c r="E1008" s="20" t="n"/>
      <c r="F1008" s="20" t="n"/>
      <c r="G1008" s="20" t="n"/>
      <c r="H1008" s="20" t="n"/>
      <c r="I1008" s="28" t="n"/>
      <c r="J1008" s="21">
        <f>I1008</f>
        <v/>
      </c>
      <c r="K1008" s="22" t="n"/>
      <c r="L1008" s="20" t="n"/>
      <c r="M1008" s="20" t="n"/>
      <c r="N1008" s="20" t="n"/>
      <c r="O1008" s="20" t="n"/>
      <c r="P1008" s="28" t="n"/>
      <c r="Q1008" s="21">
        <f>P1008</f>
        <v/>
      </c>
      <c r="R1008" s="21">
        <f>Q1008</f>
        <v/>
      </c>
      <c r="S1008" s="18" t="n"/>
    </row>
    <row r="1009" ht="18" customHeight="1" s="43">
      <c r="A1009" s="0" t="n"/>
      <c r="B1009" s="50" t="inlineStr">
        <is>
          <t>日建/マイクロ</t>
        </is>
      </c>
      <c r="C1009" s="31" t="inlineStr">
        <is>
          <t>58期</t>
        </is>
      </c>
      <c r="D1009" s="8" t="n"/>
      <c r="E1009" s="8" t="n"/>
      <c r="F1009" s="8" t="n"/>
      <c r="G1009" s="8" t="n"/>
      <c r="H1009" s="8" t="n"/>
      <c r="I1009" s="9" t="n"/>
      <c r="J1009" s="10">
        <f>SUM(D1009:I1009)</f>
        <v/>
      </c>
      <c r="K1009" s="11" t="n"/>
      <c r="L1009" s="8" t="n"/>
      <c r="M1009" s="8" t="n"/>
      <c r="N1009" s="8" t="n"/>
      <c r="O1009" s="8" t="n"/>
      <c r="P1009" s="9" t="n"/>
      <c r="Q1009" s="10">
        <f>SUM(K1009:P1009)</f>
        <v/>
      </c>
      <c r="R1009" s="10">
        <f>J1009+Q1009</f>
        <v/>
      </c>
      <c r="S1009" s="16" t="n"/>
    </row>
    <row r="1010" ht="18" customHeight="1" s="43">
      <c r="A1010" s="0" t="n"/>
      <c r="B1010" s="48" t="n"/>
      <c r="C1010" s="7" t="inlineStr">
        <is>
          <t>59期</t>
        </is>
      </c>
      <c r="D1010" s="12" t="n"/>
      <c r="E1010" s="12" t="n"/>
      <c r="F1010" s="12" t="n"/>
      <c r="G1010" s="12" t="n"/>
      <c r="H1010" s="12" t="n"/>
      <c r="I1010" s="13" t="n"/>
      <c r="J1010" s="14">
        <f>SUM(D1010:I1010)</f>
        <v/>
      </c>
      <c r="K1010" s="15" t="n"/>
      <c r="L1010" s="12" t="n"/>
      <c r="M1010" s="12" t="n"/>
      <c r="N1010" s="12" t="n"/>
      <c r="O1010" s="12" t="n"/>
      <c r="P1010" s="13" t="n"/>
      <c r="Q1010" s="14">
        <f>SUM(K1010:P1010)</f>
        <v/>
      </c>
      <c r="R1010" s="14">
        <f>J1010+Q1010</f>
        <v/>
      </c>
      <c r="S1010" s="17" t="n"/>
    </row>
    <row r="1011" ht="18" customHeight="1" s="43">
      <c r="A1011" s="0" t="n"/>
      <c r="B1011" s="48" t="n"/>
      <c r="C1011" s="23" t="inlineStr">
        <is>
          <t>増　減</t>
        </is>
      </c>
      <c r="D1011" s="24">
        <f>D1010-D1009</f>
        <v/>
      </c>
      <c r="E1011" s="24">
        <f>E1010-E1009</f>
        <v/>
      </c>
      <c r="F1011" s="24">
        <f>F1010-F1009</f>
        <v/>
      </c>
      <c r="G1011" s="24">
        <f>G1010-G1009</f>
        <v/>
      </c>
      <c r="H1011" s="24">
        <f>H1010-H1009</f>
        <v/>
      </c>
      <c r="I1011" s="27">
        <f>I1010-I1009</f>
        <v/>
      </c>
      <c r="J1011" s="30">
        <f>SUM(D1011:I1011)</f>
        <v/>
      </c>
      <c r="K1011" s="29">
        <f>K1010-K1009</f>
        <v/>
      </c>
      <c r="L1011" s="24">
        <f>L1010-L1009</f>
        <v/>
      </c>
      <c r="M1011" s="24">
        <f>M1010-M1009</f>
        <v/>
      </c>
      <c r="N1011" s="24">
        <f>N1010-N1009</f>
        <v/>
      </c>
      <c r="O1011" s="24">
        <f>O1010-O1009</f>
        <v/>
      </c>
      <c r="P1011" s="27">
        <f>P1010-P1009</f>
        <v/>
      </c>
      <c r="Q1011" s="30">
        <f>SUM(K1011:P1011)</f>
        <v/>
      </c>
      <c r="R1011" s="30">
        <f>J1011+Q1011</f>
        <v/>
      </c>
      <c r="S1011" s="17" t="n"/>
    </row>
    <row r="1012" ht="18" customHeight="1" s="43" thickBot="1">
      <c r="A1012" s="0" t="n"/>
      <c r="B1012" s="49" t="n"/>
      <c r="C1012" s="25" t="inlineStr">
        <is>
          <t>稼働棟数</t>
        </is>
      </c>
      <c r="D1012" s="20" t="n"/>
      <c r="E1012" s="20" t="n"/>
      <c r="F1012" s="20" t="n"/>
      <c r="G1012" s="20" t="n"/>
      <c r="H1012" s="20" t="n"/>
      <c r="I1012" s="28" t="n"/>
      <c r="J1012" s="21">
        <f>I1012</f>
        <v/>
      </c>
      <c r="K1012" s="22" t="n"/>
      <c r="L1012" s="20" t="n"/>
      <c r="M1012" s="20" t="n"/>
      <c r="N1012" s="20" t="n"/>
      <c r="O1012" s="20" t="n"/>
      <c r="P1012" s="28" t="n"/>
      <c r="Q1012" s="21">
        <f>P1012</f>
        <v/>
      </c>
      <c r="R1012" s="21">
        <f>Q1012</f>
        <v/>
      </c>
      <c r="S1012" s="18" t="n"/>
    </row>
    <row r="1013" ht="18" customHeight="1" s="43">
      <c r="A1013" s="0" t="n"/>
      <c r="B1013" s="50" t="inlineStr">
        <is>
          <t>日建/ミニトマト</t>
        </is>
      </c>
      <c r="C1013" s="31" t="inlineStr">
        <is>
          <t>58期</t>
        </is>
      </c>
      <c r="D1013" s="8" t="n"/>
      <c r="E1013" s="8" t="n"/>
      <c r="F1013" s="8" t="n"/>
      <c r="G1013" s="8" t="n">
        <v>9.720000000000001</v>
      </c>
      <c r="H1013" s="8" t="n"/>
      <c r="I1013" s="9" t="n"/>
      <c r="J1013" s="10" t="n">
        <v>9.720000000000001</v>
      </c>
      <c r="K1013" s="11" t="n"/>
      <c r="L1013" s="8" t="n"/>
      <c r="M1013" s="8" t="n"/>
      <c r="N1013" s="8" t="n"/>
      <c r="O1013" s="8" t="n"/>
      <c r="P1013" s="9" t="n"/>
      <c r="Q1013" s="10" t="n">
        <v>0</v>
      </c>
      <c r="R1013" s="10" t="n">
        <v>9.720000000000001</v>
      </c>
      <c r="S1013" s="16" t="n"/>
    </row>
    <row r="1014" ht="18" customHeight="1" s="43">
      <c r="A1014" s="0" t="n"/>
      <c r="B1014" s="48" t="n"/>
      <c r="C1014" s="7" t="inlineStr">
        <is>
          <t>59期</t>
        </is>
      </c>
      <c r="D1014" s="12" t="n"/>
      <c r="E1014" s="12" t="n"/>
      <c r="F1014" s="12" t="n"/>
      <c r="G1014" s="12" t="n"/>
      <c r="H1014" s="12" t="n"/>
      <c r="I1014" s="13" t="n"/>
      <c r="J1014" s="14">
        <f>SUM(D1014:I1014)</f>
        <v/>
      </c>
      <c r="K1014" s="15" t="n"/>
      <c r="L1014" s="12" t="n"/>
      <c r="M1014" s="12" t="n"/>
      <c r="N1014" s="12" t="n"/>
      <c r="O1014" s="12" t="n"/>
      <c r="P1014" s="13" t="n"/>
      <c r="Q1014" s="14">
        <f>SUM(K1014:P1014)</f>
        <v/>
      </c>
      <c r="R1014" s="14">
        <f>J1014+Q1014</f>
        <v/>
      </c>
      <c r="S1014" s="17" t="n"/>
    </row>
    <row r="1015" ht="18" customHeight="1" s="43">
      <c r="A1015" s="0" t="n"/>
      <c r="B1015" s="48" t="n"/>
      <c r="C1015" s="23" t="inlineStr">
        <is>
          <t>増　減</t>
        </is>
      </c>
      <c r="D1015" s="24">
        <f>D1014-D1013</f>
        <v/>
      </c>
      <c r="E1015" s="24">
        <f>E1014-E1013</f>
        <v/>
      </c>
      <c r="F1015" s="24">
        <f>F1014-F1013</f>
        <v/>
      </c>
      <c r="G1015" s="24">
        <f>G1014-G1013</f>
        <v/>
      </c>
      <c r="H1015" s="24">
        <f>H1014-H1013</f>
        <v/>
      </c>
      <c r="I1015" s="27">
        <f>I1014-I1013</f>
        <v/>
      </c>
      <c r="J1015" s="30">
        <f>SUM(D1015:I1015)</f>
        <v/>
      </c>
      <c r="K1015" s="29">
        <f>K1014-K1013</f>
        <v/>
      </c>
      <c r="L1015" s="24">
        <f>L1014-L1013</f>
        <v/>
      </c>
      <c r="M1015" s="24">
        <f>M1014-M1013</f>
        <v/>
      </c>
      <c r="N1015" s="24">
        <f>N1014-N1013</f>
        <v/>
      </c>
      <c r="O1015" s="24">
        <f>O1014-O1013</f>
        <v/>
      </c>
      <c r="P1015" s="27">
        <f>P1014-P1013</f>
        <v/>
      </c>
      <c r="Q1015" s="30">
        <f>SUM(K1015:P1015)</f>
        <v/>
      </c>
      <c r="R1015" s="30">
        <f>J1015+Q1015</f>
        <v/>
      </c>
      <c r="S1015" s="17" t="n"/>
    </row>
    <row r="1016" ht="18" customHeight="1" s="43" thickBot="1">
      <c r="A1016" s="0" t="n"/>
      <c r="B1016" s="49" t="n"/>
      <c r="C1016" s="25" t="inlineStr">
        <is>
          <t>稼働棟数</t>
        </is>
      </c>
      <c r="D1016" s="20" t="n"/>
      <c r="E1016" s="20" t="n"/>
      <c r="F1016" s="20" t="n"/>
      <c r="G1016" s="20" t="n"/>
      <c r="H1016" s="20" t="n"/>
      <c r="I1016" s="28" t="n"/>
      <c r="J1016" s="21">
        <f>I1016</f>
        <v/>
      </c>
      <c r="K1016" s="22" t="n"/>
      <c r="L1016" s="20" t="n"/>
      <c r="M1016" s="20" t="n"/>
      <c r="N1016" s="20" t="n"/>
      <c r="O1016" s="20" t="n"/>
      <c r="P1016" s="28" t="n"/>
      <c r="Q1016" s="21">
        <f>P1016</f>
        <v/>
      </c>
      <c r="R1016" s="21">
        <f>Q1016</f>
        <v/>
      </c>
      <c r="S1016" s="18" t="n"/>
    </row>
    <row r="1017" ht="18" customHeight="1" s="43">
      <c r="A1017" s="0" t="n"/>
      <c r="B1017" s="50" t="inlineStr">
        <is>
          <t>日建/根物野菜</t>
        </is>
      </c>
      <c r="C1017" s="31" t="inlineStr">
        <is>
          <t>58期</t>
        </is>
      </c>
      <c r="D1017" s="8" t="n"/>
      <c r="E1017" s="8" t="n"/>
      <c r="F1017" s="8" t="n"/>
      <c r="G1017" s="8" t="n"/>
      <c r="H1017" s="8" t="n"/>
      <c r="I1017" s="9" t="n"/>
      <c r="J1017" s="10">
        <f>SUM(D1017:I1017)</f>
        <v/>
      </c>
      <c r="K1017" s="11" t="n"/>
      <c r="L1017" s="8" t="n"/>
      <c r="M1017" s="8" t="n"/>
      <c r="N1017" s="8" t="n"/>
      <c r="O1017" s="8" t="n"/>
      <c r="P1017" s="9" t="n"/>
      <c r="Q1017" s="10">
        <f>SUM(K1017:P1017)</f>
        <v/>
      </c>
      <c r="R1017" s="10">
        <f>J1017+Q1017</f>
        <v/>
      </c>
      <c r="S1017" s="16" t="n"/>
    </row>
    <row r="1018" ht="18" customHeight="1" s="43">
      <c r="A1018" s="0" t="n"/>
      <c r="B1018" s="48" t="n"/>
      <c r="C1018" s="7" t="inlineStr">
        <is>
          <t>59期</t>
        </is>
      </c>
      <c r="D1018" s="12" t="n"/>
      <c r="E1018" s="12" t="n"/>
      <c r="F1018" s="12" t="n"/>
      <c r="G1018" s="12" t="n"/>
      <c r="H1018" s="12" t="n"/>
      <c r="I1018" s="13" t="n"/>
      <c r="J1018" s="14">
        <f>SUM(D1018:I1018)</f>
        <v/>
      </c>
      <c r="K1018" s="15" t="n"/>
      <c r="L1018" s="12" t="n"/>
      <c r="M1018" s="12" t="n"/>
      <c r="N1018" s="12" t="n"/>
      <c r="O1018" s="12" t="n"/>
      <c r="P1018" s="13" t="n"/>
      <c r="Q1018" s="14">
        <f>SUM(K1018:P1018)</f>
        <v/>
      </c>
      <c r="R1018" s="14">
        <f>J1018+Q1018</f>
        <v/>
      </c>
      <c r="S1018" s="17" t="n"/>
    </row>
    <row r="1019" ht="18" customHeight="1" s="43">
      <c r="A1019" s="0" t="n"/>
      <c r="B1019" s="48" t="n"/>
      <c r="C1019" s="23" t="inlineStr">
        <is>
          <t>増　減</t>
        </is>
      </c>
      <c r="D1019" s="24">
        <f>D1018-D1017</f>
        <v/>
      </c>
      <c r="E1019" s="24">
        <f>E1018-E1017</f>
        <v/>
      </c>
      <c r="F1019" s="24">
        <f>F1018-F1017</f>
        <v/>
      </c>
      <c r="G1019" s="24">
        <f>G1018-G1017</f>
        <v/>
      </c>
      <c r="H1019" s="24">
        <f>H1018-H1017</f>
        <v/>
      </c>
      <c r="I1019" s="27">
        <f>I1018-I1017</f>
        <v/>
      </c>
      <c r="J1019" s="30">
        <f>SUM(D1019:I1019)</f>
        <v/>
      </c>
      <c r="K1019" s="29">
        <f>K1018-K1017</f>
        <v/>
      </c>
      <c r="L1019" s="24">
        <f>L1018-L1017</f>
        <v/>
      </c>
      <c r="M1019" s="24">
        <f>M1018-M1017</f>
        <v/>
      </c>
      <c r="N1019" s="24">
        <f>N1018-N1017</f>
        <v/>
      </c>
      <c r="O1019" s="24">
        <f>O1018-O1017</f>
        <v/>
      </c>
      <c r="P1019" s="27">
        <f>P1018-P1017</f>
        <v/>
      </c>
      <c r="Q1019" s="30">
        <f>SUM(K1019:P1019)</f>
        <v/>
      </c>
      <c r="R1019" s="30">
        <f>J1019+Q1019</f>
        <v/>
      </c>
      <c r="S1019" s="17" t="n"/>
    </row>
    <row r="1020" ht="18" customHeight="1" s="43" thickBot="1">
      <c r="A1020" s="0" t="n"/>
      <c r="B1020" s="49" t="n"/>
      <c r="C1020" s="25" t="inlineStr">
        <is>
          <t>稼働棟数</t>
        </is>
      </c>
      <c r="D1020" s="20" t="n"/>
      <c r="E1020" s="20" t="n"/>
      <c r="F1020" s="20" t="n"/>
      <c r="G1020" s="20" t="n"/>
      <c r="H1020" s="20" t="n"/>
      <c r="I1020" s="28" t="n"/>
      <c r="J1020" s="21">
        <f>I1020</f>
        <v/>
      </c>
      <c r="K1020" s="22" t="n"/>
      <c r="L1020" s="20" t="n"/>
      <c r="M1020" s="20" t="n"/>
      <c r="N1020" s="20" t="n"/>
      <c r="O1020" s="20" t="n"/>
      <c r="P1020" s="28" t="n"/>
      <c r="Q1020" s="21">
        <f>P1020</f>
        <v/>
      </c>
      <c r="R1020" s="21">
        <f>Q1020</f>
        <v/>
      </c>
      <c r="S1020" s="18" t="n"/>
    </row>
    <row r="1021" ht="18" customHeight="1" s="43">
      <c r="A1021" s="0" t="n"/>
      <c r="B1021" s="50" t="inlineStr">
        <is>
          <t>日建/実物野菜</t>
        </is>
      </c>
      <c r="C1021" s="31" t="inlineStr">
        <is>
          <t>58期</t>
        </is>
      </c>
      <c r="D1021" s="8" t="n"/>
      <c r="E1021" s="8" t="n"/>
      <c r="F1021" s="8" t="n"/>
      <c r="G1021" s="8" t="n"/>
      <c r="H1021" s="8" t="n"/>
      <c r="I1021" s="9" t="n"/>
      <c r="J1021" s="10">
        <f>SUM(D1021:I1021)</f>
        <v/>
      </c>
      <c r="K1021" s="11" t="n"/>
      <c r="L1021" s="8" t="n"/>
      <c r="M1021" s="8" t="n"/>
      <c r="N1021" s="8" t="n"/>
      <c r="O1021" s="8" t="n"/>
      <c r="P1021" s="9" t="n"/>
      <c r="Q1021" s="10">
        <f>SUM(K1021:P1021)</f>
        <v/>
      </c>
      <c r="R1021" s="10">
        <f>J1021+Q1021</f>
        <v/>
      </c>
      <c r="S1021" s="16" t="n"/>
    </row>
    <row r="1022" ht="18" customHeight="1" s="43">
      <c r="A1022" s="0" t="n"/>
      <c r="B1022" s="48" t="n"/>
      <c r="C1022" s="7" t="inlineStr">
        <is>
          <t>59期</t>
        </is>
      </c>
      <c r="D1022" s="12" t="n"/>
      <c r="E1022" s="12" t="n"/>
      <c r="F1022" s="12" t="n"/>
      <c r="G1022" s="12" t="n"/>
      <c r="H1022" s="12" t="n"/>
      <c r="I1022" s="13" t="n"/>
      <c r="J1022" s="14">
        <f>SUM(D1022:I1022)</f>
        <v/>
      </c>
      <c r="K1022" s="15" t="n"/>
      <c r="L1022" s="12" t="n"/>
      <c r="M1022" s="12" t="n"/>
      <c r="N1022" s="12" t="n"/>
      <c r="O1022" s="12" t="n"/>
      <c r="P1022" s="13" t="n"/>
      <c r="Q1022" s="14">
        <f>SUM(K1022:P1022)</f>
        <v/>
      </c>
      <c r="R1022" s="14">
        <f>J1022+Q1022</f>
        <v/>
      </c>
      <c r="S1022" s="17" t="n"/>
    </row>
    <row r="1023" ht="18" customHeight="1" s="43">
      <c r="A1023" s="0" t="n"/>
      <c r="B1023" s="48" t="n"/>
      <c r="C1023" s="23" t="inlineStr">
        <is>
          <t>増　減</t>
        </is>
      </c>
      <c r="D1023" s="24">
        <f>D1022-D1021</f>
        <v/>
      </c>
      <c r="E1023" s="24">
        <f>E1022-E1021</f>
        <v/>
      </c>
      <c r="F1023" s="24">
        <f>F1022-F1021</f>
        <v/>
      </c>
      <c r="G1023" s="24">
        <f>G1022-G1021</f>
        <v/>
      </c>
      <c r="H1023" s="24">
        <f>H1022-H1021</f>
        <v/>
      </c>
      <c r="I1023" s="27">
        <f>I1022-I1021</f>
        <v/>
      </c>
      <c r="J1023" s="30">
        <f>SUM(D1023:I1023)</f>
        <v/>
      </c>
      <c r="K1023" s="29">
        <f>K1022-K1021</f>
        <v/>
      </c>
      <c r="L1023" s="24">
        <f>L1022-L1021</f>
        <v/>
      </c>
      <c r="M1023" s="24">
        <f>M1022-M1021</f>
        <v/>
      </c>
      <c r="N1023" s="24">
        <f>N1022-N1021</f>
        <v/>
      </c>
      <c r="O1023" s="24">
        <f>O1022-O1021</f>
        <v/>
      </c>
      <c r="P1023" s="27">
        <f>P1022-P1021</f>
        <v/>
      </c>
      <c r="Q1023" s="30">
        <f>SUM(K1023:P1023)</f>
        <v/>
      </c>
      <c r="R1023" s="30">
        <f>J1023+Q1023</f>
        <v/>
      </c>
      <c r="S1023" s="17" t="n"/>
    </row>
    <row r="1024" ht="18" customHeight="1" s="43" thickBot="1">
      <c r="A1024" s="0" t="n"/>
      <c r="B1024" s="49" t="n"/>
      <c r="C1024" s="25" t="inlineStr">
        <is>
          <t>稼働棟数</t>
        </is>
      </c>
      <c r="D1024" s="20" t="n"/>
      <c r="E1024" s="20" t="n"/>
      <c r="F1024" s="20" t="n"/>
      <c r="G1024" s="20" t="n"/>
      <c r="H1024" s="20" t="n"/>
      <c r="I1024" s="28" t="n"/>
      <c r="J1024" s="21">
        <f>I1024</f>
        <v/>
      </c>
      <c r="K1024" s="22" t="n"/>
      <c r="L1024" s="20" t="n"/>
      <c r="M1024" s="20" t="n"/>
      <c r="N1024" s="20" t="n"/>
      <c r="O1024" s="20" t="n"/>
      <c r="P1024" s="28" t="n"/>
      <c r="Q1024" s="21">
        <f>P1024</f>
        <v/>
      </c>
      <c r="R1024" s="21">
        <f>Q1024</f>
        <v/>
      </c>
      <c r="S1024" s="18" t="n"/>
    </row>
    <row r="1025" ht="18" customHeight="1" s="43">
      <c r="A1025" s="0" t="n"/>
      <c r="B1025" s="50" t="inlineStr">
        <is>
          <t>日建/食用花</t>
        </is>
      </c>
      <c r="C1025" s="31" t="inlineStr">
        <is>
          <t>58期</t>
        </is>
      </c>
      <c r="D1025" s="8" t="n"/>
      <c r="E1025" s="8" t="n"/>
      <c r="F1025" s="8" t="n"/>
      <c r="G1025" s="8" t="n"/>
      <c r="H1025" s="8" t="n"/>
      <c r="I1025" s="9" t="n"/>
      <c r="J1025" s="10">
        <f>SUM(D1025:I1025)</f>
        <v/>
      </c>
      <c r="K1025" s="11" t="n"/>
      <c r="L1025" s="8" t="n"/>
      <c r="M1025" s="8" t="n"/>
      <c r="N1025" s="8" t="n"/>
      <c r="O1025" s="8" t="n"/>
      <c r="P1025" s="9" t="n"/>
      <c r="Q1025" s="10">
        <f>SUM(K1025:P1025)</f>
        <v/>
      </c>
      <c r="R1025" s="10">
        <f>J1025+Q1025</f>
        <v/>
      </c>
      <c r="S1025" s="16" t="n"/>
    </row>
    <row r="1026" ht="18" customHeight="1" s="43">
      <c r="A1026" s="0" t="n"/>
      <c r="B1026" s="48" t="n"/>
      <c r="C1026" s="7" t="inlineStr">
        <is>
          <t>59期</t>
        </is>
      </c>
      <c r="D1026" s="12" t="n"/>
      <c r="E1026" s="12" t="n"/>
      <c r="F1026" s="12" t="n"/>
      <c r="G1026" s="12" t="n"/>
      <c r="H1026" s="12" t="n"/>
      <c r="I1026" s="13" t="n"/>
      <c r="J1026" s="14">
        <f>SUM(D1026:I1026)</f>
        <v/>
      </c>
      <c r="K1026" s="15" t="n"/>
      <c r="L1026" s="12" t="n"/>
      <c r="M1026" s="12" t="n"/>
      <c r="N1026" s="12" t="n"/>
      <c r="O1026" s="12" t="n"/>
      <c r="P1026" s="13" t="n"/>
      <c r="Q1026" s="14">
        <f>SUM(K1026:P1026)</f>
        <v/>
      </c>
      <c r="R1026" s="14">
        <f>J1026+Q1026</f>
        <v/>
      </c>
      <c r="S1026" s="17" t="n"/>
    </row>
    <row r="1027" ht="18" customHeight="1" s="43">
      <c r="A1027" s="0" t="n"/>
      <c r="B1027" s="48" t="n"/>
      <c r="C1027" s="23" t="inlineStr">
        <is>
          <t>増　減</t>
        </is>
      </c>
      <c r="D1027" s="24">
        <f>D1026-D1025</f>
        <v/>
      </c>
      <c r="E1027" s="24">
        <f>E1026-E1025</f>
        <v/>
      </c>
      <c r="F1027" s="24">
        <f>F1026-F1025</f>
        <v/>
      </c>
      <c r="G1027" s="24">
        <f>G1026-G1025</f>
        <v/>
      </c>
      <c r="H1027" s="24">
        <f>H1026-H1025</f>
        <v/>
      </c>
      <c r="I1027" s="27">
        <f>I1026-I1025</f>
        <v/>
      </c>
      <c r="J1027" s="30">
        <f>SUM(D1027:I1027)</f>
        <v/>
      </c>
      <c r="K1027" s="29">
        <f>K1026-K1025</f>
        <v/>
      </c>
      <c r="L1027" s="24">
        <f>L1026-L1025</f>
        <v/>
      </c>
      <c r="M1027" s="24">
        <f>M1026-M1025</f>
        <v/>
      </c>
      <c r="N1027" s="24">
        <f>N1026-N1025</f>
        <v/>
      </c>
      <c r="O1027" s="24">
        <f>O1026-O1025</f>
        <v/>
      </c>
      <c r="P1027" s="27">
        <f>P1026-P1025</f>
        <v/>
      </c>
      <c r="Q1027" s="30">
        <f>SUM(K1027:P1027)</f>
        <v/>
      </c>
      <c r="R1027" s="30">
        <f>J1027+Q1027</f>
        <v/>
      </c>
      <c r="S1027" s="17" t="n"/>
    </row>
    <row r="1028" ht="18" customHeight="1" s="43" thickBot="1">
      <c r="A1028" s="0" t="n"/>
      <c r="B1028" s="49" t="n"/>
      <c r="C1028" s="25" t="inlineStr">
        <is>
          <t>稼働棟数</t>
        </is>
      </c>
      <c r="D1028" s="20" t="n"/>
      <c r="E1028" s="20" t="n"/>
      <c r="F1028" s="20" t="n"/>
      <c r="G1028" s="20" t="n"/>
      <c r="H1028" s="20" t="n"/>
      <c r="I1028" s="28" t="n"/>
      <c r="J1028" s="21">
        <f>I1028</f>
        <v/>
      </c>
      <c r="K1028" s="22" t="n"/>
      <c r="L1028" s="20" t="n"/>
      <c r="M1028" s="20" t="n"/>
      <c r="N1028" s="20" t="n"/>
      <c r="O1028" s="20" t="n"/>
      <c r="P1028" s="28" t="n"/>
      <c r="Q1028" s="21">
        <f>P1028</f>
        <v/>
      </c>
      <c r="R1028" s="21">
        <f>Q1028</f>
        <v/>
      </c>
      <c r="S1028" s="18" t="n"/>
    </row>
    <row r="1029" ht="18" customHeight="1" s="43">
      <c r="A1029" s="0" t="n"/>
      <c r="B1029" s="50" t="inlineStr">
        <is>
          <t>日建/葉物野菜</t>
        </is>
      </c>
      <c r="C1029" s="31" t="inlineStr">
        <is>
          <t>58期</t>
        </is>
      </c>
      <c r="D1029" s="8" t="n"/>
      <c r="E1029" s="8" t="n"/>
      <c r="F1029" s="8" t="n"/>
      <c r="G1029" s="8" t="n"/>
      <c r="H1029" s="8" t="n"/>
      <c r="I1029" s="9" t="n"/>
      <c r="J1029" s="10">
        <f>SUM(D1029:I1029)</f>
        <v/>
      </c>
      <c r="K1029" s="11" t="n"/>
      <c r="L1029" s="8" t="n"/>
      <c r="M1029" s="8" t="n"/>
      <c r="N1029" s="8" t="n"/>
      <c r="O1029" s="8" t="n"/>
      <c r="P1029" s="9" t="n"/>
      <c r="Q1029" s="10">
        <f>SUM(K1029:P1029)</f>
        <v/>
      </c>
      <c r="R1029" s="10">
        <f>J1029+Q1029</f>
        <v/>
      </c>
      <c r="S1029" s="16" t="n"/>
    </row>
    <row r="1030" ht="18" customHeight="1" s="43">
      <c r="A1030" s="0" t="n"/>
      <c r="B1030" s="48" t="n"/>
      <c r="C1030" s="7" t="inlineStr">
        <is>
          <t>59期</t>
        </is>
      </c>
      <c r="D1030" s="12" t="n"/>
      <c r="E1030" s="12" t="n"/>
      <c r="F1030" s="12" t="n"/>
      <c r="G1030" s="12" t="n"/>
      <c r="H1030" s="12" t="n"/>
      <c r="I1030" s="13" t="n"/>
      <c r="J1030" s="14">
        <f>SUM(D1030:I1030)</f>
        <v/>
      </c>
      <c r="K1030" s="15" t="n"/>
      <c r="L1030" s="12" t="n"/>
      <c r="M1030" s="12" t="n"/>
      <c r="N1030" s="12" t="n"/>
      <c r="O1030" s="12" t="n"/>
      <c r="P1030" s="13" t="n"/>
      <c r="Q1030" s="14">
        <f>SUM(K1030:P1030)</f>
        <v/>
      </c>
      <c r="R1030" s="14">
        <f>J1030+Q1030</f>
        <v/>
      </c>
      <c r="S1030" s="17" t="n"/>
    </row>
    <row r="1031" ht="18" customHeight="1" s="43">
      <c r="A1031" s="0" t="n"/>
      <c r="B1031" s="48" t="n"/>
      <c r="C1031" s="23" t="inlineStr">
        <is>
          <t>増　減</t>
        </is>
      </c>
      <c r="D1031" s="24">
        <f>D1030-D1029</f>
        <v/>
      </c>
      <c r="E1031" s="24">
        <f>E1030-E1029</f>
        <v/>
      </c>
      <c r="F1031" s="24">
        <f>F1030-F1029</f>
        <v/>
      </c>
      <c r="G1031" s="24">
        <f>G1030-G1029</f>
        <v/>
      </c>
      <c r="H1031" s="24">
        <f>H1030-H1029</f>
        <v/>
      </c>
      <c r="I1031" s="27">
        <f>I1030-I1029</f>
        <v/>
      </c>
      <c r="J1031" s="30">
        <f>SUM(D1031:I1031)</f>
        <v/>
      </c>
      <c r="K1031" s="29">
        <f>K1030-K1029</f>
        <v/>
      </c>
      <c r="L1031" s="24">
        <f>L1030-L1029</f>
        <v/>
      </c>
      <c r="M1031" s="24">
        <f>M1030-M1029</f>
        <v/>
      </c>
      <c r="N1031" s="24">
        <f>N1030-N1029</f>
        <v/>
      </c>
      <c r="O1031" s="24">
        <f>O1030-O1029</f>
        <v/>
      </c>
      <c r="P1031" s="27">
        <f>P1030-P1029</f>
        <v/>
      </c>
      <c r="Q1031" s="30">
        <f>SUM(K1031:P1031)</f>
        <v/>
      </c>
      <c r="R1031" s="30">
        <f>J1031+Q1031</f>
        <v/>
      </c>
      <c r="S1031" s="17" t="n"/>
    </row>
    <row r="1032" ht="18" customHeight="1" s="43" thickBot="1">
      <c r="A1032" s="0" t="n"/>
      <c r="B1032" s="49" t="n"/>
      <c r="C1032" s="25" t="inlineStr">
        <is>
          <t>稼働棟数</t>
        </is>
      </c>
      <c r="D1032" s="20" t="n"/>
      <c r="E1032" s="20" t="n"/>
      <c r="F1032" s="20" t="n"/>
      <c r="G1032" s="20" t="n"/>
      <c r="H1032" s="20" t="n"/>
      <c r="I1032" s="28" t="n"/>
      <c r="J1032" s="21">
        <f>I1032</f>
        <v/>
      </c>
      <c r="K1032" s="22" t="n"/>
      <c r="L1032" s="20" t="n"/>
      <c r="M1032" s="20" t="n"/>
      <c r="N1032" s="20" t="n"/>
      <c r="O1032" s="20" t="n"/>
      <c r="P1032" s="28" t="n"/>
      <c r="Q1032" s="21">
        <f>P1032</f>
        <v/>
      </c>
      <c r="R1032" s="21">
        <f>Q1032</f>
        <v/>
      </c>
      <c r="S1032" s="18" t="n"/>
    </row>
    <row r="1033" ht="18" customHeight="1" s="43">
      <c r="A1033" s="0" t="n"/>
      <c r="B1033" s="55" t="inlineStr">
        <is>
          <t>月間総合計</t>
        </is>
      </c>
      <c r="C1033" s="31" t="inlineStr">
        <is>
          <t>58期</t>
        </is>
      </c>
      <c r="D1033" s="8" t="n"/>
      <c r="E1033" s="8" t="n"/>
      <c r="F1033" s="8" t="n"/>
      <c r="G1033" s="8" t="n"/>
      <c r="H1033" s="8" t="n"/>
      <c r="I1033" s="9" t="n"/>
      <c r="J1033" s="10">
        <f>SUM(D1033:I1033)</f>
        <v/>
      </c>
      <c r="K1033" s="11" t="n"/>
      <c r="L1033" s="8" t="n"/>
      <c r="M1033" s="8" t="n"/>
      <c r="N1033" s="8" t="n"/>
      <c r="O1033" s="8" t="n"/>
      <c r="P1033" s="9" t="n"/>
      <c r="Q1033" s="10">
        <f>SUM(K1033:P1033)</f>
        <v/>
      </c>
      <c r="R1033" s="10">
        <f>J1033+Q1033</f>
        <v/>
      </c>
      <c r="S1033" s="16" t="n"/>
    </row>
    <row r="1034" ht="18" customHeight="1" s="43">
      <c r="A1034" s="0" t="n"/>
      <c r="B1034" s="48" t="n"/>
      <c r="C1034" s="7" t="inlineStr">
        <is>
          <t>59期</t>
        </is>
      </c>
      <c r="D1034" s="12" t="n"/>
      <c r="E1034" s="12" t="n"/>
      <c r="F1034" s="12" t="n"/>
      <c r="G1034" s="12" t="n"/>
      <c r="H1034" s="12" t="n"/>
      <c r="I1034" s="13" t="n"/>
      <c r="J1034" s="14">
        <f>SUM(D1034:I1034)</f>
        <v/>
      </c>
      <c r="K1034" s="15" t="n"/>
      <c r="L1034" s="12" t="n"/>
      <c r="M1034" s="12" t="n"/>
      <c r="N1034" s="12" t="n"/>
      <c r="O1034" s="12" t="n"/>
      <c r="P1034" s="13" t="n"/>
      <c r="Q1034" s="14">
        <f>SUM(K1034:P1034)</f>
        <v/>
      </c>
      <c r="R1034" s="14">
        <f>J1034+Q1034</f>
        <v/>
      </c>
      <c r="S1034" s="17" t="n"/>
    </row>
    <row r="1035" ht="18" customHeight="1" s="43">
      <c r="A1035" s="0" t="n"/>
      <c r="B1035" s="48" t="n"/>
      <c r="C1035" s="23" t="inlineStr">
        <is>
          <t>増　減</t>
        </is>
      </c>
      <c r="D1035" s="24">
        <f>D1034-D1033</f>
        <v/>
      </c>
      <c r="E1035" s="24">
        <f>E1034-E1033</f>
        <v/>
      </c>
      <c r="F1035" s="24">
        <f>F1034-F1033</f>
        <v/>
      </c>
      <c r="G1035" s="24">
        <f>G1034-G1033</f>
        <v/>
      </c>
      <c r="H1035" s="24">
        <f>H1034-H1033</f>
        <v/>
      </c>
      <c r="I1035" s="27">
        <f>I1034-I1033</f>
        <v/>
      </c>
      <c r="J1035" s="30">
        <f>SUM(D1035:I1035)</f>
        <v/>
      </c>
      <c r="K1035" s="29">
        <f>K1034-K1033</f>
        <v/>
      </c>
      <c r="L1035" s="24">
        <f>L1034-L1033</f>
        <v/>
      </c>
      <c r="M1035" s="24">
        <f>M1034-M1033</f>
        <v/>
      </c>
      <c r="N1035" s="24">
        <f>N1034-N1033</f>
        <v/>
      </c>
      <c r="O1035" s="24">
        <f>O1034-O1033</f>
        <v/>
      </c>
      <c r="P1035" s="27">
        <f>P1034-P1033</f>
        <v/>
      </c>
      <c r="Q1035" s="30">
        <f>SUM(K1035:P1035)</f>
        <v/>
      </c>
      <c r="R1035" s="30">
        <f>J1035+Q1035</f>
        <v/>
      </c>
      <c r="S1035" s="17" t="n"/>
    </row>
    <row r="1036" ht="18" customHeight="1" s="43" thickBot="1">
      <c r="A1036" s="0" t="n"/>
      <c r="B1036" s="49" t="n"/>
      <c r="C1036" s="25" t="inlineStr">
        <is>
          <t>稼働棟数</t>
        </is>
      </c>
      <c r="D1036" s="20" t="n"/>
      <c r="E1036" s="20" t="n"/>
      <c r="F1036" s="20" t="n"/>
      <c r="G1036" s="20" t="n"/>
      <c r="H1036" s="20" t="n"/>
      <c r="I1036" s="28" t="n"/>
      <c r="J1036" s="21">
        <f>I1036</f>
        <v/>
      </c>
      <c r="K1036" s="22" t="n"/>
      <c r="L1036" s="20" t="n"/>
      <c r="M1036" s="20" t="n"/>
      <c r="N1036" s="20" t="n"/>
      <c r="O1036" s="20" t="n"/>
      <c r="P1036" s="28" t="n"/>
      <c r="Q1036" s="21">
        <f>P1036</f>
        <v/>
      </c>
      <c r="R1036" s="21">
        <f>Q1036</f>
        <v/>
      </c>
      <c r="S1036" s="18" t="n"/>
    </row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</sheetData>
  <mergeCells count="263">
    <mergeCell ref="B153:B156"/>
    <mergeCell ref="B901:B904"/>
    <mergeCell ref="B429:B432"/>
    <mergeCell ref="B149:B152"/>
    <mergeCell ref="B665:B668"/>
    <mergeCell ref="B793:B796"/>
    <mergeCell ref="B845:B848"/>
    <mergeCell ref="B121:B124"/>
    <mergeCell ref="B385:B388"/>
    <mergeCell ref="B885:B888"/>
    <mergeCell ref="B301:B304"/>
    <mergeCell ref="B357:B360"/>
    <mergeCell ref="B77:B80"/>
    <mergeCell ref="B777:B780"/>
    <mergeCell ref="B537:B540"/>
    <mergeCell ref="B1013:B1016"/>
    <mergeCell ref="B729:B732"/>
    <mergeCell ref="B813:B816"/>
    <mergeCell ref="B353:B356"/>
    <mergeCell ref="B61:B64"/>
    <mergeCell ref="B421:B424"/>
    <mergeCell ref="B797:B800"/>
    <mergeCell ref="B337:B340"/>
    <mergeCell ref="B981:B984"/>
    <mergeCell ref="B601:B604"/>
    <mergeCell ref="B573:B576"/>
    <mergeCell ref="B877:B880"/>
    <mergeCell ref="B229:B232"/>
    <mergeCell ref="B29:B32"/>
    <mergeCell ref="B977:B980"/>
    <mergeCell ref="B849:B852"/>
    <mergeCell ref="B1029:B1032"/>
    <mergeCell ref="B505:B508"/>
    <mergeCell ref="B13:B16"/>
    <mergeCell ref="B637:B640"/>
    <mergeCell ref="B53:B56"/>
    <mergeCell ref="A977:A980"/>
    <mergeCell ref="B249:B252"/>
    <mergeCell ref="B289:B292"/>
    <mergeCell ref="B669:B672"/>
    <mergeCell ref="B329:B332"/>
    <mergeCell ref="B805:B808"/>
    <mergeCell ref="B565:B568"/>
    <mergeCell ref="B605:B608"/>
    <mergeCell ref="B37:B40"/>
    <mergeCell ref="B841:B844"/>
    <mergeCell ref="B257:B260"/>
    <mergeCell ref="B313:B316"/>
    <mergeCell ref="B497:B500"/>
    <mergeCell ref="B733:B736"/>
    <mergeCell ref="B549:B552"/>
    <mergeCell ref="B393:B396"/>
    <mergeCell ref="B773:B776"/>
    <mergeCell ref="B589:B592"/>
    <mergeCell ref="B825:B828"/>
    <mergeCell ref="B629:B632"/>
    <mergeCell ref="A973:A976"/>
    <mergeCell ref="B241:B244"/>
    <mergeCell ref="B905:B908"/>
    <mergeCell ref="B717:B720"/>
    <mergeCell ref="B1033:B1036"/>
    <mergeCell ref="B889:B892"/>
    <mergeCell ref="B185:B188"/>
    <mergeCell ref="A981:A984"/>
    <mergeCell ref="B41:B44"/>
    <mergeCell ref="B501:B504"/>
    <mergeCell ref="B305:B308"/>
    <mergeCell ref="B81:B84"/>
    <mergeCell ref="B781:B784"/>
    <mergeCell ref="B865:B868"/>
    <mergeCell ref="B581:B584"/>
    <mergeCell ref="B725:B728"/>
    <mergeCell ref="B221:B224"/>
    <mergeCell ref="B277:B280"/>
    <mergeCell ref="B169:B172"/>
    <mergeCell ref="B817:B820"/>
    <mergeCell ref="B873:B876"/>
    <mergeCell ref="B721:B724"/>
    <mergeCell ref="B801:B804"/>
    <mergeCell ref="B341:B344"/>
    <mergeCell ref="B465:B468"/>
    <mergeCell ref="B521:B524"/>
    <mergeCell ref="B577:B580"/>
    <mergeCell ref="B705:B708"/>
    <mergeCell ref="B941:B944"/>
    <mergeCell ref="B553:B556"/>
    <mergeCell ref="B93:B96"/>
    <mergeCell ref="B689:B692"/>
    <mergeCell ref="B105:B108"/>
    <mergeCell ref="B161:B164"/>
    <mergeCell ref="B17:B20"/>
    <mergeCell ref="B965:B968"/>
    <mergeCell ref="B641:B644"/>
    <mergeCell ref="B1005:B1008"/>
    <mergeCell ref="B769:B772"/>
    <mergeCell ref="B253:B256"/>
    <mergeCell ref="B617:B620"/>
    <mergeCell ref="B157:B160"/>
    <mergeCell ref="B389:B392"/>
    <mergeCell ref="B333:B336"/>
    <mergeCell ref="B853:B856"/>
    <mergeCell ref="B697:B700"/>
    <mergeCell ref="B225:B228"/>
    <mergeCell ref="B933:B936"/>
    <mergeCell ref="B989:B992"/>
    <mergeCell ref="B101:B104"/>
    <mergeCell ref="B405:B408"/>
    <mergeCell ref="B461:B464"/>
    <mergeCell ref="B317:B320"/>
    <mergeCell ref="B377:B380"/>
    <mergeCell ref="B681:B684"/>
    <mergeCell ref="B917:B920"/>
    <mergeCell ref="B457:B460"/>
    <mergeCell ref="B9:B12"/>
    <mergeCell ref="B245:B248"/>
    <mergeCell ref="B69:B72"/>
    <mergeCell ref="B481:B484"/>
    <mergeCell ref="B609:B612"/>
    <mergeCell ref="B205:B208"/>
    <mergeCell ref="B477:B480"/>
    <mergeCell ref="B133:B136"/>
    <mergeCell ref="B757:B760"/>
    <mergeCell ref="B369:B372"/>
    <mergeCell ref="B869:B872"/>
    <mergeCell ref="B645:B648"/>
    <mergeCell ref="B449:B452"/>
    <mergeCell ref="A965:A968"/>
    <mergeCell ref="B433:B436"/>
    <mergeCell ref="B45:B48"/>
    <mergeCell ref="B993:B996"/>
    <mergeCell ref="B709:B712"/>
    <mergeCell ref="B321:B324"/>
    <mergeCell ref="B945:B948"/>
    <mergeCell ref="B125:B128"/>
    <mergeCell ref="B557:B560"/>
    <mergeCell ref="B97:B100"/>
    <mergeCell ref="B401:B404"/>
    <mergeCell ref="B693:B696"/>
    <mergeCell ref="B109:B112"/>
    <mergeCell ref="B489:B492"/>
    <mergeCell ref="B541:B544"/>
    <mergeCell ref="B345:B348"/>
    <mergeCell ref="B621:B624"/>
    <mergeCell ref="B857:B860"/>
    <mergeCell ref="B985:B988"/>
    <mergeCell ref="B145:B148"/>
    <mergeCell ref="B409:B412"/>
    <mergeCell ref="B789:B792"/>
    <mergeCell ref="B969:B972"/>
    <mergeCell ref="B1025:B1028"/>
    <mergeCell ref="B381:B384"/>
    <mergeCell ref="B509:B512"/>
    <mergeCell ref="B685:B688"/>
    <mergeCell ref="B921:B924"/>
    <mergeCell ref="B961:B964"/>
    <mergeCell ref="B73:B76"/>
    <mergeCell ref="B1021:B1024"/>
    <mergeCell ref="B437:B440"/>
    <mergeCell ref="B349:B352"/>
    <mergeCell ref="B613:B616"/>
    <mergeCell ref="B673:B676"/>
    <mergeCell ref="B529:B532"/>
    <mergeCell ref="B57:B60"/>
    <mergeCell ref="B765:B768"/>
    <mergeCell ref="B181:B184"/>
    <mergeCell ref="B809:B812"/>
    <mergeCell ref="B293:B296"/>
    <mergeCell ref="B137:B140"/>
    <mergeCell ref="B373:B376"/>
    <mergeCell ref="B657:B660"/>
    <mergeCell ref="B413:B416"/>
    <mergeCell ref="B737:B740"/>
    <mergeCell ref="B593:B596"/>
    <mergeCell ref="B649:B652"/>
    <mergeCell ref="B829:B832"/>
    <mergeCell ref="B485:B488"/>
    <mergeCell ref="A969:A972"/>
    <mergeCell ref="B957:B960"/>
    <mergeCell ref="B49:B52"/>
    <mergeCell ref="B997:B1000"/>
    <mergeCell ref="B713:B716"/>
    <mergeCell ref="B893:B896"/>
    <mergeCell ref="B5:B8"/>
    <mergeCell ref="B949:B952"/>
    <mergeCell ref="B189:B192"/>
    <mergeCell ref="B925:B928"/>
    <mergeCell ref="B281:B284"/>
    <mergeCell ref="B585:B588"/>
    <mergeCell ref="B113:B116"/>
    <mergeCell ref="B173:B176"/>
    <mergeCell ref="B821:B824"/>
    <mergeCell ref="B213:B216"/>
    <mergeCell ref="B265:B268"/>
    <mergeCell ref="B909:B912"/>
    <mergeCell ref="B141:B144"/>
    <mergeCell ref="B193:B196"/>
    <mergeCell ref="B233:B236"/>
    <mergeCell ref="B473:B476"/>
    <mergeCell ref="B273:B276"/>
    <mergeCell ref="B973:B976"/>
    <mergeCell ref="B513:B516"/>
    <mergeCell ref="B749:B752"/>
    <mergeCell ref="B361:B364"/>
    <mergeCell ref="B165:B168"/>
    <mergeCell ref="B21:B24"/>
    <mergeCell ref="B441:B444"/>
    <mergeCell ref="B297:B300"/>
    <mergeCell ref="B533:B536"/>
    <mergeCell ref="B953:B956"/>
    <mergeCell ref="B1009:B1012"/>
    <mergeCell ref="B425:B428"/>
    <mergeCell ref="B661:B664"/>
    <mergeCell ref="B517:B520"/>
    <mergeCell ref="B701:B704"/>
    <mergeCell ref="B117:B120"/>
    <mergeCell ref="B741:B744"/>
    <mergeCell ref="B597:B600"/>
    <mergeCell ref="B881:B884"/>
    <mergeCell ref="B937:B940"/>
    <mergeCell ref="B1017:B1020"/>
    <mergeCell ref="B833:B836"/>
    <mergeCell ref="B761:B764"/>
    <mergeCell ref="B1001:B1004"/>
    <mergeCell ref="B417:B420"/>
    <mergeCell ref="B897:B900"/>
    <mergeCell ref="B653:B656"/>
    <mergeCell ref="B545:B548"/>
    <mergeCell ref="B745:B748"/>
    <mergeCell ref="B285:B288"/>
    <mergeCell ref="B569:B572"/>
    <mergeCell ref="B469:B472"/>
    <mergeCell ref="B785:B788"/>
    <mergeCell ref="B929:B932"/>
    <mergeCell ref="B177:B180"/>
    <mergeCell ref="B33:B36"/>
    <mergeCell ref="B677:B680"/>
    <mergeCell ref="B217:B220"/>
    <mergeCell ref="B453:B456"/>
    <mergeCell ref="B913:B916"/>
    <mergeCell ref="B269:B272"/>
    <mergeCell ref="B397:B400"/>
    <mergeCell ref="B65:B68"/>
    <mergeCell ref="B633:B636"/>
    <mergeCell ref="B201:B204"/>
    <mergeCell ref="B197:B200"/>
    <mergeCell ref="B325:B328"/>
    <mergeCell ref="B525:B528"/>
    <mergeCell ref="B237:B240"/>
    <mergeCell ref="B561:B564"/>
    <mergeCell ref="B89:B92"/>
    <mergeCell ref="B129:B132"/>
    <mergeCell ref="B753:B756"/>
    <mergeCell ref="B837:B840"/>
    <mergeCell ref="B309:B312"/>
    <mergeCell ref="B365:B368"/>
    <mergeCell ref="B493:B496"/>
    <mergeCell ref="B209:B212"/>
    <mergeCell ref="B25:B28"/>
    <mergeCell ref="B261:B264"/>
    <mergeCell ref="B85:B88"/>
    <mergeCell ref="B445:B448"/>
    <mergeCell ref="B625:B628"/>
    <mergeCell ref="B861:B864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8" scale="61" fitToHeight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X4000"/>
  <sheetViews>
    <sheetView zoomScale="65" zoomScaleNormal="100" workbookViewId="0">
      <pane xSplit="3" ySplit="4" topLeftCell="D5" activePane="bottomRight" state="frozen"/>
      <selection activeCell="I122" sqref="I122"/>
      <selection pane="topRight" activeCell="I122" sqref="I122"/>
      <selection pane="bottomLeft" activeCell="I122" sqref="I122"/>
      <selection pane="bottomRight" activeCell="B5" sqref="B5:B8"/>
    </sheetView>
  </sheetViews>
  <sheetFormatPr baseColWidth="8" defaultRowHeight="13"/>
  <cols>
    <col width="5.26953125" customWidth="1" style="43" min="1" max="1"/>
    <col width="21" customWidth="1" style="43" min="2" max="2"/>
    <col width="9" bestFit="1" customWidth="1" style="43" min="3" max="3"/>
    <col width="10.08984375" bestFit="1" customWidth="1" style="43" min="18" max="18"/>
    <col width="35.7265625" bestFit="1" customWidth="1" style="43" min="19" max="19"/>
  </cols>
  <sheetData>
    <row r="1" ht="16.5" customHeight="1" s="43">
      <c r="A1" s="1" t="inlineStr">
        <is>
          <t>■加工用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3.5" customHeight="1" s="43">
      <c r="B2" s="1" t="n"/>
      <c r="G2" s="1" t="n"/>
      <c r="S2" s="39" t="n"/>
    </row>
    <row r="3" ht="13.5" customHeight="1" s="43" thickBot="1">
      <c r="K3" s="19" t="n"/>
      <c r="S3" s="39" t="inlineStr">
        <is>
          <t>（単位：㎏）</t>
        </is>
      </c>
    </row>
    <row r="4" ht="27" customHeight="1" s="43" thickBot="1">
      <c r="A4" s="26" t="n"/>
      <c r="B4" s="2" t="inlineStr">
        <is>
          <t>企業名/野菜名</t>
        </is>
      </c>
      <c r="C4" s="2" t="inlineStr">
        <is>
          <t>期</t>
        </is>
      </c>
      <c r="D4" s="2" t="inlineStr">
        <is>
          <t>10月</t>
        </is>
      </c>
      <c r="E4" s="2" t="inlineStr">
        <is>
          <t>11月</t>
        </is>
      </c>
      <c r="F4" s="2" t="inlineStr">
        <is>
          <t>12月</t>
        </is>
      </c>
      <c r="G4" s="2" t="inlineStr">
        <is>
          <t>1月</t>
        </is>
      </c>
      <c r="H4" s="2" t="inlineStr">
        <is>
          <t>2月</t>
        </is>
      </c>
      <c r="I4" s="3" t="inlineStr">
        <is>
          <t>3月</t>
        </is>
      </c>
      <c r="J4" s="4" t="inlineStr">
        <is>
          <t>上期集計</t>
        </is>
      </c>
      <c r="K4" s="5" t="inlineStr">
        <is>
          <t>4月</t>
        </is>
      </c>
      <c r="L4" s="2" t="inlineStr">
        <is>
          <t>5月</t>
        </is>
      </c>
      <c r="M4" s="2" t="inlineStr">
        <is>
          <t>6月</t>
        </is>
      </c>
      <c r="N4" s="2" t="inlineStr">
        <is>
          <t>7月</t>
        </is>
      </c>
      <c r="O4" s="2" t="inlineStr">
        <is>
          <t>8月</t>
        </is>
      </c>
      <c r="P4" s="3" t="inlineStr">
        <is>
          <t>9月</t>
        </is>
      </c>
      <c r="Q4" s="4" t="inlineStr">
        <is>
          <t>下期集計</t>
        </is>
      </c>
      <c r="R4" s="4" t="inlineStr">
        <is>
          <t>合　計</t>
        </is>
      </c>
      <c r="S4" s="6" t="inlineStr">
        <is>
          <t>備考</t>
        </is>
      </c>
    </row>
    <row r="5" ht="18" customHeight="1" s="43" thickBot="1">
      <c r="B5" s="59" t="inlineStr">
        <is>
          <t>牧野フライス/加工BL</t>
        </is>
      </c>
      <c r="C5" s="31" t="inlineStr">
        <is>
          <t>58期</t>
        </is>
      </c>
      <c r="D5" s="8" t="n"/>
      <c r="E5" s="8" t="n"/>
      <c r="F5" s="8" t="n"/>
      <c r="G5" s="8" t="n"/>
      <c r="H5" s="8" t="n"/>
      <c r="I5" s="9" t="n"/>
      <c r="J5" s="10">
        <f>SUM(D5:I5)</f>
        <v/>
      </c>
      <c r="K5" s="11" t="n"/>
      <c r="L5" s="8" t="n"/>
      <c r="M5" s="8" t="n"/>
      <c r="N5" s="8" t="n"/>
      <c r="O5" s="8" t="n"/>
      <c r="P5" s="9" t="n"/>
      <c r="Q5" s="10">
        <f>SUM(K5:P5)</f>
        <v/>
      </c>
      <c r="R5" s="10">
        <f>J5+Q5</f>
        <v/>
      </c>
      <c r="S5" s="16" t="n"/>
    </row>
    <row r="6" ht="18" customHeight="1" s="43">
      <c r="B6" s="48" t="n"/>
      <c r="C6" s="7" t="inlineStr">
        <is>
          <t>59期</t>
        </is>
      </c>
      <c r="D6" s="12" t="n"/>
      <c r="E6" s="12" t="n"/>
      <c r="F6" s="12" t="n"/>
      <c r="G6" s="12" t="n"/>
      <c r="H6" s="12" t="n"/>
      <c r="I6" s="13" t="n"/>
      <c r="J6" s="14">
        <f>SUM(D6:I6)</f>
        <v/>
      </c>
      <c r="K6" s="15" t="n"/>
      <c r="L6" s="12" t="n"/>
      <c r="M6" s="12" t="n"/>
      <c r="N6" s="12" t="n"/>
      <c r="O6" s="12" t="n"/>
      <c r="P6" s="13" t="n"/>
      <c r="Q6" s="14">
        <f>SUM(K6:P6)</f>
        <v/>
      </c>
      <c r="R6" s="14">
        <f>J6+Q6</f>
        <v/>
      </c>
      <c r="S6" s="17" t="n"/>
    </row>
    <row r="7" ht="18" customHeight="1" s="43">
      <c r="B7" s="48" t="n"/>
      <c r="C7" s="23" t="inlineStr">
        <is>
          <t>増　減</t>
        </is>
      </c>
      <c r="D7" s="24">
        <f>D6-D5</f>
        <v/>
      </c>
      <c r="E7" s="24">
        <f>E6-E5</f>
        <v/>
      </c>
      <c r="F7" s="24">
        <f>F6-F5</f>
        <v/>
      </c>
      <c r="G7" s="24" t="n">
        <v>1.24</v>
      </c>
      <c r="H7" s="24">
        <f>H6-H5</f>
        <v/>
      </c>
      <c r="I7" s="27">
        <f>I6-I5</f>
        <v/>
      </c>
      <c r="J7" s="30" t="n">
        <v>1.24</v>
      </c>
      <c r="K7" s="29">
        <f>K6-K5</f>
        <v/>
      </c>
      <c r="L7" s="24">
        <f>L6-L5</f>
        <v/>
      </c>
      <c r="M7" s="24">
        <f>M6-M5</f>
        <v/>
      </c>
      <c r="N7" s="24">
        <f>N6-N5</f>
        <v/>
      </c>
      <c r="O7" s="24">
        <f>O6-O5</f>
        <v/>
      </c>
      <c r="P7" s="27">
        <f>P6-P5</f>
        <v/>
      </c>
      <c r="Q7" s="30" t="n">
        <v>0</v>
      </c>
      <c r="R7" s="30" t="n">
        <v>1.24</v>
      </c>
      <c r="S7" s="17" t="n"/>
    </row>
    <row r="8" ht="18" customHeight="1" s="43" thickBot="1">
      <c r="B8" s="60" t="n"/>
      <c r="C8" s="25" t="inlineStr">
        <is>
          <t>稼働棟数</t>
        </is>
      </c>
      <c r="D8" s="20" t="n"/>
      <c r="E8" s="20" t="n"/>
      <c r="F8" s="20" t="n"/>
      <c r="G8" s="20" t="n"/>
      <c r="H8" s="20" t="n"/>
      <c r="I8" s="28" t="n"/>
      <c r="J8" s="21">
        <f>I8</f>
        <v/>
      </c>
      <c r="K8" s="22" t="n"/>
      <c r="L8" s="20" t="n"/>
      <c r="M8" s="20" t="n"/>
      <c r="N8" s="20" t="n"/>
      <c r="O8" s="20" t="n"/>
      <c r="P8" s="28" t="n"/>
      <c r="Q8" s="21">
        <f>P8</f>
        <v/>
      </c>
      <c r="R8" s="21">
        <f>Q8</f>
        <v/>
      </c>
      <c r="S8" s="18" t="n"/>
    </row>
    <row r="9" ht="18" customHeight="1" s="43" thickBot="1">
      <c r="B9" s="59" t="inlineStr">
        <is>
          <t>牧野フライス/加工イチゴ</t>
        </is>
      </c>
      <c r="C9" s="31" t="inlineStr">
        <is>
          <t>58期</t>
        </is>
      </c>
      <c r="D9" s="8" t="n"/>
      <c r="E9" s="8" t="n"/>
      <c r="F9" s="8" t="n"/>
      <c r="G9" s="8" t="n"/>
      <c r="H9" s="8" t="n"/>
      <c r="I9" s="9" t="n"/>
      <c r="J9" s="10">
        <f>SUM(D9:I9)</f>
        <v/>
      </c>
      <c r="K9" s="11" t="n"/>
      <c r="L9" s="8" t="n"/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3">
      <c r="B10" s="48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3">
      <c r="B11" s="48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3" thickBot="1">
      <c r="B12" s="60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3" thickBot="1">
      <c r="B13" s="59" t="inlineStr">
        <is>
          <t>牧野フライス/加工トマト</t>
        </is>
      </c>
      <c r="C13" s="31" t="inlineStr">
        <is>
          <t>58期</t>
        </is>
      </c>
      <c r="D13" s="8" t="n"/>
      <c r="E13" s="8" t="n"/>
      <c r="F13" s="8" t="n"/>
      <c r="G13" s="8" t="n"/>
      <c r="H13" s="8" t="n"/>
      <c r="I13" s="9" t="n"/>
      <c r="J13" s="10">
        <f>SUM(D13:I13)</f>
        <v/>
      </c>
      <c r="K13" s="11" t="n"/>
      <c r="L13" s="8" t="n"/>
      <c r="M13" s="8" t="n"/>
      <c r="N13" s="8" t="n"/>
      <c r="O13" s="8" t="n"/>
      <c r="P13" s="9" t="n"/>
      <c r="Q13" s="10">
        <f>SUM(K13:P13)</f>
        <v/>
      </c>
      <c r="R13" s="10">
        <f>J13+Q13</f>
        <v/>
      </c>
      <c r="S13" s="16" t="n"/>
    </row>
    <row r="14" ht="18" customHeight="1" s="43">
      <c r="B14" s="48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3">
      <c r="B15" s="48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3" thickBot="1">
      <c r="B16" s="60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3" thickBot="1">
      <c r="B17" s="59" t="inlineStr">
        <is>
          <t>日本ファブテック/加工BL</t>
        </is>
      </c>
      <c r="C17" s="31" t="inlineStr">
        <is>
          <t>58期</t>
        </is>
      </c>
      <c r="D17" s="8" t="n"/>
      <c r="E17" s="8" t="n"/>
      <c r="F17" s="8" t="n"/>
      <c r="G17" s="8" t="n">
        <v>0.86</v>
      </c>
      <c r="H17" s="8" t="n"/>
      <c r="I17" s="9" t="n"/>
      <c r="J17" s="10" t="n">
        <v>0.86</v>
      </c>
      <c r="K17" s="11" t="n"/>
      <c r="L17" s="8" t="n"/>
      <c r="M17" s="8" t="n"/>
      <c r="N17" s="8" t="n"/>
      <c r="O17" s="8" t="n"/>
      <c r="P17" s="9" t="n"/>
      <c r="Q17" s="10" t="n">
        <v>0</v>
      </c>
      <c r="R17" s="10" t="n">
        <v>0.86</v>
      </c>
      <c r="S17" s="16" t="n"/>
    </row>
    <row r="18" ht="18" customHeight="1" s="43">
      <c r="B18" s="48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3">
      <c r="B19" s="48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3" thickBot="1">
      <c r="B20" s="60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3" thickBot="1">
      <c r="B21" s="59" t="inlineStr">
        <is>
          <t>日本ファブテック/加工イチゴ</t>
        </is>
      </c>
      <c r="C21" s="31" t="inlineStr">
        <is>
          <t>58期</t>
        </is>
      </c>
      <c r="D21" s="8" t="n"/>
      <c r="E21" s="8" t="n"/>
      <c r="F21" s="8" t="n"/>
      <c r="G21" s="8" t="n"/>
      <c r="H21" s="8" t="n"/>
      <c r="I21" s="9" t="n"/>
      <c r="J21" s="10">
        <f>SUM(D21:I21)</f>
        <v/>
      </c>
      <c r="K21" s="11" t="n"/>
      <c r="L21" s="8" t="n"/>
      <c r="M21" s="8" t="n"/>
      <c r="N21" s="8" t="n"/>
      <c r="O21" s="8" t="n"/>
      <c r="P21" s="9" t="n"/>
      <c r="Q21" s="10">
        <f>SUM(K21:P21)</f>
        <v/>
      </c>
      <c r="R21" s="10">
        <f>J21+Q21</f>
        <v/>
      </c>
      <c r="S21" s="16" t="n"/>
    </row>
    <row r="22" ht="18" customHeight="1" s="43">
      <c r="B22" s="48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3">
      <c r="B23" s="48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3" thickBot="1">
      <c r="B24" s="60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3" thickBot="1">
      <c r="B25" s="59" t="inlineStr">
        <is>
          <t>日本ファブテック/加工トマト</t>
        </is>
      </c>
      <c r="C25" s="31" t="inlineStr">
        <is>
          <t>58期</t>
        </is>
      </c>
      <c r="D25" s="8" t="n"/>
      <c r="E25" s="8" t="n"/>
      <c r="F25" s="8" t="n"/>
      <c r="G25" s="8" t="n"/>
      <c r="H25" s="8" t="n"/>
      <c r="I25" s="9" t="n"/>
      <c r="J25" s="10">
        <f>SUM(D25:I25)</f>
        <v/>
      </c>
      <c r="K25" s="11" t="n"/>
      <c r="L25" s="8" t="n"/>
      <c r="M25" s="8" t="n"/>
      <c r="N25" s="8" t="n"/>
      <c r="O25" s="8" t="n"/>
      <c r="P25" s="9" t="n"/>
      <c r="Q25" s="10">
        <f>SUM(K25:P25)</f>
        <v/>
      </c>
      <c r="R25" s="10">
        <f>J25+Q25</f>
        <v/>
      </c>
      <c r="S25" s="16" t="n"/>
    </row>
    <row r="26" ht="18" customHeight="1" s="43">
      <c r="B26" s="48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3">
      <c r="B27" s="48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3" thickBot="1">
      <c r="B28" s="60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3" thickBot="1">
      <c r="B29" s="59" t="inlineStr">
        <is>
          <t>東レ/加工BL</t>
        </is>
      </c>
      <c r="C29" s="31" t="inlineStr">
        <is>
          <t>58期</t>
        </is>
      </c>
      <c r="D29" s="8" t="n"/>
      <c r="E29" s="8" t="n"/>
      <c r="F29" s="8" t="n"/>
      <c r="G29" s="8" t="n">
        <v>12.22</v>
      </c>
      <c r="H29" s="8" t="n"/>
      <c r="I29" s="9" t="n"/>
      <c r="J29" s="10" t="n">
        <v>12.22</v>
      </c>
      <c r="K29" s="11" t="n"/>
      <c r="L29" s="8" t="n"/>
      <c r="M29" s="8" t="n"/>
      <c r="N29" s="8" t="n"/>
      <c r="O29" s="8" t="n"/>
      <c r="P29" s="9" t="n"/>
      <c r="Q29" s="10" t="n">
        <v>0</v>
      </c>
      <c r="R29" s="10" t="n">
        <v>12.22</v>
      </c>
      <c r="S29" s="16" t="n"/>
    </row>
    <row r="30" ht="18" customHeight="1" s="43">
      <c r="B30" s="48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3">
      <c r="B31" s="48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3" thickBot="1">
      <c r="B32" s="60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3" thickBot="1">
      <c r="B33" s="59" t="inlineStr">
        <is>
          <t>東レ/加工イチゴ</t>
        </is>
      </c>
      <c r="C33" s="31" t="inlineStr">
        <is>
          <t>58期</t>
        </is>
      </c>
      <c r="D33" s="8" t="n"/>
      <c r="E33" s="8" t="n"/>
      <c r="F33" s="8" t="n"/>
      <c r="G33" s="8" t="n"/>
      <c r="H33" s="8" t="n"/>
      <c r="I33" s="9" t="n"/>
      <c r="J33" s="10">
        <f>SUM(D33:I33)</f>
        <v/>
      </c>
      <c r="K33" s="11" t="n"/>
      <c r="L33" s="8" t="n"/>
      <c r="M33" s="8" t="n"/>
      <c r="N33" s="8" t="n"/>
      <c r="O33" s="8" t="n"/>
      <c r="P33" s="9" t="n"/>
      <c r="Q33" s="10">
        <f>SUM(K33:P33)</f>
        <v/>
      </c>
      <c r="R33" s="10">
        <f>J33+Q33</f>
        <v/>
      </c>
      <c r="S33" s="16" t="n"/>
    </row>
    <row r="34" ht="18" customHeight="1" s="43">
      <c r="B34" s="48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3">
      <c r="B35" s="48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3" thickBot="1">
      <c r="B36" s="60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3" thickBot="1">
      <c r="B37" s="59" t="inlineStr">
        <is>
          <t>東レ/加工トマト</t>
        </is>
      </c>
      <c r="C37" s="31" t="inlineStr">
        <is>
          <t>58期</t>
        </is>
      </c>
      <c r="D37" s="8" t="n"/>
      <c r="E37" s="8" t="n"/>
      <c r="F37" s="8" t="n"/>
      <c r="G37" s="8" t="n"/>
      <c r="H37" s="8" t="n"/>
      <c r="I37" s="9" t="n"/>
      <c r="J37" s="10">
        <f>SUM(D37:I37)</f>
        <v/>
      </c>
      <c r="K37" s="11" t="n"/>
      <c r="L37" s="8" t="n"/>
      <c r="M37" s="8" t="n"/>
      <c r="N37" s="8" t="n"/>
      <c r="O37" s="8" t="n"/>
      <c r="P37" s="9" t="n"/>
      <c r="Q37" s="10">
        <f>SUM(K37:P37)</f>
        <v/>
      </c>
      <c r="R37" s="10">
        <f>J37+Q37</f>
        <v/>
      </c>
      <c r="S37" s="16" t="n"/>
    </row>
    <row r="38" ht="18" customHeight="1" s="43">
      <c r="B38" s="48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3">
      <c r="B39" s="48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3" thickBot="1">
      <c r="B40" s="60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3" thickBot="1">
      <c r="B41" s="59" t="inlineStr">
        <is>
          <t>日本ロレアル/加工BL</t>
        </is>
      </c>
      <c r="C41" s="31" t="inlineStr">
        <is>
          <t>58期</t>
        </is>
      </c>
      <c r="D41" s="8" t="n"/>
      <c r="E41" s="8" t="n"/>
      <c r="F41" s="8" t="n"/>
      <c r="G41" s="8" t="n">
        <v>1.02</v>
      </c>
      <c r="H41" s="8" t="n"/>
      <c r="I41" s="9" t="n"/>
      <c r="J41" s="10" t="n">
        <v>1.02</v>
      </c>
      <c r="K41" s="11" t="n"/>
      <c r="L41" s="8" t="n"/>
      <c r="M41" s="8" t="n"/>
      <c r="N41" s="8" t="n"/>
      <c r="O41" s="8" t="n"/>
      <c r="P41" s="9" t="n"/>
      <c r="Q41" s="10" t="n">
        <v>0</v>
      </c>
      <c r="R41" s="10" t="n">
        <v>1.02</v>
      </c>
      <c r="S41" s="16" t="n"/>
    </row>
    <row r="42" ht="18" customHeight="1" s="43">
      <c r="B42" s="48" t="n"/>
      <c r="C42" s="7" t="inlineStr">
        <is>
          <t>59期</t>
        </is>
      </c>
      <c r="D42" s="12" t="n"/>
      <c r="E42" s="12" t="n"/>
      <c r="F42" s="12" t="n"/>
      <c r="G42" s="12" t="n"/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3">
      <c r="B43" s="48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3" thickBot="1">
      <c r="B44" s="60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3" thickBot="1">
      <c r="B45" s="59" t="inlineStr">
        <is>
          <t>日本ロレアル/加工イチゴ</t>
        </is>
      </c>
      <c r="C45" s="31" t="inlineStr">
        <is>
          <t>58期</t>
        </is>
      </c>
      <c r="D45" s="8" t="n"/>
      <c r="E45" s="8" t="n"/>
      <c r="F45" s="8" t="n"/>
      <c r="G45" s="8" t="n"/>
      <c r="H45" s="8" t="n"/>
      <c r="I45" s="9" t="n"/>
      <c r="J45" s="10">
        <f>SUM(D45:I45)</f>
        <v/>
      </c>
      <c r="K45" s="11" t="n"/>
      <c r="L45" s="8" t="n"/>
      <c r="M45" s="8" t="n"/>
      <c r="N45" s="8" t="n"/>
      <c r="O45" s="8" t="n"/>
      <c r="P45" s="9" t="n"/>
      <c r="Q45" s="10">
        <f>SUM(K45:P45)</f>
        <v/>
      </c>
      <c r="R45" s="10">
        <f>J45+Q45</f>
        <v/>
      </c>
      <c r="S45" s="16" t="n"/>
    </row>
    <row r="46" ht="18" customHeight="1" s="43">
      <c r="B46" s="48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3">
      <c r="B47" s="48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3" thickBot="1">
      <c r="B48" s="60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3" thickBot="1">
      <c r="B49" s="59" t="inlineStr">
        <is>
          <t>日本ロレアル/加工トマト</t>
        </is>
      </c>
      <c r="C49" s="31" t="inlineStr">
        <is>
          <t>58期</t>
        </is>
      </c>
      <c r="D49" s="8" t="n"/>
      <c r="E49" s="8" t="n"/>
      <c r="F49" s="8" t="n"/>
      <c r="G49" s="8" t="n"/>
      <c r="H49" s="8" t="n"/>
      <c r="I49" s="9" t="n"/>
      <c r="J49" s="10">
        <f>SUM(D49:I49)</f>
        <v/>
      </c>
      <c r="K49" s="11" t="n"/>
      <c r="L49" s="8" t="n"/>
      <c r="M49" s="8" t="n"/>
      <c r="N49" s="8" t="n"/>
      <c r="O49" s="8" t="n"/>
      <c r="P49" s="9" t="n"/>
      <c r="Q49" s="10">
        <f>SUM(K49:P49)</f>
        <v/>
      </c>
      <c r="R49" s="10">
        <f>J49+Q49</f>
        <v/>
      </c>
      <c r="S49" s="16" t="n"/>
    </row>
    <row r="50" ht="18" customHeight="1" s="43">
      <c r="B50" s="48" t="n"/>
      <c r="C50" s="7" t="inlineStr">
        <is>
          <t>59期</t>
        </is>
      </c>
      <c r="D50" s="12" t="n"/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3">
      <c r="B51" s="48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3" thickBot="1">
      <c r="B52" s="60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3" thickBot="1">
      <c r="B53" s="59" t="inlineStr">
        <is>
          <t>サンセイランディック/加工BL</t>
        </is>
      </c>
      <c r="C53" s="31" t="inlineStr">
        <is>
          <t>58期</t>
        </is>
      </c>
      <c r="D53" s="8" t="n"/>
      <c r="E53" s="8" t="n"/>
      <c r="F53" s="8" t="n"/>
      <c r="G53" s="8" t="n">
        <v>2.92</v>
      </c>
      <c r="H53" s="8" t="n"/>
      <c r="I53" s="9" t="n"/>
      <c r="J53" s="10" t="n">
        <v>2.92</v>
      </c>
      <c r="K53" s="11" t="n"/>
      <c r="L53" s="8" t="n"/>
      <c r="M53" s="8" t="n"/>
      <c r="N53" s="8" t="n"/>
      <c r="O53" s="8" t="n"/>
      <c r="P53" s="9" t="n"/>
      <c r="Q53" s="10" t="n">
        <v>0</v>
      </c>
      <c r="R53" s="10" t="n">
        <v>2.92</v>
      </c>
      <c r="S53" s="16" t="n"/>
    </row>
    <row r="54" ht="18" customHeight="1" s="43">
      <c r="B54" s="48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3">
      <c r="B55" s="48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3" thickBot="1">
      <c r="B56" s="60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3" thickBot="1">
      <c r="B57" s="59" t="inlineStr">
        <is>
          <t>サンセイランディック/加工イチゴ</t>
        </is>
      </c>
      <c r="C57" s="31" t="inlineStr">
        <is>
          <t>58期</t>
        </is>
      </c>
      <c r="D57" s="8" t="n"/>
      <c r="E57" s="8" t="n"/>
      <c r="F57" s="8" t="n"/>
      <c r="G57" s="8" t="n"/>
      <c r="H57" s="8" t="n"/>
      <c r="I57" s="9" t="n"/>
      <c r="J57" s="10">
        <f>SUM(D57:I57)</f>
        <v/>
      </c>
      <c r="K57" s="11" t="n"/>
      <c r="L57" s="8" t="n"/>
      <c r="M57" s="8" t="n"/>
      <c r="N57" s="8" t="n"/>
      <c r="O57" s="8" t="n"/>
      <c r="P57" s="9" t="n"/>
      <c r="Q57" s="10">
        <f>SUM(K57:P57)</f>
        <v/>
      </c>
      <c r="R57" s="10">
        <f>J57+Q57</f>
        <v/>
      </c>
      <c r="S57" s="16" t="n"/>
    </row>
    <row r="58" ht="18" customHeight="1" s="43">
      <c r="B58" s="48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3">
      <c r="B59" s="48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3" thickBot="1">
      <c r="B60" s="60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3" thickBot="1">
      <c r="B61" s="59" t="inlineStr">
        <is>
          <t>サンセイランディック/加工トマト</t>
        </is>
      </c>
      <c r="C61" s="31" t="inlineStr">
        <is>
          <t>58期</t>
        </is>
      </c>
      <c r="D61" s="8" t="n"/>
      <c r="E61" s="8" t="n"/>
      <c r="F61" s="8" t="n"/>
      <c r="G61" s="8" t="n"/>
      <c r="H61" s="8" t="n"/>
      <c r="I61" s="9" t="n"/>
      <c r="J61" s="10">
        <f>SUM(D61:I61)</f>
        <v/>
      </c>
      <c r="K61" s="11" t="n"/>
      <c r="L61" s="8" t="n"/>
      <c r="M61" s="8" t="n"/>
      <c r="N61" s="8" t="n"/>
      <c r="O61" s="8" t="n"/>
      <c r="P61" s="9" t="n"/>
      <c r="Q61" s="10">
        <f>SUM(K61:P61)</f>
        <v/>
      </c>
      <c r="R61" s="10">
        <f>J61+Q61</f>
        <v/>
      </c>
      <c r="S61" s="16" t="n"/>
    </row>
    <row r="62" ht="18" customHeight="1" s="43">
      <c r="B62" s="48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3">
      <c r="B63" s="48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3" thickBot="1">
      <c r="B64" s="60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3" thickBot="1">
      <c r="B65" s="59" t="inlineStr">
        <is>
          <t>昭和女子/加工BL</t>
        </is>
      </c>
      <c r="C65" s="31" t="inlineStr">
        <is>
          <t>58期</t>
        </is>
      </c>
      <c r="D65" s="8" t="n"/>
      <c r="E65" s="8" t="n"/>
      <c r="F65" s="8" t="n"/>
      <c r="G65" s="8" t="n">
        <v>3.66</v>
      </c>
      <c r="H65" s="8" t="n"/>
      <c r="I65" s="9" t="n"/>
      <c r="J65" s="10" t="n">
        <v>3.66</v>
      </c>
      <c r="K65" s="11" t="n"/>
      <c r="L65" s="8" t="n"/>
      <c r="M65" s="8" t="n"/>
      <c r="N65" s="8" t="n"/>
      <c r="O65" s="8" t="n"/>
      <c r="P65" s="9" t="n"/>
      <c r="Q65" s="10" t="n">
        <v>0</v>
      </c>
      <c r="R65" s="10" t="n">
        <v>3.66</v>
      </c>
      <c r="S65" s="16" t="n"/>
    </row>
    <row r="66" ht="18" customHeight="1" s="43">
      <c r="B66" s="48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3">
      <c r="B67" s="48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3" thickBot="1">
      <c r="B68" s="60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3" thickBot="1">
      <c r="B69" s="59" t="inlineStr">
        <is>
          <t>昭和女子/加工イチゴ</t>
        </is>
      </c>
      <c r="C69" s="31" t="inlineStr">
        <is>
          <t>58期</t>
        </is>
      </c>
      <c r="D69" s="8" t="n"/>
      <c r="E69" s="8" t="n"/>
      <c r="F69" s="8" t="n"/>
      <c r="G69" s="8" t="n"/>
      <c r="H69" s="8" t="n"/>
      <c r="I69" s="9" t="n"/>
      <c r="J69" s="10">
        <f>SUM(D69:I69)</f>
        <v/>
      </c>
      <c r="K69" s="11" t="n"/>
      <c r="L69" s="8" t="n"/>
      <c r="M69" s="8" t="n"/>
      <c r="N69" s="8" t="n"/>
      <c r="O69" s="8" t="n"/>
      <c r="P69" s="9" t="n"/>
      <c r="Q69" s="10">
        <f>SUM(K69:P69)</f>
        <v/>
      </c>
      <c r="R69" s="10">
        <f>J69+Q69</f>
        <v/>
      </c>
      <c r="S69" s="16" t="n"/>
    </row>
    <row r="70" ht="18" customHeight="1" s="43">
      <c r="B70" s="48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3">
      <c r="B71" s="48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3" thickBot="1">
      <c r="B72" s="60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3" thickBot="1">
      <c r="B73" s="59" t="inlineStr">
        <is>
          <t>昭和女子/加工トマト</t>
        </is>
      </c>
      <c r="C73" s="31" t="inlineStr">
        <is>
          <t>58期</t>
        </is>
      </c>
      <c r="D73" s="8" t="n"/>
      <c r="E73" s="8" t="n"/>
      <c r="F73" s="8" t="n"/>
      <c r="G73" s="8" t="n"/>
      <c r="H73" s="8" t="n"/>
      <c r="I73" s="9" t="n"/>
      <c r="J73" s="10">
        <f>SUM(D73:I73)</f>
        <v/>
      </c>
      <c r="K73" s="11" t="n"/>
      <c r="L73" s="8" t="n"/>
      <c r="M73" s="8" t="n"/>
      <c r="N73" s="8" t="n"/>
      <c r="O73" s="8" t="n"/>
      <c r="P73" s="9" t="n"/>
      <c r="Q73" s="10">
        <f>SUM(K73:P73)</f>
        <v/>
      </c>
      <c r="R73" s="10">
        <f>J73+Q73</f>
        <v/>
      </c>
      <c r="S73" s="16" t="n"/>
    </row>
    <row r="74" ht="18" customHeight="1" s="43">
      <c r="B74" s="48" t="n"/>
      <c r="C74" s="7" t="inlineStr">
        <is>
          <t>59期</t>
        </is>
      </c>
      <c r="D74" s="12" t="n"/>
      <c r="E74" s="12" t="n"/>
      <c r="F74" s="12" t="n"/>
      <c r="G74" s="12" t="n"/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3">
      <c r="B75" s="48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3" thickBot="1">
      <c r="B76" s="60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3" thickBot="1">
      <c r="B77" s="59" t="inlineStr">
        <is>
          <t>QB/加工BL</t>
        </is>
      </c>
      <c r="C77" s="31" t="inlineStr">
        <is>
          <t>58期</t>
        </is>
      </c>
      <c r="D77" s="8" t="n"/>
      <c r="E77" s="8" t="n"/>
      <c r="F77" s="8" t="n"/>
      <c r="G77" s="8" t="n">
        <v>6.67</v>
      </c>
      <c r="H77" s="8" t="n"/>
      <c r="I77" s="9" t="n"/>
      <c r="J77" s="10" t="n">
        <v>6.67</v>
      </c>
      <c r="K77" s="11" t="n"/>
      <c r="L77" s="8" t="n"/>
      <c r="M77" s="8" t="n"/>
      <c r="N77" s="8" t="n"/>
      <c r="O77" s="8" t="n"/>
      <c r="P77" s="9" t="n"/>
      <c r="Q77" s="10" t="n">
        <v>0</v>
      </c>
      <c r="R77" s="10" t="n">
        <v>6.67</v>
      </c>
      <c r="S77" s="16" t="n"/>
    </row>
    <row r="78" ht="18" customHeight="1" s="43">
      <c r="B78" s="48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3">
      <c r="B79" s="48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3" thickBot="1">
      <c r="B80" s="60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3" thickBot="1">
      <c r="B81" s="59" t="inlineStr">
        <is>
          <t>QB/加工イチゴ</t>
        </is>
      </c>
      <c r="C81" s="31" t="inlineStr">
        <is>
          <t>58期</t>
        </is>
      </c>
      <c r="D81" s="8" t="n"/>
      <c r="E81" s="8" t="n"/>
      <c r="F81" s="8" t="n"/>
      <c r="G81" s="8" t="n"/>
      <c r="H81" s="8" t="n"/>
      <c r="I81" s="9" t="n"/>
      <c r="J81" s="10">
        <f>SUM(D81:I81)</f>
        <v/>
      </c>
      <c r="K81" s="11" t="n"/>
      <c r="L81" s="8" t="n"/>
      <c r="M81" s="8" t="n"/>
      <c r="N81" s="8" t="n"/>
      <c r="O81" s="8" t="n"/>
      <c r="P81" s="9" t="n"/>
      <c r="Q81" s="10">
        <f>SUM(K81:P81)</f>
        <v/>
      </c>
      <c r="R81" s="10">
        <f>J81+Q81</f>
        <v/>
      </c>
      <c r="S81" s="16" t="n"/>
    </row>
    <row r="82" ht="18" customHeight="1" s="43">
      <c r="B82" s="48" t="n"/>
      <c r="C82" s="7" t="inlineStr">
        <is>
          <t>59期</t>
        </is>
      </c>
      <c r="D82" s="12" t="n"/>
      <c r="E82" s="12" t="n"/>
      <c r="F82" s="12" t="n"/>
      <c r="G82" s="12" t="n"/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3">
      <c r="B83" s="48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3" thickBot="1">
      <c r="B84" s="60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3" thickBot="1">
      <c r="B85" s="59" t="inlineStr">
        <is>
          <t>QB/加工トマト</t>
        </is>
      </c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>
        <f>SUM(D85:I85)</f>
        <v/>
      </c>
      <c r="K85" s="11" t="n"/>
      <c r="L85" s="8" t="n"/>
      <c r="M85" s="8" t="n"/>
      <c r="N85" s="8" t="n"/>
      <c r="O85" s="8" t="n"/>
      <c r="P85" s="9" t="n"/>
      <c r="Q85" s="10">
        <f>SUM(K85:P85)</f>
        <v/>
      </c>
      <c r="R85" s="10">
        <f>J85+Q85</f>
        <v/>
      </c>
      <c r="S85" s="16" t="n"/>
    </row>
    <row r="86" ht="18" customHeight="1" s="43">
      <c r="B86" s="48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3">
      <c r="B87" s="48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3" thickBot="1">
      <c r="B88" s="60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3" thickBot="1">
      <c r="B89" s="59" t="inlineStr">
        <is>
          <t>NaITO/加工BL</t>
        </is>
      </c>
      <c r="C89" s="31" t="inlineStr">
        <is>
          <t>58期</t>
        </is>
      </c>
      <c r="D89" s="8" t="n"/>
      <c r="E89" s="8" t="n"/>
      <c r="F89" s="8" t="n"/>
      <c r="G89" s="8" t="n">
        <v>2.3</v>
      </c>
      <c r="H89" s="8" t="n"/>
      <c r="I89" s="9" t="n"/>
      <c r="J89" s="10" t="n">
        <v>2.3</v>
      </c>
      <c r="K89" s="11" t="n"/>
      <c r="L89" s="8" t="n"/>
      <c r="M89" s="8" t="n"/>
      <c r="N89" s="8" t="n"/>
      <c r="O89" s="8" t="n"/>
      <c r="P89" s="9" t="n"/>
      <c r="Q89" s="10" t="n">
        <v>0</v>
      </c>
      <c r="R89" s="10" t="n">
        <v>2.3</v>
      </c>
      <c r="S89" s="16" t="n"/>
    </row>
    <row r="90" ht="18" customHeight="1" s="43">
      <c r="B90" s="48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3">
      <c r="B91" s="48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3" thickBot="1">
      <c r="B92" s="60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3" thickBot="1">
      <c r="B93" s="59" t="inlineStr">
        <is>
          <t>NaITO/加工イチゴ</t>
        </is>
      </c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>
        <f>SUM(D93:I93)</f>
        <v/>
      </c>
      <c r="K93" s="11" t="n"/>
      <c r="L93" s="8" t="n"/>
      <c r="M93" s="8" t="n"/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3">
      <c r="B94" s="48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3">
      <c r="B95" s="48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3" thickBot="1">
      <c r="B96" s="60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3" thickBot="1">
      <c r="B97" s="59" t="inlineStr">
        <is>
          <t>NaITO/加工トマト</t>
        </is>
      </c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/>
      <c r="N97" s="8" t="n"/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3">
      <c r="B98" s="48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3">
      <c r="B99" s="48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3" thickBot="1">
      <c r="B100" s="60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3" thickBot="1">
      <c r="B101" s="59" t="inlineStr">
        <is>
          <t>バリュエンス/加工BL</t>
        </is>
      </c>
      <c r="C101" s="31" t="inlineStr">
        <is>
          <t>58期</t>
        </is>
      </c>
      <c r="D101" s="8" t="n"/>
      <c r="E101" s="8" t="n"/>
      <c r="F101" s="8" t="n"/>
      <c r="G101" s="8" t="n">
        <v>2.82</v>
      </c>
      <c r="H101" s="8" t="n"/>
      <c r="I101" s="9" t="n"/>
      <c r="J101" s="10" t="n">
        <v>2.82</v>
      </c>
      <c r="K101" s="11" t="n"/>
      <c r="L101" s="8" t="n"/>
      <c r="M101" s="8" t="n"/>
      <c r="N101" s="8" t="n"/>
      <c r="O101" s="8" t="n"/>
      <c r="P101" s="9" t="n"/>
      <c r="Q101" s="10" t="n">
        <v>0</v>
      </c>
      <c r="R101" s="10" t="n">
        <v>2.82</v>
      </c>
      <c r="S101" s="16" t="n"/>
    </row>
    <row r="102" ht="18" customHeight="1" s="43">
      <c r="B102" s="48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3">
      <c r="B103" s="48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3" thickBot="1">
      <c r="B104" s="60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3" thickBot="1">
      <c r="B105" s="59" t="inlineStr">
        <is>
          <t>バリュエンス/加工イチゴ</t>
        </is>
      </c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>
        <f>SUM(D105:I105)</f>
        <v/>
      </c>
      <c r="K105" s="11" t="n"/>
      <c r="L105" s="8" t="n"/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3">
      <c r="B106" s="48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3">
      <c r="B107" s="48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3" thickBot="1">
      <c r="B108" s="60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3" thickBot="1">
      <c r="B109" s="59" t="inlineStr">
        <is>
          <t>バリュエンス/加工トマト</t>
        </is>
      </c>
      <c r="C109" s="31" t="inlineStr">
        <is>
          <t>58期</t>
        </is>
      </c>
      <c r="D109" s="8" t="n"/>
      <c r="E109" s="8" t="n"/>
      <c r="F109" s="8" t="n"/>
      <c r="G109" s="8" t="n"/>
      <c r="H109" s="8" t="n"/>
      <c r="I109" s="9" t="n"/>
      <c r="J109" s="10">
        <f>SUM(D109:I109)</f>
        <v/>
      </c>
      <c r="K109" s="11" t="n"/>
      <c r="L109" s="8" t="n"/>
      <c r="M109" s="8" t="n"/>
      <c r="N109" s="8" t="n"/>
      <c r="O109" s="8" t="n"/>
      <c r="P109" s="9" t="n"/>
      <c r="Q109" s="10">
        <f>SUM(K109:P109)</f>
        <v/>
      </c>
      <c r="R109" s="10">
        <f>J109+Q109</f>
        <v/>
      </c>
      <c r="S109" s="16" t="n"/>
    </row>
    <row r="110" ht="18" customHeight="1" s="43">
      <c r="B110" s="48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SUM(D110:I110)</f>
        <v/>
      </c>
      <c r="K110" s="15" t="n"/>
      <c r="L110" s="12" t="n"/>
      <c r="M110" s="12" t="n"/>
      <c r="N110" s="12" t="n"/>
      <c r="O110" s="12" t="n"/>
      <c r="P110" s="13" t="n"/>
      <c r="Q110" s="14">
        <f>SUM(K110:P110)</f>
        <v/>
      </c>
      <c r="R110" s="14">
        <f>J110+Q110</f>
        <v/>
      </c>
      <c r="S110" s="17" t="n"/>
    </row>
    <row r="111" ht="18" customHeight="1" s="43">
      <c r="B111" s="48" t="n"/>
      <c r="C111" s="23" t="inlineStr">
        <is>
          <t>増　減</t>
        </is>
      </c>
      <c r="D111" s="24">
        <f>D110-D109</f>
        <v/>
      </c>
      <c r="E111" s="24">
        <f>E110-E109</f>
        <v/>
      </c>
      <c r="F111" s="24">
        <f>F110-F109</f>
        <v/>
      </c>
      <c r="G111" s="24">
        <f>G110-G109</f>
        <v/>
      </c>
      <c r="H111" s="24">
        <f>H110-H109</f>
        <v/>
      </c>
      <c r="I111" s="27">
        <f>I110-I109</f>
        <v/>
      </c>
      <c r="J111" s="30">
        <f>SUM(D111:I111)</f>
        <v/>
      </c>
      <c r="K111" s="29">
        <f>K110-K109</f>
        <v/>
      </c>
      <c r="L111" s="24">
        <f>L110-L109</f>
        <v/>
      </c>
      <c r="M111" s="24">
        <f>M110-M109</f>
        <v/>
      </c>
      <c r="N111" s="24">
        <f>N110-N109</f>
        <v/>
      </c>
      <c r="O111" s="24">
        <f>O110-O109</f>
        <v/>
      </c>
      <c r="P111" s="27">
        <f>P110-P109</f>
        <v/>
      </c>
      <c r="Q111" s="30">
        <f>SUM(K111:P111)</f>
        <v/>
      </c>
      <c r="R111" s="30">
        <f>J111+Q111</f>
        <v/>
      </c>
      <c r="S111" s="17" t="n"/>
    </row>
    <row r="112" ht="18" customHeight="1" s="43" thickBot="1">
      <c r="B112" s="60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I112</f>
        <v/>
      </c>
      <c r="K112" s="22" t="n"/>
      <c r="L112" s="20" t="n"/>
      <c r="M112" s="20" t="n"/>
      <c r="N112" s="20" t="n"/>
      <c r="O112" s="20" t="n"/>
      <c r="P112" s="28" t="n"/>
      <c r="Q112" s="21">
        <f>P112</f>
        <v/>
      </c>
      <c r="R112" s="21">
        <f>Q112</f>
        <v/>
      </c>
      <c r="S112" s="18" t="n"/>
    </row>
    <row r="113" ht="18" customHeight="1" s="43" thickBot="1">
      <c r="B113" s="59" t="inlineStr">
        <is>
          <t>Adobe/加工BL</t>
        </is>
      </c>
      <c r="C113" s="31" t="inlineStr">
        <is>
          <t>58期</t>
        </is>
      </c>
      <c r="D113" s="8" t="n"/>
      <c r="E113" s="8" t="n"/>
      <c r="F113" s="8" t="n"/>
      <c r="G113" s="8" t="n">
        <v>0.18</v>
      </c>
      <c r="H113" s="8" t="n"/>
      <c r="I113" s="9" t="n"/>
      <c r="J113" s="10" t="n">
        <v>0.18</v>
      </c>
      <c r="K113" s="11" t="n"/>
      <c r="L113" s="8" t="n"/>
      <c r="M113" s="8" t="n"/>
      <c r="N113" s="8" t="n"/>
      <c r="O113" s="8" t="n"/>
      <c r="P113" s="9" t="n"/>
      <c r="Q113" s="10" t="n">
        <v>0</v>
      </c>
      <c r="R113" s="10" t="n">
        <v>0.18</v>
      </c>
      <c r="S113" s="16" t="n"/>
    </row>
    <row r="114" ht="18" customHeight="1" s="43">
      <c r="B114" s="48" t="n"/>
      <c r="C114" s="7" t="inlineStr">
        <is>
          <t>59期</t>
        </is>
      </c>
      <c r="D114" s="12" t="n"/>
      <c r="E114" s="12" t="n"/>
      <c r="F114" s="12" t="n"/>
      <c r="G114" s="12" t="n"/>
      <c r="H114" s="12" t="n"/>
      <c r="I114" s="13" t="n"/>
      <c r="J114" s="14">
        <f>SUM(D114:I114)</f>
        <v/>
      </c>
      <c r="K114" s="15" t="n"/>
      <c r="L114" s="12" t="n"/>
      <c r="M114" s="12" t="n"/>
      <c r="N114" s="12" t="n"/>
      <c r="O114" s="12" t="n"/>
      <c r="P114" s="13" t="n"/>
      <c r="Q114" s="14">
        <f>SUM(K114:P114)</f>
        <v/>
      </c>
      <c r="R114" s="14">
        <f>J114+Q114</f>
        <v/>
      </c>
      <c r="S114" s="17" t="n"/>
    </row>
    <row r="115" ht="18" customHeight="1" s="43">
      <c r="B115" s="48" t="n"/>
      <c r="C115" s="23" t="inlineStr">
        <is>
          <t>増　減</t>
        </is>
      </c>
      <c r="D115" s="24">
        <f>D114-D113</f>
        <v/>
      </c>
      <c r="E115" s="24">
        <f>E114-E113</f>
        <v/>
      </c>
      <c r="F115" s="24">
        <f>F114-F113</f>
        <v/>
      </c>
      <c r="G115" s="24">
        <f>G114-G113</f>
        <v/>
      </c>
      <c r="H115" s="24">
        <f>H114-H113</f>
        <v/>
      </c>
      <c r="I115" s="27">
        <f>I114-I113</f>
        <v/>
      </c>
      <c r="J115" s="30">
        <f>SUM(D115:I115)</f>
        <v/>
      </c>
      <c r="K115" s="29">
        <f>K114-K113</f>
        <v/>
      </c>
      <c r="L115" s="24">
        <f>L114-L113</f>
        <v/>
      </c>
      <c r="M115" s="24">
        <f>M114-M113</f>
        <v/>
      </c>
      <c r="N115" s="24">
        <f>N114-N113</f>
        <v/>
      </c>
      <c r="O115" s="24">
        <f>O114-O113</f>
        <v/>
      </c>
      <c r="P115" s="27">
        <f>P114-P113</f>
        <v/>
      </c>
      <c r="Q115" s="30">
        <f>SUM(K115:P115)</f>
        <v/>
      </c>
      <c r="R115" s="30">
        <f>J115+Q115</f>
        <v/>
      </c>
      <c r="S115" s="17" t="n"/>
    </row>
    <row r="116" ht="18" customHeight="1" s="43" thickBot="1">
      <c r="B116" s="60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I116</f>
        <v/>
      </c>
      <c r="K116" s="22" t="n"/>
      <c r="L116" s="20" t="n"/>
      <c r="M116" s="20" t="n"/>
      <c r="N116" s="20" t="n"/>
      <c r="O116" s="20" t="n"/>
      <c r="P116" s="28" t="n"/>
      <c r="Q116" s="21">
        <f>P116</f>
        <v/>
      </c>
      <c r="R116" s="21">
        <f>Q116</f>
        <v/>
      </c>
      <c r="S116" s="18" t="n"/>
    </row>
    <row r="117" ht="18" customHeight="1" s="43" thickBot="1">
      <c r="B117" s="59" t="inlineStr">
        <is>
          <t>Adobe/加工イチゴ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/>
      <c r="I117" s="9" t="n"/>
      <c r="J117" s="10">
        <f>SUM(D117:I117)</f>
        <v/>
      </c>
      <c r="K117" s="11" t="n"/>
      <c r="L117" s="8" t="n"/>
      <c r="M117" s="8" t="n"/>
      <c r="N117" s="8" t="n"/>
      <c r="O117" s="8" t="n"/>
      <c r="P117" s="9" t="n"/>
      <c r="Q117" s="10">
        <f>SUM(K117:P117)</f>
        <v/>
      </c>
      <c r="R117" s="10">
        <f>J117+Q117</f>
        <v/>
      </c>
      <c r="S117" s="16" t="n"/>
    </row>
    <row r="118" ht="18" customHeight="1" s="43">
      <c r="B118" s="48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SUM(D118:I118)</f>
        <v/>
      </c>
      <c r="K118" s="15" t="n"/>
      <c r="L118" s="12" t="n"/>
      <c r="M118" s="12" t="n"/>
      <c r="N118" s="12" t="n"/>
      <c r="O118" s="12" t="n"/>
      <c r="P118" s="13" t="n"/>
      <c r="Q118" s="14">
        <f>SUM(K118:P118)</f>
        <v/>
      </c>
      <c r="R118" s="14">
        <f>J118+Q118</f>
        <v/>
      </c>
      <c r="S118" s="17" t="n"/>
    </row>
    <row r="119" ht="18" customHeight="1" s="43">
      <c r="B119" s="48" t="n"/>
      <c r="C119" s="23" t="inlineStr">
        <is>
          <t>増　減</t>
        </is>
      </c>
      <c r="D119" s="24">
        <f>D118-D117</f>
        <v/>
      </c>
      <c r="E119" s="24">
        <f>E118-E117</f>
        <v/>
      </c>
      <c r="F119" s="24">
        <f>F118-F117</f>
        <v/>
      </c>
      <c r="G119" s="24">
        <f>G118-G117</f>
        <v/>
      </c>
      <c r="H119" s="24">
        <f>H118-H117</f>
        <v/>
      </c>
      <c r="I119" s="27">
        <f>I118-I117</f>
        <v/>
      </c>
      <c r="J119" s="30">
        <f>SUM(D119:I119)</f>
        <v/>
      </c>
      <c r="K119" s="29">
        <f>K118-K117</f>
        <v/>
      </c>
      <c r="L119" s="24">
        <f>L118-L117</f>
        <v/>
      </c>
      <c r="M119" s="24">
        <f>M118-M117</f>
        <v/>
      </c>
      <c r="N119" s="24">
        <f>N118-N117</f>
        <v/>
      </c>
      <c r="O119" s="24">
        <f>O118-O117</f>
        <v/>
      </c>
      <c r="P119" s="27">
        <f>P118-P117</f>
        <v/>
      </c>
      <c r="Q119" s="30">
        <f>SUM(K119:P119)</f>
        <v/>
      </c>
      <c r="R119" s="30">
        <f>J119+Q119</f>
        <v/>
      </c>
      <c r="S119" s="17" t="n"/>
    </row>
    <row r="120" ht="18" customHeight="1" s="43" thickBot="1">
      <c r="B120" s="60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I120</f>
        <v/>
      </c>
      <c r="K120" s="22" t="n"/>
      <c r="L120" s="20" t="n"/>
      <c r="M120" s="20" t="n"/>
      <c r="N120" s="20" t="n"/>
      <c r="O120" s="20" t="n"/>
      <c r="P120" s="28" t="n"/>
      <c r="Q120" s="21">
        <f>P120</f>
        <v/>
      </c>
      <c r="R120" s="21">
        <f>Q120</f>
        <v/>
      </c>
      <c r="S120" s="18" t="n"/>
    </row>
    <row r="121" ht="18" customHeight="1" s="43" thickBot="1">
      <c r="B121" s="59" t="inlineStr">
        <is>
          <t>Adobe/加工トマト</t>
        </is>
      </c>
      <c r="C121" s="31" t="inlineStr">
        <is>
          <t>58期</t>
        </is>
      </c>
      <c r="D121" s="8" t="n"/>
      <c r="E121" s="8" t="n"/>
      <c r="F121" s="8" t="n"/>
      <c r="G121" s="8" t="n"/>
      <c r="H121" s="8" t="n"/>
      <c r="I121" s="9" t="n"/>
      <c r="J121" s="10">
        <f>SUM(D121:I121)</f>
        <v/>
      </c>
      <c r="K121" s="11" t="n"/>
      <c r="L121" s="8" t="n"/>
      <c r="M121" s="8" t="n"/>
      <c r="N121" s="8" t="n"/>
      <c r="O121" s="8" t="n"/>
      <c r="P121" s="9" t="n"/>
      <c r="Q121" s="10">
        <f>SUM(K121:P121)</f>
        <v/>
      </c>
      <c r="R121" s="10">
        <f>J121+Q121</f>
        <v/>
      </c>
      <c r="S121" s="16" t="n"/>
    </row>
    <row r="122" ht="18" customHeight="1" s="43">
      <c r="B122" s="48" t="n"/>
      <c r="C122" s="7" t="inlineStr">
        <is>
          <t>59期</t>
        </is>
      </c>
      <c r="D122" s="12" t="n"/>
      <c r="E122" s="12" t="n"/>
      <c r="F122" s="12" t="n"/>
      <c r="G122" s="12" t="n"/>
      <c r="H122" s="12" t="n"/>
      <c r="I122" s="13" t="n"/>
      <c r="J122" s="14">
        <f>SUM(D122:I122)</f>
        <v/>
      </c>
      <c r="K122" s="15" t="n"/>
      <c r="L122" s="12" t="n"/>
      <c r="M122" s="12" t="n"/>
      <c r="N122" s="12" t="n"/>
      <c r="O122" s="12" t="n"/>
      <c r="P122" s="13" t="n"/>
      <c r="Q122" s="14">
        <f>SUM(K122:P122)</f>
        <v/>
      </c>
      <c r="R122" s="14">
        <f>J122+Q122</f>
        <v/>
      </c>
      <c r="S122" s="17" t="n"/>
    </row>
    <row r="123" ht="18" customHeight="1" s="43">
      <c r="B123" s="48" t="n"/>
      <c r="C123" s="23" t="inlineStr">
        <is>
          <t>増　減</t>
        </is>
      </c>
      <c r="D123" s="24">
        <f>D122-D121</f>
        <v/>
      </c>
      <c r="E123" s="24">
        <f>E122-E121</f>
        <v/>
      </c>
      <c r="F123" s="24">
        <f>F122-F121</f>
        <v/>
      </c>
      <c r="G123" s="24">
        <f>G122-G121</f>
        <v/>
      </c>
      <c r="H123" s="24">
        <f>H122-H121</f>
        <v/>
      </c>
      <c r="I123" s="27">
        <f>I122-I121</f>
        <v/>
      </c>
      <c r="J123" s="30">
        <f>SUM(D123:I123)</f>
        <v/>
      </c>
      <c r="K123" s="29">
        <f>K122-K121</f>
        <v/>
      </c>
      <c r="L123" s="24">
        <f>L122-L121</f>
        <v/>
      </c>
      <c r="M123" s="24">
        <f>M122-M121</f>
        <v/>
      </c>
      <c r="N123" s="24">
        <f>N122-N121</f>
        <v/>
      </c>
      <c r="O123" s="24">
        <f>O122-O121</f>
        <v/>
      </c>
      <c r="P123" s="27">
        <f>P122-P121</f>
        <v/>
      </c>
      <c r="Q123" s="30">
        <f>SUM(K123:P123)</f>
        <v/>
      </c>
      <c r="R123" s="30">
        <f>J123+Q123</f>
        <v/>
      </c>
      <c r="S123" s="17" t="n"/>
    </row>
    <row r="124" ht="18" customHeight="1" s="43" thickBot="1">
      <c r="B124" s="60" t="n"/>
      <c r="C124" s="25" t="inlineStr">
        <is>
          <t>稼働棟数</t>
        </is>
      </c>
      <c r="D124" s="20" t="n"/>
      <c r="E124" s="20" t="n"/>
      <c r="F124" s="20" t="n"/>
      <c r="G124" s="20" t="n"/>
      <c r="H124" s="20" t="n"/>
      <c r="I124" s="28" t="n"/>
      <c r="J124" s="21">
        <f>I124</f>
        <v/>
      </c>
      <c r="K124" s="22" t="n"/>
      <c r="L124" s="20" t="n"/>
      <c r="M124" s="20" t="n"/>
      <c r="N124" s="20" t="n"/>
      <c r="O124" s="20" t="n"/>
      <c r="P124" s="28" t="n"/>
      <c r="Q124" s="21">
        <f>P124</f>
        <v/>
      </c>
      <c r="R124" s="21">
        <f>Q124</f>
        <v/>
      </c>
      <c r="S124" s="18" t="n"/>
    </row>
    <row r="125" ht="18" customHeight="1" s="43" thickBot="1">
      <c r="B125" s="59" t="inlineStr">
        <is>
          <t>富士機材/加工BL</t>
        </is>
      </c>
      <c r="C125" s="31" t="inlineStr">
        <is>
          <t>58期</t>
        </is>
      </c>
      <c r="D125" s="8" t="n"/>
      <c r="E125" s="8" t="n"/>
      <c r="F125" s="8" t="n"/>
      <c r="G125" s="8" t="n"/>
      <c r="H125" s="8" t="n"/>
      <c r="I125" s="9" t="n"/>
      <c r="J125" s="10">
        <f>SUM(D125:I125)</f>
        <v/>
      </c>
      <c r="K125" s="11" t="n"/>
      <c r="L125" s="8" t="n"/>
      <c r="M125" s="8" t="n"/>
      <c r="N125" s="8" t="n"/>
      <c r="O125" s="8" t="n"/>
      <c r="P125" s="9" t="n"/>
      <c r="Q125" s="10">
        <f>SUM(K125:P125)</f>
        <v/>
      </c>
      <c r="R125" s="10">
        <f>J125+Q125</f>
        <v/>
      </c>
      <c r="S125" s="16" t="n"/>
    </row>
    <row r="126" ht="18" customHeight="1" s="43">
      <c r="B126" s="48" t="n"/>
      <c r="C126" s="7" t="inlineStr">
        <is>
          <t>59期</t>
        </is>
      </c>
      <c r="D126" s="12" t="n"/>
      <c r="E126" s="12" t="n"/>
      <c r="F126" s="12" t="n"/>
      <c r="G126" s="12" t="n"/>
      <c r="H126" s="12" t="n"/>
      <c r="I126" s="13" t="n"/>
      <c r="J126" s="14">
        <f>SUM(D126:I126)</f>
        <v/>
      </c>
      <c r="K126" s="15" t="n"/>
      <c r="L126" s="12" t="n"/>
      <c r="M126" s="12" t="n"/>
      <c r="N126" s="12" t="n"/>
      <c r="O126" s="12" t="n"/>
      <c r="P126" s="13" t="n"/>
      <c r="Q126" s="14">
        <f>SUM(K126:P126)</f>
        <v/>
      </c>
      <c r="R126" s="14">
        <f>J126+Q126</f>
        <v/>
      </c>
      <c r="S126" s="17" t="n"/>
    </row>
    <row r="127" ht="18" customHeight="1" s="43">
      <c r="B127" s="48" t="n"/>
      <c r="C127" s="23" t="inlineStr">
        <is>
          <t>増　減</t>
        </is>
      </c>
      <c r="D127" s="24">
        <f>D126-D125</f>
        <v/>
      </c>
      <c r="E127" s="24">
        <f>E126-E125</f>
        <v/>
      </c>
      <c r="F127" s="24">
        <f>F126-F125</f>
        <v/>
      </c>
      <c r="G127" s="24">
        <f>G126-G125</f>
        <v/>
      </c>
      <c r="H127" s="24">
        <f>H126-H125</f>
        <v/>
      </c>
      <c r="I127" s="27">
        <f>I126-I125</f>
        <v/>
      </c>
      <c r="J127" s="30">
        <f>SUM(D127:I127)</f>
        <v/>
      </c>
      <c r="K127" s="29">
        <f>K126-K125</f>
        <v/>
      </c>
      <c r="L127" s="24">
        <f>L126-L125</f>
        <v/>
      </c>
      <c r="M127" s="24">
        <f>M126-M125</f>
        <v/>
      </c>
      <c r="N127" s="24">
        <f>N126-N125</f>
        <v/>
      </c>
      <c r="O127" s="24">
        <f>O126-O125</f>
        <v/>
      </c>
      <c r="P127" s="27">
        <f>P126-P125</f>
        <v/>
      </c>
      <c r="Q127" s="30">
        <f>SUM(K127:P127)</f>
        <v/>
      </c>
      <c r="R127" s="30">
        <f>J127+Q127</f>
        <v/>
      </c>
      <c r="S127" s="17" t="n"/>
    </row>
    <row r="128" ht="18" customHeight="1" s="43" thickBot="1">
      <c r="B128" s="60" t="n"/>
      <c r="C128" s="25" t="inlineStr">
        <is>
          <t>稼働棟数</t>
        </is>
      </c>
      <c r="D128" s="20" t="n"/>
      <c r="E128" s="20" t="n"/>
      <c r="F128" s="20" t="n"/>
      <c r="G128" s="20" t="n"/>
      <c r="H128" s="20" t="n"/>
      <c r="I128" s="28" t="n"/>
      <c r="J128" s="21">
        <f>I128</f>
        <v/>
      </c>
      <c r="K128" s="22" t="n"/>
      <c r="L128" s="20" t="n"/>
      <c r="M128" s="20" t="n"/>
      <c r="N128" s="20" t="n"/>
      <c r="O128" s="20" t="n"/>
      <c r="P128" s="28" t="n"/>
      <c r="Q128" s="21">
        <f>P128</f>
        <v/>
      </c>
      <c r="R128" s="21">
        <f>Q128</f>
        <v/>
      </c>
      <c r="S128" s="18" t="n"/>
    </row>
    <row r="129" ht="18" customHeight="1" s="43" thickBot="1">
      <c r="B129" s="59" t="inlineStr">
        <is>
          <t>富士機材/加工イチゴ</t>
        </is>
      </c>
      <c r="C129" s="31" t="inlineStr">
        <is>
          <t>58期</t>
        </is>
      </c>
      <c r="D129" s="8" t="n"/>
      <c r="E129" s="8" t="n"/>
      <c r="F129" s="8" t="n"/>
      <c r="G129" s="8" t="n"/>
      <c r="H129" s="8" t="n"/>
      <c r="I129" s="9" t="n"/>
      <c r="J129" s="10">
        <f>SUM(D129:I129)</f>
        <v/>
      </c>
      <c r="K129" s="11" t="n"/>
      <c r="L129" s="8" t="n"/>
      <c r="M129" s="8" t="n"/>
      <c r="N129" s="8" t="n"/>
      <c r="O129" s="8" t="n"/>
      <c r="P129" s="9" t="n"/>
      <c r="Q129" s="10">
        <f>SUM(K129:P129)</f>
        <v/>
      </c>
      <c r="R129" s="10">
        <f>J129+Q129</f>
        <v/>
      </c>
      <c r="S129" s="16" t="n"/>
    </row>
    <row r="130" ht="18" customHeight="1" s="43">
      <c r="B130" s="48" t="n"/>
      <c r="C130" s="7" t="inlineStr">
        <is>
          <t>59期</t>
        </is>
      </c>
      <c r="D130" s="12" t="n"/>
      <c r="E130" s="12" t="n"/>
      <c r="F130" s="12" t="n"/>
      <c r="G130" s="12" t="n"/>
      <c r="H130" s="12" t="n"/>
      <c r="I130" s="13" t="n"/>
      <c r="J130" s="14">
        <f>SUM(D130:I130)</f>
        <v/>
      </c>
      <c r="K130" s="15" t="n"/>
      <c r="L130" s="12" t="n"/>
      <c r="M130" s="12" t="n"/>
      <c r="N130" s="12" t="n"/>
      <c r="O130" s="12" t="n"/>
      <c r="P130" s="13" t="n"/>
      <c r="Q130" s="14">
        <f>SUM(K130:P130)</f>
        <v/>
      </c>
      <c r="R130" s="14">
        <f>J130+Q130</f>
        <v/>
      </c>
      <c r="S130" s="17" t="n"/>
    </row>
    <row r="131" ht="18" customHeight="1" s="43">
      <c r="B131" s="48" t="n"/>
      <c r="C131" s="23" t="inlineStr">
        <is>
          <t>増　減</t>
        </is>
      </c>
      <c r="D131" s="24">
        <f>D130-D129</f>
        <v/>
      </c>
      <c r="E131" s="24">
        <f>E130-E129</f>
        <v/>
      </c>
      <c r="F131" s="24">
        <f>F130-F129</f>
        <v/>
      </c>
      <c r="G131" s="24">
        <f>G130-G129</f>
        <v/>
      </c>
      <c r="H131" s="24">
        <f>H130-H129</f>
        <v/>
      </c>
      <c r="I131" s="27">
        <f>I130-I129</f>
        <v/>
      </c>
      <c r="J131" s="30">
        <f>SUM(D131:I131)</f>
        <v/>
      </c>
      <c r="K131" s="29">
        <f>K130-K129</f>
        <v/>
      </c>
      <c r="L131" s="24">
        <f>L130-L129</f>
        <v/>
      </c>
      <c r="M131" s="24">
        <f>M130-M129</f>
        <v/>
      </c>
      <c r="N131" s="24">
        <f>N130-N129</f>
        <v/>
      </c>
      <c r="O131" s="24">
        <f>O130-O129</f>
        <v/>
      </c>
      <c r="P131" s="27">
        <f>P130-P129</f>
        <v/>
      </c>
      <c r="Q131" s="30">
        <f>SUM(K131:P131)</f>
        <v/>
      </c>
      <c r="R131" s="30">
        <f>J131+Q131</f>
        <v/>
      </c>
      <c r="S131" s="17" t="n"/>
    </row>
    <row r="132" ht="18" customHeight="1" s="43" thickBot="1">
      <c r="B132" s="60" t="n"/>
      <c r="C132" s="25" t="inlineStr">
        <is>
          <t>稼働棟数</t>
        </is>
      </c>
      <c r="D132" s="20" t="n"/>
      <c r="E132" s="20" t="n"/>
      <c r="F132" s="20" t="n"/>
      <c r="G132" s="20" t="n"/>
      <c r="H132" s="20" t="n"/>
      <c r="I132" s="28" t="n"/>
      <c r="J132" s="21">
        <f>I132</f>
        <v/>
      </c>
      <c r="K132" s="22" t="n"/>
      <c r="L132" s="20" t="n"/>
      <c r="M132" s="20" t="n"/>
      <c r="N132" s="20" t="n"/>
      <c r="O132" s="20" t="n"/>
      <c r="P132" s="28" t="n"/>
      <c r="Q132" s="21">
        <f>P132</f>
        <v/>
      </c>
      <c r="R132" s="21">
        <f>Q132</f>
        <v/>
      </c>
      <c r="S132" s="18" t="n"/>
    </row>
    <row r="133" ht="18" customHeight="1" s="43" thickBot="1">
      <c r="B133" s="59" t="inlineStr">
        <is>
          <t>富士機材/加工トマト</t>
        </is>
      </c>
      <c r="C133" s="31" t="inlineStr">
        <is>
          <t>58期</t>
        </is>
      </c>
      <c r="D133" s="8" t="n"/>
      <c r="E133" s="8" t="n"/>
      <c r="F133" s="8" t="n"/>
      <c r="G133" s="8" t="n"/>
      <c r="H133" s="8" t="n"/>
      <c r="I133" s="9" t="n"/>
      <c r="J133" s="10">
        <f>SUM(D133:I133)</f>
        <v/>
      </c>
      <c r="K133" s="11" t="n"/>
      <c r="L133" s="8" t="n"/>
      <c r="M133" s="8" t="n"/>
      <c r="N133" s="8" t="n"/>
      <c r="O133" s="8" t="n"/>
      <c r="P133" s="9" t="n"/>
      <c r="Q133" s="10">
        <f>SUM(K133:P133)</f>
        <v/>
      </c>
      <c r="R133" s="10">
        <f>J133+Q133</f>
        <v/>
      </c>
      <c r="S133" s="16" t="n"/>
    </row>
    <row r="134" ht="18" customHeight="1" s="43">
      <c r="B134" s="48" t="n"/>
      <c r="C134" s="7" t="inlineStr">
        <is>
          <t>59期</t>
        </is>
      </c>
      <c r="D134" s="12" t="n"/>
      <c r="E134" s="12" t="n"/>
      <c r="F134" s="12" t="n"/>
      <c r="G134" s="12" t="n"/>
      <c r="H134" s="12" t="n"/>
      <c r="I134" s="13" t="n"/>
      <c r="J134" s="14">
        <f>SUM(D134:I134)</f>
        <v/>
      </c>
      <c r="K134" s="15" t="n"/>
      <c r="L134" s="12" t="n"/>
      <c r="M134" s="12" t="n"/>
      <c r="N134" s="12" t="n"/>
      <c r="O134" s="12" t="n"/>
      <c r="P134" s="13" t="n"/>
      <c r="Q134" s="14">
        <f>SUM(K134:P134)</f>
        <v/>
      </c>
      <c r="R134" s="14">
        <f>J134+Q134</f>
        <v/>
      </c>
      <c r="S134" s="17" t="n"/>
    </row>
    <row r="135" ht="18" customHeight="1" s="43">
      <c r="B135" s="48" t="n"/>
      <c r="C135" s="23" t="inlineStr">
        <is>
          <t>増　減</t>
        </is>
      </c>
      <c r="D135" s="24">
        <f>D134-D133</f>
        <v/>
      </c>
      <c r="E135" s="24">
        <f>E134-E133</f>
        <v/>
      </c>
      <c r="F135" s="24">
        <f>F134-F133</f>
        <v/>
      </c>
      <c r="G135" s="24">
        <f>G134-G133</f>
        <v/>
      </c>
      <c r="H135" s="24">
        <f>H134-H133</f>
        <v/>
      </c>
      <c r="I135" s="27">
        <f>I134-I133</f>
        <v/>
      </c>
      <c r="J135" s="30">
        <f>SUM(D135:I135)</f>
        <v/>
      </c>
      <c r="K135" s="29">
        <f>K134-K133</f>
        <v/>
      </c>
      <c r="L135" s="24">
        <f>L134-L133</f>
        <v/>
      </c>
      <c r="M135" s="24">
        <f>M134-M133</f>
        <v/>
      </c>
      <c r="N135" s="24">
        <f>N134-N133</f>
        <v/>
      </c>
      <c r="O135" s="24">
        <f>O134-O133</f>
        <v/>
      </c>
      <c r="P135" s="27">
        <f>P134-P133</f>
        <v/>
      </c>
      <c r="Q135" s="30">
        <f>SUM(K135:P135)</f>
        <v/>
      </c>
      <c r="R135" s="30">
        <f>J135+Q135</f>
        <v/>
      </c>
      <c r="S135" s="17" t="n"/>
    </row>
    <row r="136" ht="18" customHeight="1" s="43" thickBot="1">
      <c r="B136" s="60" t="n"/>
      <c r="C136" s="25" t="inlineStr">
        <is>
          <t>稼働棟数</t>
        </is>
      </c>
      <c r="D136" s="20" t="n"/>
      <c r="E136" s="20" t="n"/>
      <c r="F136" s="20" t="n"/>
      <c r="G136" s="20" t="n"/>
      <c r="H136" s="20" t="n"/>
      <c r="I136" s="28" t="n"/>
      <c r="J136" s="21">
        <f>I136</f>
        <v/>
      </c>
      <c r="K136" s="22" t="n"/>
      <c r="L136" s="20" t="n"/>
      <c r="M136" s="20" t="n"/>
      <c r="N136" s="20" t="n"/>
      <c r="O136" s="20" t="n"/>
      <c r="P136" s="28" t="n"/>
      <c r="Q136" s="21">
        <f>P136</f>
        <v/>
      </c>
      <c r="R136" s="21">
        <f>Q136</f>
        <v/>
      </c>
      <c r="S136" s="18" t="n"/>
    </row>
    <row r="137" ht="18" customHeight="1" s="43" thickBot="1">
      <c r="B137" s="59" t="inlineStr">
        <is>
          <t>マルテー/加工BL</t>
        </is>
      </c>
      <c r="C137" s="31" t="inlineStr">
        <is>
          <t>58期</t>
        </is>
      </c>
      <c r="D137" s="8" t="n"/>
      <c r="E137" s="8" t="n"/>
      <c r="F137" s="8" t="n"/>
      <c r="G137" s="8" t="n"/>
      <c r="H137" s="8" t="n"/>
      <c r="I137" s="9" t="n"/>
      <c r="J137" s="10">
        <f>SUM(D137:I137)</f>
        <v/>
      </c>
      <c r="K137" s="11" t="n"/>
      <c r="L137" s="8" t="n"/>
      <c r="M137" s="8" t="n"/>
      <c r="N137" s="8" t="n"/>
      <c r="O137" s="8" t="n"/>
      <c r="P137" s="9" t="n"/>
      <c r="Q137" s="10">
        <f>SUM(K137:P137)</f>
        <v/>
      </c>
      <c r="R137" s="10">
        <f>J137+Q137</f>
        <v/>
      </c>
      <c r="S137" s="16" t="n"/>
    </row>
    <row r="138" ht="18" customHeight="1" s="43">
      <c r="B138" s="48" t="n"/>
      <c r="C138" s="7" t="inlineStr">
        <is>
          <t>59期</t>
        </is>
      </c>
      <c r="D138" s="12" t="n"/>
      <c r="E138" s="12" t="n"/>
      <c r="F138" s="12" t="n"/>
      <c r="G138" s="12" t="n"/>
      <c r="H138" s="12" t="n"/>
      <c r="I138" s="13" t="n"/>
      <c r="J138" s="14">
        <f>SUM(D138:I138)</f>
        <v/>
      </c>
      <c r="K138" s="15" t="n"/>
      <c r="L138" s="12" t="n"/>
      <c r="M138" s="12" t="n"/>
      <c r="N138" s="12" t="n"/>
      <c r="O138" s="12" t="n"/>
      <c r="P138" s="13" t="n"/>
      <c r="Q138" s="14">
        <f>SUM(K138:P138)</f>
        <v/>
      </c>
      <c r="R138" s="14">
        <f>J138+Q138</f>
        <v/>
      </c>
      <c r="S138" s="17" t="n"/>
    </row>
    <row r="139" ht="18" customHeight="1" s="43">
      <c r="B139" s="48" t="n"/>
      <c r="C139" s="23" t="inlineStr">
        <is>
          <t>増　減</t>
        </is>
      </c>
      <c r="D139" s="24">
        <f>D138-D137</f>
        <v/>
      </c>
      <c r="E139" s="24">
        <f>E138-E137</f>
        <v/>
      </c>
      <c r="F139" s="24">
        <f>F138-F137</f>
        <v/>
      </c>
      <c r="G139" s="24">
        <f>G138-G137</f>
        <v/>
      </c>
      <c r="H139" s="24">
        <f>H138-H137</f>
        <v/>
      </c>
      <c r="I139" s="27">
        <f>I138-I137</f>
        <v/>
      </c>
      <c r="J139" s="30">
        <f>SUM(D139:I139)</f>
        <v/>
      </c>
      <c r="K139" s="29">
        <f>K138-K137</f>
        <v/>
      </c>
      <c r="L139" s="24">
        <f>L138-L137</f>
        <v/>
      </c>
      <c r="M139" s="24">
        <f>M138-M137</f>
        <v/>
      </c>
      <c r="N139" s="24">
        <f>N138-N137</f>
        <v/>
      </c>
      <c r="O139" s="24">
        <f>O138-O137</f>
        <v/>
      </c>
      <c r="P139" s="27">
        <f>P138-P137</f>
        <v/>
      </c>
      <c r="Q139" s="30">
        <f>SUM(K139:P139)</f>
        <v/>
      </c>
      <c r="R139" s="30">
        <f>J139+Q139</f>
        <v/>
      </c>
      <c r="S139" s="17" t="n"/>
    </row>
    <row r="140" ht="18" customHeight="1" s="43" thickBot="1">
      <c r="B140" s="60" t="n"/>
      <c r="C140" s="25" t="inlineStr">
        <is>
          <t>稼働棟数</t>
        </is>
      </c>
      <c r="D140" s="20" t="n"/>
      <c r="E140" s="20" t="n"/>
      <c r="F140" s="20" t="n"/>
      <c r="G140" s="20" t="n"/>
      <c r="H140" s="20" t="n"/>
      <c r="I140" s="28" t="n"/>
      <c r="J140" s="21">
        <f>I140</f>
        <v/>
      </c>
      <c r="K140" s="22" t="n"/>
      <c r="L140" s="20" t="n"/>
      <c r="M140" s="20" t="n"/>
      <c r="N140" s="20" t="n"/>
      <c r="O140" s="20" t="n"/>
      <c r="P140" s="28" t="n"/>
      <c r="Q140" s="21">
        <f>P140</f>
        <v/>
      </c>
      <c r="R140" s="21">
        <f>Q140</f>
        <v/>
      </c>
      <c r="S140" s="18" t="n"/>
    </row>
    <row r="141" ht="18" customHeight="1" s="43" thickBot="1">
      <c r="B141" s="59" t="inlineStr">
        <is>
          <t>マルテー/加工イチゴ</t>
        </is>
      </c>
      <c r="C141" s="31" t="inlineStr">
        <is>
          <t>58期</t>
        </is>
      </c>
      <c r="D141" s="8" t="n"/>
      <c r="E141" s="8" t="n"/>
      <c r="F141" s="8" t="n"/>
      <c r="G141" s="8" t="n">
        <v>0.67</v>
      </c>
      <c r="H141" s="8" t="n"/>
      <c r="I141" s="9" t="n"/>
      <c r="J141" s="10" t="n">
        <v>0.67</v>
      </c>
      <c r="K141" s="11" t="n"/>
      <c r="L141" s="8" t="n"/>
      <c r="M141" s="8" t="n"/>
      <c r="N141" s="8" t="n"/>
      <c r="O141" s="8" t="n"/>
      <c r="P141" s="9" t="n"/>
      <c r="Q141" s="10" t="n">
        <v>0</v>
      </c>
      <c r="R141" s="10" t="n">
        <v>0.67</v>
      </c>
      <c r="S141" s="16" t="n"/>
    </row>
    <row r="142" ht="18" customHeight="1" s="43">
      <c r="B142" s="48" t="n"/>
      <c r="C142" s="7" t="inlineStr">
        <is>
          <t>59期</t>
        </is>
      </c>
      <c r="D142" s="12" t="n"/>
      <c r="E142" s="12" t="n"/>
      <c r="F142" s="12" t="n"/>
      <c r="G142" s="12" t="n"/>
      <c r="H142" s="12" t="n"/>
      <c r="I142" s="13" t="n"/>
      <c r="J142" s="14">
        <f>SUM(D142:I142)</f>
        <v/>
      </c>
      <c r="K142" s="15" t="n"/>
      <c r="L142" s="12" t="n"/>
      <c r="M142" s="12" t="n"/>
      <c r="N142" s="12" t="n"/>
      <c r="O142" s="12" t="n"/>
      <c r="P142" s="13" t="n"/>
      <c r="Q142" s="14">
        <f>SUM(K142:P142)</f>
        <v/>
      </c>
      <c r="R142" s="14">
        <f>J142+Q142</f>
        <v/>
      </c>
      <c r="S142" s="17" t="n"/>
    </row>
    <row r="143" ht="18" customHeight="1" s="43">
      <c r="B143" s="48" t="n"/>
      <c r="C143" s="23" t="inlineStr">
        <is>
          <t>増　減</t>
        </is>
      </c>
      <c r="D143" s="24">
        <f>D142-D141</f>
        <v/>
      </c>
      <c r="E143" s="24">
        <f>E142-E141</f>
        <v/>
      </c>
      <c r="F143" s="24">
        <f>F142-F141</f>
        <v/>
      </c>
      <c r="G143" s="24">
        <f>G142-G141</f>
        <v/>
      </c>
      <c r="H143" s="24">
        <f>H142-H141</f>
        <v/>
      </c>
      <c r="I143" s="27">
        <f>I142-I141</f>
        <v/>
      </c>
      <c r="J143" s="30">
        <f>SUM(D143:I143)</f>
        <v/>
      </c>
      <c r="K143" s="29">
        <f>K142-K141</f>
        <v/>
      </c>
      <c r="L143" s="24">
        <f>L142-L141</f>
        <v/>
      </c>
      <c r="M143" s="24">
        <f>M142-M141</f>
        <v/>
      </c>
      <c r="N143" s="24">
        <f>N142-N141</f>
        <v/>
      </c>
      <c r="O143" s="24">
        <f>O142-O141</f>
        <v/>
      </c>
      <c r="P143" s="27">
        <f>P142-P141</f>
        <v/>
      </c>
      <c r="Q143" s="30">
        <f>SUM(K143:P143)</f>
        <v/>
      </c>
      <c r="R143" s="30">
        <f>J143+Q143</f>
        <v/>
      </c>
      <c r="S143" s="17" t="n"/>
    </row>
    <row r="144" ht="18" customHeight="1" s="43" thickBot="1">
      <c r="B144" s="60" t="n"/>
      <c r="C144" s="25" t="inlineStr">
        <is>
          <t>稼働棟数</t>
        </is>
      </c>
      <c r="D144" s="20" t="n"/>
      <c r="E144" s="20" t="n"/>
      <c r="F144" s="20" t="n"/>
      <c r="G144" s="20" t="n"/>
      <c r="H144" s="20" t="n"/>
      <c r="I144" s="28" t="n"/>
      <c r="J144" s="21">
        <f>I144</f>
        <v/>
      </c>
      <c r="K144" s="22" t="n"/>
      <c r="L144" s="20" t="n"/>
      <c r="M144" s="20" t="n"/>
      <c r="N144" s="20" t="n"/>
      <c r="O144" s="20" t="n"/>
      <c r="P144" s="28" t="n"/>
      <c r="Q144" s="21">
        <f>P144</f>
        <v/>
      </c>
      <c r="R144" s="21">
        <f>Q144</f>
        <v/>
      </c>
      <c r="S144" s="18" t="n"/>
    </row>
    <row r="145" ht="18" customHeight="1" s="43" thickBot="1">
      <c r="B145" s="59" t="inlineStr">
        <is>
          <t>マルテー/加工トマト</t>
        </is>
      </c>
      <c r="C145" s="31" t="inlineStr">
        <is>
          <t>58期</t>
        </is>
      </c>
      <c r="D145" s="8" t="n"/>
      <c r="E145" s="8" t="n"/>
      <c r="F145" s="8" t="n"/>
      <c r="G145" s="8" t="n"/>
      <c r="H145" s="8" t="n"/>
      <c r="I145" s="9" t="n"/>
      <c r="J145" s="10">
        <f>SUM(D145:I145)</f>
        <v/>
      </c>
      <c r="K145" s="11" t="n"/>
      <c r="L145" s="8" t="n"/>
      <c r="M145" s="8" t="n"/>
      <c r="N145" s="8" t="n"/>
      <c r="O145" s="8" t="n"/>
      <c r="P145" s="9" t="n"/>
      <c r="Q145" s="10">
        <f>SUM(K145:P145)</f>
        <v/>
      </c>
      <c r="R145" s="10">
        <f>J145+Q145</f>
        <v/>
      </c>
      <c r="S145" s="16" t="n"/>
    </row>
    <row r="146" ht="18" customHeight="1" s="43">
      <c r="B146" s="48" t="n"/>
      <c r="C146" s="7" t="inlineStr">
        <is>
          <t>59期</t>
        </is>
      </c>
      <c r="D146" s="12" t="n"/>
      <c r="E146" s="12" t="n"/>
      <c r="F146" s="12" t="n"/>
      <c r="G146" s="12" t="n"/>
      <c r="H146" s="12" t="n"/>
      <c r="I146" s="13" t="n"/>
      <c r="J146" s="14">
        <f>SUM(D146:I146)</f>
        <v/>
      </c>
      <c r="K146" s="15" t="n"/>
      <c r="L146" s="12" t="n"/>
      <c r="M146" s="12" t="n"/>
      <c r="N146" s="12" t="n"/>
      <c r="O146" s="12" t="n"/>
      <c r="P146" s="13" t="n"/>
      <c r="Q146" s="14">
        <f>SUM(K146:P146)</f>
        <v/>
      </c>
      <c r="R146" s="14">
        <f>J146+Q146</f>
        <v/>
      </c>
      <c r="S146" s="17" t="n"/>
    </row>
    <row r="147" ht="18" customHeight="1" s="43">
      <c r="B147" s="48" t="n"/>
      <c r="C147" s="23" t="inlineStr">
        <is>
          <t>増　減</t>
        </is>
      </c>
      <c r="D147" s="24">
        <f>D146-D145</f>
        <v/>
      </c>
      <c r="E147" s="24">
        <f>E146-E145</f>
        <v/>
      </c>
      <c r="F147" s="24">
        <f>F146-F145</f>
        <v/>
      </c>
      <c r="G147" s="24">
        <f>G146-G145</f>
        <v/>
      </c>
      <c r="H147" s="24">
        <f>H146-H145</f>
        <v/>
      </c>
      <c r="I147" s="27">
        <f>I146-I145</f>
        <v/>
      </c>
      <c r="J147" s="30">
        <f>SUM(D147:I147)</f>
        <v/>
      </c>
      <c r="K147" s="29">
        <f>K146-K145</f>
        <v/>
      </c>
      <c r="L147" s="24">
        <f>L146-L145</f>
        <v/>
      </c>
      <c r="M147" s="24">
        <f>M146-M145</f>
        <v/>
      </c>
      <c r="N147" s="24">
        <f>N146-N145</f>
        <v/>
      </c>
      <c r="O147" s="24">
        <f>O146-O145</f>
        <v/>
      </c>
      <c r="P147" s="27">
        <f>P146-P145</f>
        <v/>
      </c>
      <c r="Q147" s="30">
        <f>SUM(K147:P147)</f>
        <v/>
      </c>
      <c r="R147" s="30">
        <f>J147+Q147</f>
        <v/>
      </c>
      <c r="S147" s="17" t="n"/>
    </row>
    <row r="148" ht="18" customHeight="1" s="43" thickBot="1">
      <c r="B148" s="60" t="n"/>
      <c r="C148" s="25" t="inlineStr">
        <is>
          <t>稼働棟数</t>
        </is>
      </c>
      <c r="D148" s="20" t="n"/>
      <c r="E148" s="20" t="n"/>
      <c r="F148" s="20" t="n"/>
      <c r="G148" s="20" t="n"/>
      <c r="H148" s="20" t="n"/>
      <c r="I148" s="28" t="n"/>
      <c r="J148" s="21">
        <f>I148</f>
        <v/>
      </c>
      <c r="K148" s="22" t="n"/>
      <c r="L148" s="20" t="n"/>
      <c r="M148" s="20" t="n"/>
      <c r="N148" s="20" t="n"/>
      <c r="O148" s="20" t="n"/>
      <c r="P148" s="28" t="n"/>
      <c r="Q148" s="21">
        <f>P148</f>
        <v/>
      </c>
      <c r="R148" s="21">
        <f>Q148</f>
        <v/>
      </c>
      <c r="S148" s="18" t="n"/>
    </row>
    <row r="149" ht="18" customHeight="1" s="43" thickBot="1">
      <c r="B149" s="59" t="inlineStr">
        <is>
          <t>ソリトン/加工BL</t>
        </is>
      </c>
      <c r="C149" s="31" t="inlineStr">
        <is>
          <t>58期</t>
        </is>
      </c>
      <c r="D149" s="8" t="n"/>
      <c r="E149" s="8" t="n"/>
      <c r="F149" s="8" t="n"/>
      <c r="G149" s="8" t="n"/>
      <c r="H149" s="8" t="n"/>
      <c r="I149" s="9" t="n"/>
      <c r="J149" s="10">
        <f>SUM(D149:I149)</f>
        <v/>
      </c>
      <c r="K149" s="11" t="n"/>
      <c r="L149" s="8" t="n"/>
      <c r="M149" s="8" t="n"/>
      <c r="N149" s="8" t="n"/>
      <c r="O149" s="8" t="n"/>
      <c r="P149" s="9" t="n"/>
      <c r="Q149" s="10">
        <f>SUM(K149:P149)</f>
        <v/>
      </c>
      <c r="R149" s="10">
        <f>J149+Q149</f>
        <v/>
      </c>
      <c r="S149" s="16" t="n"/>
    </row>
    <row r="150" ht="18" customHeight="1" s="43">
      <c r="B150" s="48" t="n"/>
      <c r="C150" s="7" t="inlineStr">
        <is>
          <t>59期</t>
        </is>
      </c>
      <c r="D150" s="12" t="n"/>
      <c r="E150" s="12" t="n"/>
      <c r="F150" s="12" t="n"/>
      <c r="G150" s="12" t="n"/>
      <c r="H150" s="12" t="n"/>
      <c r="I150" s="13" t="n"/>
      <c r="J150" s="14">
        <f>SUM(D150:I150)</f>
        <v/>
      </c>
      <c r="K150" s="15" t="n"/>
      <c r="L150" s="12" t="n"/>
      <c r="M150" s="12" t="n"/>
      <c r="N150" s="12" t="n"/>
      <c r="O150" s="12" t="n"/>
      <c r="P150" s="13" t="n"/>
      <c r="Q150" s="14">
        <f>SUM(K150:P150)</f>
        <v/>
      </c>
      <c r="R150" s="14">
        <f>J150+Q150</f>
        <v/>
      </c>
      <c r="S150" s="17" t="n"/>
    </row>
    <row r="151" ht="18" customHeight="1" s="43">
      <c r="B151" s="48" t="n"/>
      <c r="C151" s="23" t="inlineStr">
        <is>
          <t>増　減</t>
        </is>
      </c>
      <c r="D151" s="24">
        <f>D150-D149</f>
        <v/>
      </c>
      <c r="E151" s="24">
        <f>E150-E149</f>
        <v/>
      </c>
      <c r="F151" s="24">
        <f>F150-F149</f>
        <v/>
      </c>
      <c r="G151" s="24">
        <f>G150-G149</f>
        <v/>
      </c>
      <c r="H151" s="24">
        <f>H150-H149</f>
        <v/>
      </c>
      <c r="I151" s="27">
        <f>I150-I149</f>
        <v/>
      </c>
      <c r="J151" s="30">
        <f>SUM(D151:I151)</f>
        <v/>
      </c>
      <c r="K151" s="29">
        <f>K150-K149</f>
        <v/>
      </c>
      <c r="L151" s="24">
        <f>L150-L149</f>
        <v/>
      </c>
      <c r="M151" s="24">
        <f>M150-M149</f>
        <v/>
      </c>
      <c r="N151" s="24">
        <f>N150-N149</f>
        <v/>
      </c>
      <c r="O151" s="24">
        <f>O150-O149</f>
        <v/>
      </c>
      <c r="P151" s="27">
        <f>P150-P149</f>
        <v/>
      </c>
      <c r="Q151" s="30">
        <f>SUM(K151:P151)</f>
        <v/>
      </c>
      <c r="R151" s="30">
        <f>J151+Q151</f>
        <v/>
      </c>
      <c r="S151" s="17" t="n"/>
    </row>
    <row r="152" ht="18" customHeight="1" s="43" thickBot="1">
      <c r="B152" s="60" t="n"/>
      <c r="C152" s="25" t="inlineStr">
        <is>
          <t>稼働棟数</t>
        </is>
      </c>
      <c r="D152" s="20" t="n"/>
      <c r="E152" s="20" t="n"/>
      <c r="F152" s="20" t="n"/>
      <c r="G152" s="20" t="n"/>
      <c r="H152" s="20" t="n"/>
      <c r="I152" s="28" t="n"/>
      <c r="J152" s="21">
        <f>I152</f>
        <v/>
      </c>
      <c r="K152" s="22" t="n"/>
      <c r="L152" s="20" t="n"/>
      <c r="M152" s="20" t="n"/>
      <c r="N152" s="20" t="n"/>
      <c r="O152" s="20" t="n"/>
      <c r="P152" s="28" t="n"/>
      <c r="Q152" s="21">
        <f>P152</f>
        <v/>
      </c>
      <c r="R152" s="21">
        <f>Q152</f>
        <v/>
      </c>
      <c r="S152" s="18" t="n"/>
    </row>
    <row r="153" ht="18" customHeight="1" s="43" thickBot="1">
      <c r="B153" s="59" t="inlineStr">
        <is>
          <t>ソリトン/加工イチゴ</t>
        </is>
      </c>
      <c r="C153" s="31" t="inlineStr">
        <is>
          <t>58期</t>
        </is>
      </c>
      <c r="D153" s="8" t="n"/>
      <c r="E153" s="8" t="n"/>
      <c r="F153" s="8" t="n"/>
      <c r="G153" s="8" t="n"/>
      <c r="H153" s="8" t="n"/>
      <c r="I153" s="9" t="n"/>
      <c r="J153" s="10">
        <f>SUM(D153:I153)</f>
        <v/>
      </c>
      <c r="K153" s="11" t="n"/>
      <c r="L153" s="8" t="n"/>
      <c r="M153" s="8" t="n"/>
      <c r="N153" s="8" t="n"/>
      <c r="O153" s="8" t="n"/>
      <c r="P153" s="9" t="n"/>
      <c r="Q153" s="10">
        <f>SUM(K153:P153)</f>
        <v/>
      </c>
      <c r="R153" s="10">
        <f>J153+Q153</f>
        <v/>
      </c>
      <c r="S153" s="16" t="n"/>
    </row>
    <row r="154" ht="18" customHeight="1" s="43">
      <c r="B154" s="48" t="n"/>
      <c r="C154" s="7" t="inlineStr">
        <is>
          <t>59期</t>
        </is>
      </c>
      <c r="D154" s="12" t="n"/>
      <c r="E154" s="12" t="n"/>
      <c r="F154" s="12" t="n"/>
      <c r="G154" s="12" t="n"/>
      <c r="H154" s="12" t="n"/>
      <c r="I154" s="13" t="n"/>
      <c r="J154" s="14">
        <f>SUM(D154:I154)</f>
        <v/>
      </c>
      <c r="K154" s="15" t="n"/>
      <c r="L154" s="12" t="n"/>
      <c r="M154" s="12" t="n"/>
      <c r="N154" s="12" t="n"/>
      <c r="O154" s="12" t="n"/>
      <c r="P154" s="13" t="n"/>
      <c r="Q154" s="14">
        <f>SUM(K154:P154)</f>
        <v/>
      </c>
      <c r="R154" s="14">
        <f>J154+Q154</f>
        <v/>
      </c>
      <c r="S154" s="17" t="n"/>
    </row>
    <row r="155" ht="18" customHeight="1" s="43">
      <c r="B155" s="48" t="n"/>
      <c r="C155" s="23" t="inlineStr">
        <is>
          <t>増　減</t>
        </is>
      </c>
      <c r="D155" s="24">
        <f>D154-D153</f>
        <v/>
      </c>
      <c r="E155" s="24">
        <f>E154-E153</f>
        <v/>
      </c>
      <c r="F155" s="24">
        <f>F154-F153</f>
        <v/>
      </c>
      <c r="G155" s="24">
        <f>G154-G153</f>
        <v/>
      </c>
      <c r="H155" s="24">
        <f>H154-H153</f>
        <v/>
      </c>
      <c r="I155" s="27">
        <f>I154-I153</f>
        <v/>
      </c>
      <c r="J155" s="30">
        <f>SUM(D155:I155)</f>
        <v/>
      </c>
      <c r="K155" s="29">
        <f>K154-K153</f>
        <v/>
      </c>
      <c r="L155" s="24">
        <f>L154-L153</f>
        <v/>
      </c>
      <c r="M155" s="24">
        <f>M154-M153</f>
        <v/>
      </c>
      <c r="N155" s="24">
        <f>N154-N153</f>
        <v/>
      </c>
      <c r="O155" s="24">
        <f>O154-O153</f>
        <v/>
      </c>
      <c r="P155" s="27">
        <f>P154-P153</f>
        <v/>
      </c>
      <c r="Q155" s="30">
        <f>SUM(K155:P155)</f>
        <v/>
      </c>
      <c r="R155" s="30">
        <f>J155+Q155</f>
        <v/>
      </c>
      <c r="S155" s="17" t="n"/>
    </row>
    <row r="156" ht="18" customHeight="1" s="43" thickBot="1">
      <c r="B156" s="60" t="n"/>
      <c r="C156" s="25" t="inlineStr">
        <is>
          <t>稼働棟数</t>
        </is>
      </c>
      <c r="D156" s="20" t="n"/>
      <c r="E156" s="20" t="n"/>
      <c r="F156" s="20" t="n"/>
      <c r="G156" s="20" t="n"/>
      <c r="H156" s="20" t="n"/>
      <c r="I156" s="28" t="n"/>
      <c r="J156" s="21">
        <f>I156</f>
        <v/>
      </c>
      <c r="K156" s="22" t="n"/>
      <c r="L156" s="20" t="n"/>
      <c r="M156" s="20" t="n"/>
      <c r="N156" s="20" t="n"/>
      <c r="O156" s="20" t="n"/>
      <c r="P156" s="28" t="n"/>
      <c r="Q156" s="21">
        <f>P156</f>
        <v/>
      </c>
      <c r="R156" s="21">
        <f>Q156</f>
        <v/>
      </c>
      <c r="S156" s="18" t="n"/>
    </row>
    <row r="157" ht="18" customHeight="1" s="43" thickBot="1">
      <c r="B157" s="59" t="inlineStr">
        <is>
          <t>ソリトン/加工トマト</t>
        </is>
      </c>
      <c r="C157" s="31" t="inlineStr">
        <is>
          <t>58期</t>
        </is>
      </c>
      <c r="D157" s="8" t="n"/>
      <c r="E157" s="8" t="n"/>
      <c r="F157" s="8" t="n"/>
      <c r="G157" s="8" t="n"/>
      <c r="H157" s="8" t="n"/>
      <c r="I157" s="9" t="n"/>
      <c r="J157" s="10">
        <f>SUM(D157:I157)</f>
        <v/>
      </c>
      <c r="K157" s="11" t="n"/>
      <c r="L157" s="8" t="n"/>
      <c r="M157" s="8" t="n"/>
      <c r="N157" s="8" t="n"/>
      <c r="O157" s="8" t="n"/>
      <c r="P157" s="9" t="n"/>
      <c r="Q157" s="10">
        <f>SUM(K157:P157)</f>
        <v/>
      </c>
      <c r="R157" s="10">
        <f>J157+Q157</f>
        <v/>
      </c>
      <c r="S157" s="16" t="n"/>
    </row>
    <row r="158" ht="18" customHeight="1" s="43">
      <c r="B158" s="48" t="n"/>
      <c r="C158" s="7" t="inlineStr">
        <is>
          <t>59期</t>
        </is>
      </c>
      <c r="D158" s="12" t="n"/>
      <c r="E158" s="12" t="n"/>
      <c r="F158" s="12" t="n"/>
      <c r="G158" s="12" t="n"/>
      <c r="H158" s="12" t="n"/>
      <c r="I158" s="13" t="n"/>
      <c r="J158" s="14">
        <f>SUM(D158:I158)</f>
        <v/>
      </c>
      <c r="K158" s="15" t="n"/>
      <c r="L158" s="12" t="n"/>
      <c r="M158" s="12" t="n"/>
      <c r="N158" s="12" t="n"/>
      <c r="O158" s="12" t="n"/>
      <c r="P158" s="13" t="n"/>
      <c r="Q158" s="14">
        <f>SUM(K158:P158)</f>
        <v/>
      </c>
      <c r="R158" s="14">
        <f>J158+Q158</f>
        <v/>
      </c>
      <c r="S158" s="17" t="n"/>
    </row>
    <row r="159" ht="18" customHeight="1" s="43">
      <c r="B159" s="48" t="n"/>
      <c r="C159" s="23" t="inlineStr">
        <is>
          <t>増　減</t>
        </is>
      </c>
      <c r="D159" s="24">
        <f>D158-D157</f>
        <v/>
      </c>
      <c r="E159" s="24">
        <f>E158-E157</f>
        <v/>
      </c>
      <c r="F159" s="24">
        <f>F158-F157</f>
        <v/>
      </c>
      <c r="G159" s="24">
        <f>G158-G157</f>
        <v/>
      </c>
      <c r="H159" s="24">
        <f>H158-H157</f>
        <v/>
      </c>
      <c r="I159" s="27">
        <f>I158-I157</f>
        <v/>
      </c>
      <c r="J159" s="30">
        <f>SUM(D159:I159)</f>
        <v/>
      </c>
      <c r="K159" s="29">
        <f>K158-K157</f>
        <v/>
      </c>
      <c r="L159" s="24">
        <f>L158-L157</f>
        <v/>
      </c>
      <c r="M159" s="24">
        <f>M158-M157</f>
        <v/>
      </c>
      <c r="N159" s="24">
        <f>N158-N157</f>
        <v/>
      </c>
      <c r="O159" s="24">
        <f>O158-O157</f>
        <v/>
      </c>
      <c r="P159" s="27">
        <f>P158-P157</f>
        <v/>
      </c>
      <c r="Q159" s="30">
        <f>SUM(K159:P159)</f>
        <v/>
      </c>
      <c r="R159" s="30">
        <f>J159+Q159</f>
        <v/>
      </c>
      <c r="S159" s="17" t="n"/>
    </row>
    <row r="160" ht="18" customHeight="1" s="43" thickBot="1">
      <c r="B160" s="60" t="n"/>
      <c r="C160" s="25" t="inlineStr">
        <is>
          <t>稼働棟数</t>
        </is>
      </c>
      <c r="D160" s="20" t="n"/>
      <c r="E160" s="20" t="n"/>
      <c r="F160" s="20" t="n"/>
      <c r="G160" s="20" t="n"/>
      <c r="H160" s="20" t="n"/>
      <c r="I160" s="28" t="n"/>
      <c r="J160" s="21">
        <f>I160</f>
        <v/>
      </c>
      <c r="K160" s="22" t="n"/>
      <c r="L160" s="20" t="n"/>
      <c r="M160" s="20" t="n"/>
      <c r="N160" s="20" t="n"/>
      <c r="O160" s="20" t="n"/>
      <c r="P160" s="28" t="n"/>
      <c r="Q160" s="21">
        <f>P160</f>
        <v/>
      </c>
      <c r="R160" s="21">
        <f>Q160</f>
        <v/>
      </c>
      <c r="S160" s="18" t="n"/>
    </row>
    <row r="161" ht="18" customHeight="1" s="43" thickBot="1">
      <c r="B161" s="59" t="inlineStr">
        <is>
          <t>ケイアイ/加工BL</t>
        </is>
      </c>
      <c r="C161" s="31" t="inlineStr">
        <is>
          <t>58期</t>
        </is>
      </c>
      <c r="D161" s="8" t="n"/>
      <c r="E161" s="8" t="n"/>
      <c r="F161" s="8" t="n"/>
      <c r="G161" s="8" t="n">
        <v>4.04</v>
      </c>
      <c r="H161" s="8" t="n"/>
      <c r="I161" s="9" t="n"/>
      <c r="J161" s="10" t="n">
        <v>4.04</v>
      </c>
      <c r="K161" s="11" t="n"/>
      <c r="L161" s="8" t="n"/>
      <c r="M161" s="8" t="n"/>
      <c r="N161" s="8" t="n"/>
      <c r="O161" s="8" t="n"/>
      <c r="P161" s="9" t="n"/>
      <c r="Q161" s="10" t="n">
        <v>0</v>
      </c>
      <c r="R161" s="10" t="n">
        <v>4.04</v>
      </c>
      <c r="S161" s="16" t="n"/>
    </row>
    <row r="162" ht="18" customHeight="1" s="43">
      <c r="B162" s="48" t="n"/>
      <c r="C162" s="7" t="inlineStr">
        <is>
          <t>59期</t>
        </is>
      </c>
      <c r="D162" s="12" t="n"/>
      <c r="E162" s="12" t="n"/>
      <c r="F162" s="12" t="n"/>
      <c r="G162" s="12" t="n"/>
      <c r="H162" s="12" t="n"/>
      <c r="I162" s="13" t="n"/>
      <c r="J162" s="14">
        <f>SUM(D162:I162)</f>
        <v/>
      </c>
      <c r="K162" s="15" t="n"/>
      <c r="L162" s="12" t="n"/>
      <c r="M162" s="12" t="n"/>
      <c r="N162" s="12" t="n"/>
      <c r="O162" s="12" t="n"/>
      <c r="P162" s="13" t="n"/>
      <c r="Q162" s="14">
        <f>SUM(K162:P162)</f>
        <v/>
      </c>
      <c r="R162" s="14">
        <f>J162+Q162</f>
        <v/>
      </c>
      <c r="S162" s="17" t="n"/>
    </row>
    <row r="163" ht="18" customHeight="1" s="43">
      <c r="B163" s="48" t="n"/>
      <c r="C163" s="23" t="inlineStr">
        <is>
          <t>増　減</t>
        </is>
      </c>
      <c r="D163" s="24">
        <f>D162-D161</f>
        <v/>
      </c>
      <c r="E163" s="24">
        <f>E162-E161</f>
        <v/>
      </c>
      <c r="F163" s="24">
        <f>F162-F161</f>
        <v/>
      </c>
      <c r="G163" s="24">
        <f>G162-G161</f>
        <v/>
      </c>
      <c r="H163" s="24">
        <f>H162-H161</f>
        <v/>
      </c>
      <c r="I163" s="27">
        <f>I162-I161</f>
        <v/>
      </c>
      <c r="J163" s="30">
        <f>SUM(D163:I163)</f>
        <v/>
      </c>
      <c r="K163" s="29">
        <f>K162-K161</f>
        <v/>
      </c>
      <c r="L163" s="24">
        <f>L162-L161</f>
        <v/>
      </c>
      <c r="M163" s="24">
        <f>M162-M161</f>
        <v/>
      </c>
      <c r="N163" s="24">
        <f>N162-N161</f>
        <v/>
      </c>
      <c r="O163" s="24">
        <f>O162-O161</f>
        <v/>
      </c>
      <c r="P163" s="27">
        <f>P162-P161</f>
        <v/>
      </c>
      <c r="Q163" s="30">
        <f>SUM(K163:P163)</f>
        <v/>
      </c>
      <c r="R163" s="30">
        <f>J163+Q163</f>
        <v/>
      </c>
      <c r="S163" s="17" t="n"/>
    </row>
    <row r="164" ht="18" customHeight="1" s="43" thickBot="1">
      <c r="B164" s="60" t="n"/>
      <c r="C164" s="25" t="inlineStr">
        <is>
          <t>稼働棟数</t>
        </is>
      </c>
      <c r="D164" s="20" t="n"/>
      <c r="E164" s="20" t="n"/>
      <c r="F164" s="20" t="n"/>
      <c r="G164" s="20" t="n"/>
      <c r="H164" s="20" t="n"/>
      <c r="I164" s="28" t="n"/>
      <c r="J164" s="21">
        <f>I164</f>
        <v/>
      </c>
      <c r="K164" s="22" t="n"/>
      <c r="L164" s="20" t="n"/>
      <c r="M164" s="20" t="n"/>
      <c r="N164" s="20" t="n"/>
      <c r="O164" s="20" t="n"/>
      <c r="P164" s="28" t="n"/>
      <c r="Q164" s="21">
        <f>P164</f>
        <v/>
      </c>
      <c r="R164" s="21">
        <f>Q164</f>
        <v/>
      </c>
      <c r="S164" s="18" t="n"/>
    </row>
    <row r="165" ht="18" customHeight="1" s="43" thickBot="1">
      <c r="B165" s="59" t="inlineStr">
        <is>
          <t>ケイアイ/加工イチゴ</t>
        </is>
      </c>
      <c r="C165" s="31" t="inlineStr">
        <is>
          <t>58期</t>
        </is>
      </c>
      <c r="D165" s="8" t="n"/>
      <c r="E165" s="8" t="n"/>
      <c r="F165" s="8" t="n"/>
      <c r="G165" s="8" t="n"/>
      <c r="H165" s="8" t="n"/>
      <c r="I165" s="9" t="n"/>
      <c r="J165" s="10">
        <f>SUM(D165:I165)</f>
        <v/>
      </c>
      <c r="K165" s="11" t="n"/>
      <c r="L165" s="8" t="n"/>
      <c r="M165" s="8" t="n"/>
      <c r="N165" s="8" t="n"/>
      <c r="O165" s="8" t="n"/>
      <c r="P165" s="9" t="n"/>
      <c r="Q165" s="10">
        <f>SUM(K165:P165)</f>
        <v/>
      </c>
      <c r="R165" s="10">
        <f>J165+Q165</f>
        <v/>
      </c>
      <c r="S165" s="16" t="n"/>
    </row>
    <row r="166" ht="18" customHeight="1" s="43">
      <c r="B166" s="48" t="n"/>
      <c r="C166" s="7" t="inlineStr">
        <is>
          <t>59期</t>
        </is>
      </c>
      <c r="D166" s="12" t="n"/>
      <c r="E166" s="12" t="n"/>
      <c r="F166" s="12" t="n"/>
      <c r="G166" s="12" t="n"/>
      <c r="H166" s="12" t="n"/>
      <c r="I166" s="13" t="n"/>
      <c r="J166" s="14">
        <f>SUM(D166:I166)</f>
        <v/>
      </c>
      <c r="K166" s="15" t="n"/>
      <c r="L166" s="12" t="n"/>
      <c r="M166" s="12" t="n"/>
      <c r="N166" s="12" t="n"/>
      <c r="O166" s="12" t="n"/>
      <c r="P166" s="13" t="n"/>
      <c r="Q166" s="14">
        <f>SUM(K166:P166)</f>
        <v/>
      </c>
      <c r="R166" s="14">
        <f>J166+Q166</f>
        <v/>
      </c>
      <c r="S166" s="17" t="n"/>
    </row>
    <row r="167" ht="18" customHeight="1" s="43">
      <c r="B167" s="48" t="n"/>
      <c r="C167" s="23" t="inlineStr">
        <is>
          <t>増　減</t>
        </is>
      </c>
      <c r="D167" s="24">
        <f>D166-D165</f>
        <v/>
      </c>
      <c r="E167" s="24">
        <f>E166-E165</f>
        <v/>
      </c>
      <c r="F167" s="24">
        <f>F166-F165</f>
        <v/>
      </c>
      <c r="G167" s="24">
        <f>G166-G165</f>
        <v/>
      </c>
      <c r="H167" s="24">
        <f>H166-H165</f>
        <v/>
      </c>
      <c r="I167" s="27">
        <f>I166-I165</f>
        <v/>
      </c>
      <c r="J167" s="30">
        <f>SUM(D167:I167)</f>
        <v/>
      </c>
      <c r="K167" s="29">
        <f>K166-K165</f>
        <v/>
      </c>
      <c r="L167" s="24">
        <f>L166-L165</f>
        <v/>
      </c>
      <c r="M167" s="24">
        <f>M166-M165</f>
        <v/>
      </c>
      <c r="N167" s="24">
        <f>N166-N165</f>
        <v/>
      </c>
      <c r="O167" s="24">
        <f>O166-O165</f>
        <v/>
      </c>
      <c r="P167" s="27">
        <f>P166-P165</f>
        <v/>
      </c>
      <c r="Q167" s="30">
        <f>SUM(K167:P167)</f>
        <v/>
      </c>
      <c r="R167" s="30">
        <f>J167+Q167</f>
        <v/>
      </c>
      <c r="S167" s="17" t="n"/>
    </row>
    <row r="168" ht="18" customHeight="1" s="43" thickBot="1">
      <c r="B168" s="60" t="n"/>
      <c r="C168" s="25" t="inlineStr">
        <is>
          <t>稼働棟数</t>
        </is>
      </c>
      <c r="D168" s="20" t="n"/>
      <c r="E168" s="20" t="n"/>
      <c r="F168" s="20" t="n"/>
      <c r="G168" s="20" t="n"/>
      <c r="H168" s="20" t="n"/>
      <c r="I168" s="28" t="n"/>
      <c r="J168" s="21">
        <f>I168</f>
        <v/>
      </c>
      <c r="K168" s="22" t="n"/>
      <c r="L168" s="20" t="n"/>
      <c r="M168" s="20" t="n"/>
      <c r="N168" s="20" t="n"/>
      <c r="O168" s="20" t="n"/>
      <c r="P168" s="28" t="n"/>
      <c r="Q168" s="21">
        <f>P168</f>
        <v/>
      </c>
      <c r="R168" s="21">
        <f>Q168</f>
        <v/>
      </c>
      <c r="S168" s="18" t="n"/>
    </row>
    <row r="169" ht="18" customHeight="1" s="43" thickBot="1">
      <c r="B169" s="59" t="inlineStr">
        <is>
          <t>ケイアイ/加工トマト</t>
        </is>
      </c>
      <c r="C169" s="31" t="inlineStr">
        <is>
          <t>58期</t>
        </is>
      </c>
      <c r="D169" s="8" t="n"/>
      <c r="E169" s="8" t="n"/>
      <c r="F169" s="8" t="n"/>
      <c r="G169" s="8" t="n"/>
      <c r="H169" s="8" t="n"/>
      <c r="I169" s="9" t="n"/>
      <c r="J169" s="10">
        <f>SUM(D169:I169)</f>
        <v/>
      </c>
      <c r="K169" s="11" t="n"/>
      <c r="L169" s="8" t="n"/>
      <c r="M169" s="8" t="n"/>
      <c r="N169" s="8" t="n"/>
      <c r="O169" s="8" t="n"/>
      <c r="P169" s="9" t="n"/>
      <c r="Q169" s="10">
        <f>SUM(K169:P169)</f>
        <v/>
      </c>
      <c r="R169" s="10">
        <f>J169+Q169</f>
        <v/>
      </c>
      <c r="S169" s="16" t="n"/>
    </row>
    <row r="170" ht="18" customHeight="1" s="43">
      <c r="B170" s="48" t="n"/>
      <c r="C170" s="7" t="inlineStr">
        <is>
          <t>59期</t>
        </is>
      </c>
      <c r="D170" s="12" t="n"/>
      <c r="E170" s="12" t="n"/>
      <c r="F170" s="12" t="n"/>
      <c r="G170" s="12" t="n"/>
      <c r="H170" s="12" t="n"/>
      <c r="I170" s="13" t="n"/>
      <c r="J170" s="14">
        <f>SUM(D170:I170)</f>
        <v/>
      </c>
      <c r="K170" s="15" t="n"/>
      <c r="L170" s="12" t="n"/>
      <c r="M170" s="12" t="n"/>
      <c r="N170" s="12" t="n"/>
      <c r="O170" s="12" t="n"/>
      <c r="P170" s="13" t="n"/>
      <c r="Q170" s="14">
        <f>SUM(K170:P170)</f>
        <v/>
      </c>
      <c r="R170" s="14">
        <f>J170+Q170</f>
        <v/>
      </c>
      <c r="S170" s="17" t="n"/>
    </row>
    <row r="171" ht="18" customHeight="1" s="43">
      <c r="B171" s="48" t="n"/>
      <c r="C171" s="23" t="inlineStr">
        <is>
          <t>増　減</t>
        </is>
      </c>
      <c r="D171" s="24">
        <f>D170-D169</f>
        <v/>
      </c>
      <c r="E171" s="24">
        <f>E170-E169</f>
        <v/>
      </c>
      <c r="F171" s="24">
        <f>F170-F169</f>
        <v/>
      </c>
      <c r="G171" s="24">
        <f>G170-G169</f>
        <v/>
      </c>
      <c r="H171" s="24">
        <f>H170-H169</f>
        <v/>
      </c>
      <c r="I171" s="27">
        <f>I170-I169</f>
        <v/>
      </c>
      <c r="J171" s="30">
        <f>SUM(D171:I171)</f>
        <v/>
      </c>
      <c r="K171" s="29">
        <f>K170-K169</f>
        <v/>
      </c>
      <c r="L171" s="24">
        <f>L170-L169</f>
        <v/>
      </c>
      <c r="M171" s="24">
        <f>M170-M169</f>
        <v/>
      </c>
      <c r="N171" s="24">
        <f>N170-N169</f>
        <v/>
      </c>
      <c r="O171" s="24">
        <f>O170-O169</f>
        <v/>
      </c>
      <c r="P171" s="27">
        <f>P170-P169</f>
        <v/>
      </c>
      <c r="Q171" s="30">
        <f>SUM(K171:P171)</f>
        <v/>
      </c>
      <c r="R171" s="30">
        <f>J171+Q171</f>
        <v/>
      </c>
      <c r="S171" s="17" t="n"/>
    </row>
    <row r="172" ht="18" customHeight="1" s="43" thickBot="1">
      <c r="B172" s="60" t="n"/>
      <c r="C172" s="25" t="inlineStr">
        <is>
          <t>稼働棟数</t>
        </is>
      </c>
      <c r="D172" s="20" t="n"/>
      <c r="E172" s="20" t="n"/>
      <c r="F172" s="20" t="n"/>
      <c r="G172" s="20" t="n"/>
      <c r="H172" s="20" t="n"/>
      <c r="I172" s="28" t="n"/>
      <c r="J172" s="21">
        <f>I172</f>
        <v/>
      </c>
      <c r="K172" s="22" t="n"/>
      <c r="L172" s="20" t="n"/>
      <c r="M172" s="20" t="n"/>
      <c r="N172" s="20" t="n"/>
      <c r="O172" s="20" t="n"/>
      <c r="P172" s="28" t="n"/>
      <c r="Q172" s="21">
        <f>P172</f>
        <v/>
      </c>
      <c r="R172" s="21">
        <f>Q172</f>
        <v/>
      </c>
      <c r="S172" s="18" t="n"/>
    </row>
    <row r="173" ht="18" customHeight="1" s="43" thickBot="1">
      <c r="B173" s="59" t="inlineStr">
        <is>
          <t>岡部/加工BL</t>
        </is>
      </c>
      <c r="C173" s="31" t="inlineStr">
        <is>
          <t>58期</t>
        </is>
      </c>
      <c r="D173" s="8" t="n"/>
      <c r="E173" s="8" t="n"/>
      <c r="F173" s="8" t="n"/>
      <c r="G173" s="8" t="n">
        <v>1.64</v>
      </c>
      <c r="H173" s="8" t="n"/>
      <c r="I173" s="9" t="n"/>
      <c r="J173" s="10" t="n">
        <v>1.64</v>
      </c>
      <c r="K173" s="11" t="n"/>
      <c r="L173" s="8" t="n"/>
      <c r="M173" s="8" t="n"/>
      <c r="N173" s="8" t="n"/>
      <c r="O173" s="8" t="n"/>
      <c r="P173" s="9" t="n"/>
      <c r="Q173" s="10" t="n">
        <v>0</v>
      </c>
      <c r="R173" s="10" t="n">
        <v>1.64</v>
      </c>
      <c r="S173" s="16" t="n"/>
    </row>
    <row r="174" ht="18" customHeight="1" s="43">
      <c r="B174" s="48" t="n"/>
      <c r="C174" s="7" t="inlineStr">
        <is>
          <t>59期</t>
        </is>
      </c>
      <c r="D174" s="12" t="n"/>
      <c r="E174" s="12" t="n"/>
      <c r="F174" s="12" t="n"/>
      <c r="G174" s="12" t="n"/>
      <c r="H174" s="12" t="n"/>
      <c r="I174" s="13" t="n"/>
      <c r="J174" s="14">
        <f>SUM(D174:I174)</f>
        <v/>
      </c>
      <c r="K174" s="15" t="n"/>
      <c r="L174" s="12" t="n"/>
      <c r="M174" s="12" t="n"/>
      <c r="N174" s="12" t="n"/>
      <c r="O174" s="12" t="n"/>
      <c r="P174" s="13" t="n"/>
      <c r="Q174" s="14">
        <f>SUM(K174:P174)</f>
        <v/>
      </c>
      <c r="R174" s="14">
        <f>J174+Q174</f>
        <v/>
      </c>
      <c r="S174" s="17" t="n"/>
    </row>
    <row r="175" ht="18" customHeight="1" s="43">
      <c r="B175" s="48" t="n"/>
      <c r="C175" s="23" t="inlineStr">
        <is>
          <t>増　減</t>
        </is>
      </c>
      <c r="D175" s="24">
        <f>D174-D173</f>
        <v/>
      </c>
      <c r="E175" s="24">
        <f>E174-E173</f>
        <v/>
      </c>
      <c r="F175" s="24">
        <f>F174-F173</f>
        <v/>
      </c>
      <c r="G175" s="24">
        <f>G174-G173</f>
        <v/>
      </c>
      <c r="H175" s="24">
        <f>H174-H173</f>
        <v/>
      </c>
      <c r="I175" s="27">
        <f>I174-I173</f>
        <v/>
      </c>
      <c r="J175" s="30">
        <f>SUM(D175:I175)</f>
        <v/>
      </c>
      <c r="K175" s="29">
        <f>K174-K173</f>
        <v/>
      </c>
      <c r="L175" s="24">
        <f>L174-L173</f>
        <v/>
      </c>
      <c r="M175" s="24">
        <f>M174-M173</f>
        <v/>
      </c>
      <c r="N175" s="24">
        <f>N174-N173</f>
        <v/>
      </c>
      <c r="O175" s="24">
        <f>O174-O173</f>
        <v/>
      </c>
      <c r="P175" s="27">
        <f>P174-P173</f>
        <v/>
      </c>
      <c r="Q175" s="30">
        <f>SUM(K175:P175)</f>
        <v/>
      </c>
      <c r="R175" s="30">
        <f>J175+Q175</f>
        <v/>
      </c>
      <c r="S175" s="17" t="n"/>
    </row>
    <row r="176" ht="18" customHeight="1" s="43" thickBot="1">
      <c r="B176" s="60" t="n"/>
      <c r="C176" s="25" t="inlineStr">
        <is>
          <t>稼働棟数</t>
        </is>
      </c>
      <c r="D176" s="20" t="n"/>
      <c r="E176" s="20" t="n"/>
      <c r="F176" s="20" t="n"/>
      <c r="G176" s="20" t="n"/>
      <c r="H176" s="20" t="n"/>
      <c r="I176" s="28" t="n"/>
      <c r="J176" s="21">
        <f>I176</f>
        <v/>
      </c>
      <c r="K176" s="22" t="n"/>
      <c r="L176" s="20" t="n"/>
      <c r="M176" s="20" t="n"/>
      <c r="N176" s="20" t="n"/>
      <c r="O176" s="20" t="n"/>
      <c r="P176" s="28" t="n"/>
      <c r="Q176" s="21">
        <f>P176</f>
        <v/>
      </c>
      <c r="R176" s="21">
        <f>Q176</f>
        <v/>
      </c>
      <c r="S176" s="18" t="n"/>
    </row>
    <row r="177" ht="18" customHeight="1" s="43" thickBot="1">
      <c r="B177" s="59" t="inlineStr">
        <is>
          <t>岡部/加工イチゴ</t>
        </is>
      </c>
      <c r="C177" s="31" t="inlineStr">
        <is>
          <t>58期</t>
        </is>
      </c>
      <c r="D177" s="8" t="n"/>
      <c r="E177" s="8" t="n"/>
      <c r="F177" s="8" t="n"/>
      <c r="G177" s="8" t="n"/>
      <c r="H177" s="8" t="n"/>
      <c r="I177" s="9" t="n"/>
      <c r="J177" s="10">
        <f>SUM(D177:I177)</f>
        <v/>
      </c>
      <c r="K177" s="11" t="n"/>
      <c r="L177" s="8" t="n"/>
      <c r="M177" s="8" t="n"/>
      <c r="N177" s="8" t="n"/>
      <c r="O177" s="8" t="n"/>
      <c r="P177" s="9" t="n"/>
      <c r="Q177" s="10">
        <f>SUM(K177:P177)</f>
        <v/>
      </c>
      <c r="R177" s="10">
        <f>J177+Q177</f>
        <v/>
      </c>
      <c r="S177" s="16" t="n"/>
    </row>
    <row r="178" ht="18" customHeight="1" s="43">
      <c r="B178" s="48" t="n"/>
      <c r="C178" s="7" t="inlineStr">
        <is>
          <t>59期</t>
        </is>
      </c>
      <c r="D178" s="12" t="n"/>
      <c r="E178" s="12" t="n"/>
      <c r="F178" s="12" t="n"/>
      <c r="G178" s="12" t="n"/>
      <c r="H178" s="12" t="n"/>
      <c r="I178" s="13" t="n"/>
      <c r="J178" s="14">
        <f>SUM(D178:I178)</f>
        <v/>
      </c>
      <c r="K178" s="15" t="n"/>
      <c r="L178" s="12" t="n"/>
      <c r="M178" s="12" t="n"/>
      <c r="N178" s="12" t="n"/>
      <c r="O178" s="12" t="n"/>
      <c r="P178" s="13" t="n"/>
      <c r="Q178" s="14">
        <f>SUM(K178:P178)</f>
        <v/>
      </c>
      <c r="R178" s="14">
        <f>J178+Q178</f>
        <v/>
      </c>
      <c r="S178" s="17" t="n"/>
    </row>
    <row r="179" ht="18" customHeight="1" s="43">
      <c r="B179" s="48" t="n"/>
      <c r="C179" s="23" t="inlineStr">
        <is>
          <t>増　減</t>
        </is>
      </c>
      <c r="D179" s="24">
        <f>D178-D177</f>
        <v/>
      </c>
      <c r="E179" s="24">
        <f>E178-E177</f>
        <v/>
      </c>
      <c r="F179" s="24">
        <f>F178-F177</f>
        <v/>
      </c>
      <c r="G179" s="24">
        <f>G178-G177</f>
        <v/>
      </c>
      <c r="H179" s="24">
        <f>H178-H177</f>
        <v/>
      </c>
      <c r="I179" s="27">
        <f>I178-I177</f>
        <v/>
      </c>
      <c r="J179" s="30">
        <f>SUM(D179:I179)</f>
        <v/>
      </c>
      <c r="K179" s="29">
        <f>K178-K177</f>
        <v/>
      </c>
      <c r="L179" s="24">
        <f>L178-L177</f>
        <v/>
      </c>
      <c r="M179" s="24">
        <f>M178-M177</f>
        <v/>
      </c>
      <c r="N179" s="24">
        <f>N178-N177</f>
        <v/>
      </c>
      <c r="O179" s="24">
        <f>O178-O177</f>
        <v/>
      </c>
      <c r="P179" s="27">
        <f>P178-P177</f>
        <v/>
      </c>
      <c r="Q179" s="30">
        <f>SUM(K179:P179)</f>
        <v/>
      </c>
      <c r="R179" s="30">
        <f>J179+Q179</f>
        <v/>
      </c>
      <c r="S179" s="17" t="n"/>
    </row>
    <row r="180" ht="18" customHeight="1" s="43" thickBot="1">
      <c r="B180" s="60" t="n"/>
      <c r="C180" s="25" t="inlineStr">
        <is>
          <t>稼働棟数</t>
        </is>
      </c>
      <c r="D180" s="20" t="n"/>
      <c r="E180" s="20" t="n"/>
      <c r="F180" s="20" t="n"/>
      <c r="G180" s="20" t="n"/>
      <c r="H180" s="20" t="n"/>
      <c r="I180" s="28" t="n"/>
      <c r="J180" s="21">
        <f>I180</f>
        <v/>
      </c>
      <c r="K180" s="22" t="n"/>
      <c r="L180" s="20" t="n"/>
      <c r="M180" s="20" t="n"/>
      <c r="N180" s="20" t="n"/>
      <c r="O180" s="20" t="n"/>
      <c r="P180" s="28" t="n"/>
      <c r="Q180" s="21">
        <f>P180</f>
        <v/>
      </c>
      <c r="R180" s="21">
        <f>Q180</f>
        <v/>
      </c>
      <c r="S180" s="18" t="n"/>
    </row>
    <row r="181" ht="18" customHeight="1" s="43" thickBot="1">
      <c r="B181" s="59" t="inlineStr">
        <is>
          <t>岡部/加工トマト</t>
        </is>
      </c>
      <c r="C181" s="31" t="inlineStr">
        <is>
          <t>58期</t>
        </is>
      </c>
      <c r="D181" s="8" t="n"/>
      <c r="E181" s="8" t="n"/>
      <c r="F181" s="8" t="n"/>
      <c r="G181" s="8" t="n"/>
      <c r="H181" s="8" t="n"/>
      <c r="I181" s="9" t="n"/>
      <c r="J181" s="10">
        <f>SUM(D181:I181)</f>
        <v/>
      </c>
      <c r="K181" s="11" t="n"/>
      <c r="L181" s="8" t="n"/>
      <c r="M181" s="8" t="n"/>
      <c r="N181" s="8" t="n"/>
      <c r="O181" s="8" t="n"/>
      <c r="P181" s="9" t="n"/>
      <c r="Q181" s="10">
        <f>SUM(K181:P181)</f>
        <v/>
      </c>
      <c r="R181" s="10">
        <f>J181+Q181</f>
        <v/>
      </c>
      <c r="S181" s="16" t="n"/>
    </row>
    <row r="182" ht="18" customHeight="1" s="43">
      <c r="B182" s="48" t="n"/>
      <c r="C182" s="7" t="inlineStr">
        <is>
          <t>59期</t>
        </is>
      </c>
      <c r="D182" s="12" t="n"/>
      <c r="E182" s="12" t="n"/>
      <c r="F182" s="12" t="n"/>
      <c r="G182" s="12" t="n"/>
      <c r="H182" s="12" t="n"/>
      <c r="I182" s="13" t="n"/>
      <c r="J182" s="14">
        <f>SUM(D182:I182)</f>
        <v/>
      </c>
      <c r="K182" s="15" t="n"/>
      <c r="L182" s="12" t="n"/>
      <c r="M182" s="12" t="n"/>
      <c r="N182" s="12" t="n"/>
      <c r="O182" s="12" t="n"/>
      <c r="P182" s="13" t="n"/>
      <c r="Q182" s="14">
        <f>SUM(K182:P182)</f>
        <v/>
      </c>
      <c r="R182" s="14">
        <f>J182+Q182</f>
        <v/>
      </c>
      <c r="S182" s="17" t="n"/>
    </row>
    <row r="183" ht="18" customHeight="1" s="43">
      <c r="B183" s="48" t="n"/>
      <c r="C183" s="23" t="inlineStr">
        <is>
          <t>増　減</t>
        </is>
      </c>
      <c r="D183" s="24">
        <f>D182-D181</f>
        <v/>
      </c>
      <c r="E183" s="24">
        <f>E182-E181</f>
        <v/>
      </c>
      <c r="F183" s="24">
        <f>F182-F181</f>
        <v/>
      </c>
      <c r="G183" s="24">
        <f>G182-G181</f>
        <v/>
      </c>
      <c r="H183" s="24">
        <f>H182-H181</f>
        <v/>
      </c>
      <c r="I183" s="27">
        <f>I182-I181</f>
        <v/>
      </c>
      <c r="J183" s="30">
        <f>SUM(D183:I183)</f>
        <v/>
      </c>
      <c r="K183" s="29">
        <f>K182-K181</f>
        <v/>
      </c>
      <c r="L183" s="24">
        <f>L182-L181</f>
        <v/>
      </c>
      <c r="M183" s="24">
        <f>M182-M181</f>
        <v/>
      </c>
      <c r="N183" s="24">
        <f>N182-N181</f>
        <v/>
      </c>
      <c r="O183" s="24">
        <f>O182-O181</f>
        <v/>
      </c>
      <c r="P183" s="27">
        <f>P182-P181</f>
        <v/>
      </c>
      <c r="Q183" s="30">
        <f>SUM(K183:P183)</f>
        <v/>
      </c>
      <c r="R183" s="30">
        <f>J183+Q183</f>
        <v/>
      </c>
      <c r="S183" s="17" t="n"/>
    </row>
    <row r="184" ht="18" customHeight="1" s="43" thickBot="1">
      <c r="B184" s="60" t="n"/>
      <c r="C184" s="25" t="inlineStr">
        <is>
          <t>稼働棟数</t>
        </is>
      </c>
      <c r="D184" s="20" t="n"/>
      <c r="E184" s="20" t="n"/>
      <c r="F184" s="20" t="n"/>
      <c r="G184" s="20" t="n"/>
      <c r="H184" s="20" t="n"/>
      <c r="I184" s="28" t="n"/>
      <c r="J184" s="21">
        <f>I184</f>
        <v/>
      </c>
      <c r="K184" s="22" t="n"/>
      <c r="L184" s="20" t="n"/>
      <c r="M184" s="20" t="n"/>
      <c r="N184" s="20" t="n"/>
      <c r="O184" s="20" t="n"/>
      <c r="P184" s="28" t="n"/>
      <c r="Q184" s="21">
        <f>P184</f>
        <v/>
      </c>
      <c r="R184" s="21">
        <f>Q184</f>
        <v/>
      </c>
      <c r="S184" s="18" t="n"/>
    </row>
    <row r="185" ht="18" customHeight="1" s="43" thickBot="1">
      <c r="B185" s="59" t="inlineStr">
        <is>
          <t>三和/加工BL</t>
        </is>
      </c>
      <c r="C185" s="31" t="inlineStr">
        <is>
          <t>58期</t>
        </is>
      </c>
      <c r="D185" s="8" t="n"/>
      <c r="E185" s="8" t="n"/>
      <c r="F185" s="8" t="n"/>
      <c r="G185" s="8" t="n">
        <v>2.32</v>
      </c>
      <c r="H185" s="8" t="n"/>
      <c r="I185" s="9" t="n"/>
      <c r="J185" s="10" t="n">
        <v>2.32</v>
      </c>
      <c r="K185" s="11" t="n"/>
      <c r="L185" s="8" t="n"/>
      <c r="M185" s="8" t="n"/>
      <c r="N185" s="8" t="n"/>
      <c r="O185" s="8" t="n"/>
      <c r="P185" s="9" t="n"/>
      <c r="Q185" s="10" t="n">
        <v>0</v>
      </c>
      <c r="R185" s="10" t="n">
        <v>2.32</v>
      </c>
      <c r="S185" s="16" t="n"/>
    </row>
    <row r="186" ht="18" customHeight="1" s="43">
      <c r="B186" s="48" t="n"/>
      <c r="C186" s="7" t="inlineStr">
        <is>
          <t>59期</t>
        </is>
      </c>
      <c r="D186" s="12" t="n"/>
      <c r="E186" s="12" t="n"/>
      <c r="F186" s="12" t="n"/>
      <c r="G186" s="12" t="n"/>
      <c r="H186" s="12" t="n"/>
      <c r="I186" s="13" t="n"/>
      <c r="J186" s="14">
        <f>SUM(D186:I186)</f>
        <v/>
      </c>
      <c r="K186" s="15" t="n"/>
      <c r="L186" s="12" t="n"/>
      <c r="M186" s="12" t="n"/>
      <c r="N186" s="12" t="n"/>
      <c r="O186" s="12" t="n"/>
      <c r="P186" s="13" t="n"/>
      <c r="Q186" s="14">
        <f>SUM(K186:P186)</f>
        <v/>
      </c>
      <c r="R186" s="14">
        <f>J186+Q186</f>
        <v/>
      </c>
      <c r="S186" s="17" t="n"/>
    </row>
    <row r="187" ht="18" customHeight="1" s="43">
      <c r="B187" s="48" t="n"/>
      <c r="C187" s="23" t="inlineStr">
        <is>
          <t>増　減</t>
        </is>
      </c>
      <c r="D187" s="24">
        <f>D186-D185</f>
        <v/>
      </c>
      <c r="E187" s="24">
        <f>E186-E185</f>
        <v/>
      </c>
      <c r="F187" s="24">
        <f>F186-F185</f>
        <v/>
      </c>
      <c r="G187" s="24">
        <f>G186-G185</f>
        <v/>
      </c>
      <c r="H187" s="24">
        <f>H186-H185</f>
        <v/>
      </c>
      <c r="I187" s="27">
        <f>I186-I185</f>
        <v/>
      </c>
      <c r="J187" s="30">
        <f>SUM(D187:I187)</f>
        <v/>
      </c>
      <c r="K187" s="29">
        <f>K186-K185</f>
        <v/>
      </c>
      <c r="L187" s="24">
        <f>L186-L185</f>
        <v/>
      </c>
      <c r="M187" s="24">
        <f>M186-M185</f>
        <v/>
      </c>
      <c r="N187" s="24">
        <f>N186-N185</f>
        <v/>
      </c>
      <c r="O187" s="24">
        <f>O186-O185</f>
        <v/>
      </c>
      <c r="P187" s="27">
        <f>P186-P185</f>
        <v/>
      </c>
      <c r="Q187" s="30">
        <f>SUM(K187:P187)</f>
        <v/>
      </c>
      <c r="R187" s="30">
        <f>J187+Q187</f>
        <v/>
      </c>
      <c r="S187" s="17" t="n"/>
    </row>
    <row r="188" ht="18" customHeight="1" s="43" thickBot="1">
      <c r="B188" s="60" t="n"/>
      <c r="C188" s="25" t="inlineStr">
        <is>
          <t>稼働棟数</t>
        </is>
      </c>
      <c r="D188" s="20" t="n"/>
      <c r="E188" s="20" t="n"/>
      <c r="F188" s="20" t="n"/>
      <c r="G188" s="20" t="n"/>
      <c r="H188" s="20" t="n"/>
      <c r="I188" s="28" t="n"/>
      <c r="J188" s="21">
        <f>I188</f>
        <v/>
      </c>
      <c r="K188" s="22" t="n"/>
      <c r="L188" s="20" t="n"/>
      <c r="M188" s="20" t="n"/>
      <c r="N188" s="20" t="n"/>
      <c r="O188" s="20" t="n"/>
      <c r="P188" s="28" t="n"/>
      <c r="Q188" s="21">
        <f>P188</f>
        <v/>
      </c>
      <c r="R188" s="21">
        <f>Q188</f>
        <v/>
      </c>
      <c r="S188" s="18" t="n"/>
    </row>
    <row r="189" ht="18" customHeight="1" s="43" thickBot="1">
      <c r="B189" s="59" t="inlineStr">
        <is>
          <t>三和/加工イチゴ</t>
        </is>
      </c>
      <c r="C189" s="31" t="inlineStr">
        <is>
          <t>58期</t>
        </is>
      </c>
      <c r="D189" s="8" t="n"/>
      <c r="E189" s="8" t="n"/>
      <c r="F189" s="8" t="n"/>
      <c r="G189" s="8" t="n"/>
      <c r="H189" s="8" t="n"/>
      <c r="I189" s="9" t="n"/>
      <c r="J189" s="10">
        <f>SUM(D189:I189)</f>
        <v/>
      </c>
      <c r="K189" s="11" t="n"/>
      <c r="L189" s="8" t="n"/>
      <c r="M189" s="8" t="n"/>
      <c r="N189" s="8" t="n"/>
      <c r="O189" s="8" t="n"/>
      <c r="P189" s="9" t="n"/>
      <c r="Q189" s="10">
        <f>SUM(K189:P189)</f>
        <v/>
      </c>
      <c r="R189" s="10">
        <f>J189+Q189</f>
        <v/>
      </c>
      <c r="S189" s="16" t="n"/>
    </row>
    <row r="190" ht="18" customHeight="1" s="43">
      <c r="B190" s="48" t="n"/>
      <c r="C190" s="7" t="inlineStr">
        <is>
          <t>59期</t>
        </is>
      </c>
      <c r="D190" s="12" t="n"/>
      <c r="E190" s="12" t="n"/>
      <c r="F190" s="12" t="n"/>
      <c r="G190" s="12" t="n"/>
      <c r="H190" s="12" t="n"/>
      <c r="I190" s="13" t="n"/>
      <c r="J190" s="14">
        <f>SUM(D190:I190)</f>
        <v/>
      </c>
      <c r="K190" s="15" t="n"/>
      <c r="L190" s="12" t="n"/>
      <c r="M190" s="12" t="n"/>
      <c r="N190" s="12" t="n"/>
      <c r="O190" s="12" t="n"/>
      <c r="P190" s="13" t="n"/>
      <c r="Q190" s="14">
        <f>SUM(K190:P190)</f>
        <v/>
      </c>
      <c r="R190" s="14">
        <f>J190+Q190</f>
        <v/>
      </c>
      <c r="S190" s="17" t="n"/>
    </row>
    <row r="191" ht="18" customHeight="1" s="43">
      <c r="B191" s="48" t="n"/>
      <c r="C191" s="23" t="inlineStr">
        <is>
          <t>増　減</t>
        </is>
      </c>
      <c r="D191" s="24">
        <f>D190-D189</f>
        <v/>
      </c>
      <c r="E191" s="24">
        <f>E190-E189</f>
        <v/>
      </c>
      <c r="F191" s="24">
        <f>F190-F189</f>
        <v/>
      </c>
      <c r="G191" s="24">
        <f>G190-G189</f>
        <v/>
      </c>
      <c r="H191" s="24">
        <f>H190-H189</f>
        <v/>
      </c>
      <c r="I191" s="27">
        <f>I190-I189</f>
        <v/>
      </c>
      <c r="J191" s="30">
        <f>SUM(D191:I191)</f>
        <v/>
      </c>
      <c r="K191" s="29">
        <f>K190-K189</f>
        <v/>
      </c>
      <c r="L191" s="24">
        <f>L190-L189</f>
        <v/>
      </c>
      <c r="M191" s="24">
        <f>M190-M189</f>
        <v/>
      </c>
      <c r="N191" s="24">
        <f>N190-N189</f>
        <v/>
      </c>
      <c r="O191" s="24">
        <f>O190-O189</f>
        <v/>
      </c>
      <c r="P191" s="27">
        <f>P190-P189</f>
        <v/>
      </c>
      <c r="Q191" s="30">
        <f>SUM(K191:P191)</f>
        <v/>
      </c>
      <c r="R191" s="30">
        <f>J191+Q191</f>
        <v/>
      </c>
      <c r="S191" s="17" t="n"/>
    </row>
    <row r="192" ht="18" customHeight="1" s="43" thickBot="1">
      <c r="B192" s="60" t="n"/>
      <c r="C192" s="25" t="inlineStr">
        <is>
          <t>稼働棟数</t>
        </is>
      </c>
      <c r="D192" s="20" t="n"/>
      <c r="E192" s="20" t="n"/>
      <c r="F192" s="20" t="n"/>
      <c r="G192" s="20" t="n"/>
      <c r="H192" s="20" t="n"/>
      <c r="I192" s="28" t="n"/>
      <c r="J192" s="21">
        <f>I192</f>
        <v/>
      </c>
      <c r="K192" s="22" t="n"/>
      <c r="L192" s="20" t="n"/>
      <c r="M192" s="20" t="n"/>
      <c r="N192" s="20" t="n"/>
      <c r="O192" s="20" t="n"/>
      <c r="P192" s="28" t="n"/>
      <c r="Q192" s="21">
        <f>P192</f>
        <v/>
      </c>
      <c r="R192" s="21">
        <f>Q192</f>
        <v/>
      </c>
      <c r="S192" s="18" t="n"/>
    </row>
    <row r="193" ht="18" customHeight="1" s="43" thickBot="1">
      <c r="B193" s="59" t="inlineStr">
        <is>
          <t>三和/加工トマト</t>
        </is>
      </c>
      <c r="C193" s="31" t="inlineStr">
        <is>
          <t>58期</t>
        </is>
      </c>
      <c r="D193" s="8" t="n"/>
      <c r="E193" s="8" t="n"/>
      <c r="F193" s="8" t="n"/>
      <c r="G193" s="8" t="n"/>
      <c r="H193" s="8" t="n"/>
      <c r="I193" s="9" t="n"/>
      <c r="J193" s="10">
        <f>SUM(D193:I193)</f>
        <v/>
      </c>
      <c r="K193" s="11" t="n"/>
      <c r="L193" s="8" t="n"/>
      <c r="M193" s="8" t="n"/>
      <c r="N193" s="8" t="n"/>
      <c r="O193" s="8" t="n"/>
      <c r="P193" s="9" t="n"/>
      <c r="Q193" s="10">
        <f>SUM(K193:P193)</f>
        <v/>
      </c>
      <c r="R193" s="10">
        <f>J193+Q193</f>
        <v/>
      </c>
      <c r="S193" s="16" t="n"/>
    </row>
    <row r="194" ht="18" customHeight="1" s="43">
      <c r="B194" s="48" t="n"/>
      <c r="C194" s="7" t="inlineStr">
        <is>
          <t>59期</t>
        </is>
      </c>
      <c r="D194" s="12" t="n"/>
      <c r="E194" s="12" t="n"/>
      <c r="F194" s="12" t="n"/>
      <c r="G194" s="12" t="n"/>
      <c r="H194" s="12" t="n"/>
      <c r="I194" s="13" t="n"/>
      <c r="J194" s="14">
        <f>SUM(D194:I194)</f>
        <v/>
      </c>
      <c r="K194" s="15" t="n"/>
      <c r="L194" s="12" t="n"/>
      <c r="M194" s="12" t="n"/>
      <c r="N194" s="12" t="n"/>
      <c r="O194" s="12" t="n"/>
      <c r="P194" s="13" t="n"/>
      <c r="Q194" s="14">
        <f>SUM(K194:P194)</f>
        <v/>
      </c>
      <c r="R194" s="14">
        <f>J194+Q194</f>
        <v/>
      </c>
      <c r="S194" s="17" t="n"/>
    </row>
    <row r="195" ht="18" customHeight="1" s="43">
      <c r="B195" s="48" t="n"/>
      <c r="C195" s="23" t="inlineStr">
        <is>
          <t>増　減</t>
        </is>
      </c>
      <c r="D195" s="24">
        <f>D194-D193</f>
        <v/>
      </c>
      <c r="E195" s="24">
        <f>E194-E193</f>
        <v/>
      </c>
      <c r="F195" s="24">
        <f>F194-F193</f>
        <v/>
      </c>
      <c r="G195" s="24">
        <f>G194-G193</f>
        <v/>
      </c>
      <c r="H195" s="24">
        <f>H194-H193</f>
        <v/>
      </c>
      <c r="I195" s="27">
        <f>I194-I193</f>
        <v/>
      </c>
      <c r="J195" s="30">
        <f>SUM(D195:I195)</f>
        <v/>
      </c>
      <c r="K195" s="29">
        <f>K194-K193</f>
        <v/>
      </c>
      <c r="L195" s="24">
        <f>L194-L193</f>
        <v/>
      </c>
      <c r="M195" s="24">
        <f>M194-M193</f>
        <v/>
      </c>
      <c r="N195" s="24">
        <f>N194-N193</f>
        <v/>
      </c>
      <c r="O195" s="24">
        <f>O194-O193</f>
        <v/>
      </c>
      <c r="P195" s="27">
        <f>P194-P193</f>
        <v/>
      </c>
      <c r="Q195" s="30">
        <f>SUM(K195:P195)</f>
        <v/>
      </c>
      <c r="R195" s="30">
        <f>J195+Q195</f>
        <v/>
      </c>
      <c r="S195" s="17" t="n"/>
    </row>
    <row r="196" ht="18" customHeight="1" s="43" thickBot="1">
      <c r="B196" s="60" t="n"/>
      <c r="C196" s="25" t="inlineStr">
        <is>
          <t>稼働棟数</t>
        </is>
      </c>
      <c r="D196" s="20" t="n"/>
      <c r="E196" s="20" t="n"/>
      <c r="F196" s="20" t="n"/>
      <c r="G196" s="20" t="n"/>
      <c r="H196" s="20" t="n"/>
      <c r="I196" s="28" t="n"/>
      <c r="J196" s="21">
        <f>I196</f>
        <v/>
      </c>
      <c r="K196" s="22" t="n"/>
      <c r="L196" s="20" t="n"/>
      <c r="M196" s="20" t="n"/>
      <c r="N196" s="20" t="n"/>
      <c r="O196" s="20" t="n"/>
      <c r="P196" s="28" t="n"/>
      <c r="Q196" s="21">
        <f>P196</f>
        <v/>
      </c>
      <c r="R196" s="21">
        <f>Q196</f>
        <v/>
      </c>
      <c r="S196" s="18" t="n"/>
    </row>
    <row r="197" ht="18" customHeight="1" s="43" thickBot="1">
      <c r="B197" s="59" t="inlineStr">
        <is>
          <t>慈誠会/加工BL</t>
        </is>
      </c>
      <c r="C197" s="31" t="inlineStr">
        <is>
          <t>58期</t>
        </is>
      </c>
      <c r="D197" s="8" t="n"/>
      <c r="E197" s="8" t="n"/>
      <c r="F197" s="8" t="n"/>
      <c r="G197" s="8" t="n"/>
      <c r="H197" s="8" t="n"/>
      <c r="I197" s="9" t="n"/>
      <c r="J197" s="10">
        <f>SUM(D197:I197)</f>
        <v/>
      </c>
      <c r="K197" s="11" t="n"/>
      <c r="L197" s="8" t="n"/>
      <c r="M197" s="8" t="n"/>
      <c r="N197" s="8" t="n"/>
      <c r="O197" s="8" t="n"/>
      <c r="P197" s="9" t="n"/>
      <c r="Q197" s="10">
        <f>SUM(K197:P197)</f>
        <v/>
      </c>
      <c r="R197" s="10">
        <f>J197+Q197</f>
        <v/>
      </c>
      <c r="S197" s="16" t="n"/>
    </row>
    <row r="198" ht="18" customHeight="1" s="43">
      <c r="B198" s="48" t="n"/>
      <c r="C198" s="7" t="inlineStr">
        <is>
          <t>59期</t>
        </is>
      </c>
      <c r="D198" s="12" t="n"/>
      <c r="E198" s="12" t="n"/>
      <c r="F198" s="12" t="n"/>
      <c r="G198" s="12" t="n"/>
      <c r="H198" s="12" t="n"/>
      <c r="I198" s="13" t="n"/>
      <c r="J198" s="14">
        <f>SUM(D198:I198)</f>
        <v/>
      </c>
      <c r="K198" s="15" t="n"/>
      <c r="L198" s="12" t="n"/>
      <c r="M198" s="12" t="n"/>
      <c r="N198" s="12" t="n"/>
      <c r="O198" s="12" t="n"/>
      <c r="P198" s="13" t="n"/>
      <c r="Q198" s="14">
        <f>SUM(K198:P198)</f>
        <v/>
      </c>
      <c r="R198" s="14">
        <f>J198+Q198</f>
        <v/>
      </c>
      <c r="S198" s="17" t="n"/>
    </row>
    <row r="199" ht="18" customHeight="1" s="43">
      <c r="B199" s="48" t="n"/>
      <c r="C199" s="23" t="inlineStr">
        <is>
          <t>増　減</t>
        </is>
      </c>
      <c r="D199" s="24">
        <f>D198-D197</f>
        <v/>
      </c>
      <c r="E199" s="24">
        <f>E198-E197</f>
        <v/>
      </c>
      <c r="F199" s="24">
        <f>F198-F197</f>
        <v/>
      </c>
      <c r="G199" s="24">
        <f>G198-G197</f>
        <v/>
      </c>
      <c r="H199" s="24">
        <f>H198-H197</f>
        <v/>
      </c>
      <c r="I199" s="27">
        <f>I198-I197</f>
        <v/>
      </c>
      <c r="J199" s="30">
        <f>SUM(D199:I199)</f>
        <v/>
      </c>
      <c r="K199" s="29">
        <f>K198-K197</f>
        <v/>
      </c>
      <c r="L199" s="24">
        <f>L198-L197</f>
        <v/>
      </c>
      <c r="M199" s="24">
        <f>M198-M197</f>
        <v/>
      </c>
      <c r="N199" s="24">
        <f>N198-N197</f>
        <v/>
      </c>
      <c r="O199" s="24">
        <f>O198-O197</f>
        <v/>
      </c>
      <c r="P199" s="27">
        <f>P198-P197</f>
        <v/>
      </c>
      <c r="Q199" s="30">
        <f>SUM(K199:P199)</f>
        <v/>
      </c>
      <c r="R199" s="30">
        <f>J199+Q199</f>
        <v/>
      </c>
      <c r="S199" s="17" t="n"/>
    </row>
    <row r="200" ht="18" customHeight="1" s="43" thickBot="1">
      <c r="B200" s="60" t="n"/>
      <c r="C200" s="25" t="inlineStr">
        <is>
          <t>稼働棟数</t>
        </is>
      </c>
      <c r="D200" s="20" t="n"/>
      <c r="E200" s="20" t="n"/>
      <c r="F200" s="20" t="n"/>
      <c r="G200" s="20" t="n"/>
      <c r="H200" s="20" t="n"/>
      <c r="I200" s="28" t="n"/>
      <c r="J200" s="21">
        <f>I200</f>
        <v/>
      </c>
      <c r="K200" s="22" t="n"/>
      <c r="L200" s="20" t="n"/>
      <c r="M200" s="20" t="n"/>
      <c r="N200" s="20" t="n"/>
      <c r="O200" s="20" t="n"/>
      <c r="P200" s="28" t="n"/>
      <c r="Q200" s="21">
        <f>P200</f>
        <v/>
      </c>
      <c r="R200" s="21">
        <f>Q200</f>
        <v/>
      </c>
      <c r="S200" s="18" t="n"/>
    </row>
    <row r="201" ht="18" customHeight="1" s="43" thickBot="1">
      <c r="B201" s="59" t="inlineStr">
        <is>
          <t>慈誠会/加工イチゴ</t>
        </is>
      </c>
      <c r="C201" s="31" t="inlineStr">
        <is>
          <t>58期</t>
        </is>
      </c>
      <c r="D201" s="8" t="n"/>
      <c r="E201" s="8" t="n"/>
      <c r="F201" s="8" t="n"/>
      <c r="G201" s="8" t="n"/>
      <c r="H201" s="8" t="n"/>
      <c r="I201" s="9" t="n"/>
      <c r="J201" s="10">
        <f>SUM(D201:I201)</f>
        <v/>
      </c>
      <c r="K201" s="11" t="n"/>
      <c r="L201" s="8" t="n"/>
      <c r="M201" s="8" t="n"/>
      <c r="N201" s="8" t="n"/>
      <c r="O201" s="8" t="n"/>
      <c r="P201" s="9" t="n"/>
      <c r="Q201" s="10">
        <f>SUM(K201:P201)</f>
        <v/>
      </c>
      <c r="R201" s="10">
        <f>J201+Q201</f>
        <v/>
      </c>
      <c r="S201" s="16" t="n"/>
    </row>
    <row r="202" ht="18" customHeight="1" s="43">
      <c r="B202" s="48" t="n"/>
      <c r="C202" s="7" t="inlineStr">
        <is>
          <t>59期</t>
        </is>
      </c>
      <c r="D202" s="12" t="n"/>
      <c r="E202" s="12" t="n"/>
      <c r="F202" s="12" t="n"/>
      <c r="G202" s="12" t="n"/>
      <c r="H202" s="12" t="n"/>
      <c r="I202" s="13" t="n"/>
      <c r="J202" s="14">
        <f>SUM(D202:I202)</f>
        <v/>
      </c>
      <c r="K202" s="15" t="n"/>
      <c r="L202" s="12" t="n"/>
      <c r="M202" s="12" t="n"/>
      <c r="N202" s="12" t="n"/>
      <c r="O202" s="12" t="n"/>
      <c r="P202" s="13" t="n"/>
      <c r="Q202" s="14">
        <f>SUM(K202:P202)</f>
        <v/>
      </c>
      <c r="R202" s="14">
        <f>J202+Q202</f>
        <v/>
      </c>
      <c r="S202" s="17" t="n"/>
    </row>
    <row r="203" ht="18" customHeight="1" s="43">
      <c r="B203" s="48" t="n"/>
      <c r="C203" s="23" t="inlineStr">
        <is>
          <t>増　減</t>
        </is>
      </c>
      <c r="D203" s="24">
        <f>D202-D201</f>
        <v/>
      </c>
      <c r="E203" s="24">
        <f>E202-E201</f>
        <v/>
      </c>
      <c r="F203" s="24">
        <f>F202-F201</f>
        <v/>
      </c>
      <c r="G203" s="24">
        <f>G202-G201</f>
        <v/>
      </c>
      <c r="H203" s="24">
        <f>H202-H201</f>
        <v/>
      </c>
      <c r="I203" s="27">
        <f>I202-I201</f>
        <v/>
      </c>
      <c r="J203" s="30">
        <f>SUM(D203:I203)</f>
        <v/>
      </c>
      <c r="K203" s="29">
        <f>K202-K201</f>
        <v/>
      </c>
      <c r="L203" s="24">
        <f>L202-L201</f>
        <v/>
      </c>
      <c r="M203" s="24">
        <f>M202-M201</f>
        <v/>
      </c>
      <c r="N203" s="24">
        <f>N202-N201</f>
        <v/>
      </c>
      <c r="O203" s="24">
        <f>O202-O201</f>
        <v/>
      </c>
      <c r="P203" s="27">
        <f>P202-P201</f>
        <v/>
      </c>
      <c r="Q203" s="30">
        <f>SUM(K203:P203)</f>
        <v/>
      </c>
      <c r="R203" s="30">
        <f>J203+Q203</f>
        <v/>
      </c>
      <c r="S203" s="17" t="n"/>
    </row>
    <row r="204" ht="18" customHeight="1" s="43" thickBot="1">
      <c r="B204" s="60" t="n"/>
      <c r="C204" s="25" t="inlineStr">
        <is>
          <t>稼働棟数</t>
        </is>
      </c>
      <c r="D204" s="20" t="n"/>
      <c r="E204" s="20" t="n"/>
      <c r="F204" s="20" t="n"/>
      <c r="G204" s="20" t="n"/>
      <c r="H204" s="20" t="n"/>
      <c r="I204" s="28" t="n"/>
      <c r="J204" s="21">
        <f>I204</f>
        <v/>
      </c>
      <c r="K204" s="22" t="n"/>
      <c r="L204" s="20" t="n"/>
      <c r="M204" s="20" t="n"/>
      <c r="N204" s="20" t="n"/>
      <c r="O204" s="20" t="n"/>
      <c r="P204" s="28" t="n"/>
      <c r="Q204" s="21">
        <f>P204</f>
        <v/>
      </c>
      <c r="R204" s="21">
        <f>Q204</f>
        <v/>
      </c>
      <c r="S204" s="18" t="n"/>
    </row>
    <row r="205" ht="18" customHeight="1" s="43" thickBot="1">
      <c r="B205" s="59" t="inlineStr">
        <is>
          <t>慈誠会/加工トマト</t>
        </is>
      </c>
      <c r="C205" s="31" t="inlineStr">
        <is>
          <t>58期</t>
        </is>
      </c>
      <c r="D205" s="8" t="n"/>
      <c r="E205" s="8" t="n"/>
      <c r="F205" s="8" t="n"/>
      <c r="G205" s="8" t="n"/>
      <c r="H205" s="8" t="n"/>
      <c r="I205" s="9" t="n"/>
      <c r="J205" s="10">
        <f>SUM(D205:I205)</f>
        <v/>
      </c>
      <c r="K205" s="11" t="n"/>
      <c r="L205" s="8" t="n"/>
      <c r="M205" s="8" t="n"/>
      <c r="N205" s="8" t="n"/>
      <c r="O205" s="8" t="n"/>
      <c r="P205" s="9" t="n"/>
      <c r="Q205" s="10">
        <f>SUM(K205:P205)</f>
        <v/>
      </c>
      <c r="R205" s="10">
        <f>J205+Q205</f>
        <v/>
      </c>
      <c r="S205" s="16" t="n"/>
    </row>
    <row r="206" ht="18" customHeight="1" s="43">
      <c r="B206" s="48" t="n"/>
      <c r="C206" s="7" t="inlineStr">
        <is>
          <t>59期</t>
        </is>
      </c>
      <c r="D206" s="12" t="n"/>
      <c r="E206" s="12" t="n"/>
      <c r="F206" s="12" t="n"/>
      <c r="G206" s="12" t="n"/>
      <c r="H206" s="12" t="n"/>
      <c r="I206" s="13" t="n"/>
      <c r="J206" s="14">
        <f>SUM(D206:I206)</f>
        <v/>
      </c>
      <c r="K206" s="15" t="n"/>
      <c r="L206" s="12" t="n"/>
      <c r="M206" s="12" t="n"/>
      <c r="N206" s="12" t="n"/>
      <c r="O206" s="12" t="n"/>
      <c r="P206" s="13" t="n"/>
      <c r="Q206" s="14">
        <f>SUM(K206:P206)</f>
        <v/>
      </c>
      <c r="R206" s="14">
        <f>J206+Q206</f>
        <v/>
      </c>
      <c r="S206" s="17" t="n"/>
    </row>
    <row r="207" ht="18" customHeight="1" s="43">
      <c r="B207" s="48" t="n"/>
      <c r="C207" s="23" t="inlineStr">
        <is>
          <t>増　減</t>
        </is>
      </c>
      <c r="D207" s="24">
        <f>D206-D205</f>
        <v/>
      </c>
      <c r="E207" s="24">
        <f>E206-E205</f>
        <v/>
      </c>
      <c r="F207" s="24">
        <f>F206-F205</f>
        <v/>
      </c>
      <c r="G207" s="24">
        <f>G206-G205</f>
        <v/>
      </c>
      <c r="H207" s="24">
        <f>H206-H205</f>
        <v/>
      </c>
      <c r="I207" s="27">
        <f>I206-I205</f>
        <v/>
      </c>
      <c r="J207" s="30">
        <f>SUM(D207:I207)</f>
        <v/>
      </c>
      <c r="K207" s="29">
        <f>K206-K205</f>
        <v/>
      </c>
      <c r="L207" s="24">
        <f>L206-L205</f>
        <v/>
      </c>
      <c r="M207" s="24">
        <f>M206-M205</f>
        <v/>
      </c>
      <c r="N207" s="24">
        <f>N206-N205</f>
        <v/>
      </c>
      <c r="O207" s="24">
        <f>O206-O205</f>
        <v/>
      </c>
      <c r="P207" s="27">
        <f>P206-P205</f>
        <v/>
      </c>
      <c r="Q207" s="30">
        <f>SUM(K207:P207)</f>
        <v/>
      </c>
      <c r="R207" s="30">
        <f>J207+Q207</f>
        <v/>
      </c>
      <c r="S207" s="17" t="n"/>
    </row>
    <row r="208" ht="18" customHeight="1" s="43" thickBot="1">
      <c r="B208" s="60" t="n"/>
      <c r="C208" s="25" t="inlineStr">
        <is>
          <t>稼働棟数</t>
        </is>
      </c>
      <c r="D208" s="20" t="n"/>
      <c r="E208" s="20" t="n"/>
      <c r="F208" s="20" t="n"/>
      <c r="G208" s="20" t="n"/>
      <c r="H208" s="20" t="n"/>
      <c r="I208" s="28" t="n"/>
      <c r="J208" s="21">
        <f>I208</f>
        <v/>
      </c>
      <c r="K208" s="22" t="n"/>
      <c r="L208" s="20" t="n"/>
      <c r="M208" s="20" t="n"/>
      <c r="N208" s="20" t="n"/>
      <c r="O208" s="20" t="n"/>
      <c r="P208" s="28" t="n"/>
      <c r="Q208" s="21">
        <f>P208</f>
        <v/>
      </c>
      <c r="R208" s="21">
        <f>Q208</f>
        <v/>
      </c>
      <c r="S208" s="18" t="n"/>
    </row>
    <row r="209" ht="18" customHeight="1" s="43" thickBot="1">
      <c r="B209" s="59" t="inlineStr">
        <is>
          <t>富士機械/加工BL</t>
        </is>
      </c>
      <c r="C209" s="31" t="inlineStr">
        <is>
          <t>58期</t>
        </is>
      </c>
      <c r="D209" s="8" t="n"/>
      <c r="E209" s="8" t="n"/>
      <c r="F209" s="8" t="n"/>
      <c r="G209" s="8" t="n"/>
      <c r="H209" s="8" t="n"/>
      <c r="I209" s="9" t="n"/>
      <c r="J209" s="10">
        <f>SUM(D209:I209)</f>
        <v/>
      </c>
      <c r="K209" s="11" t="n"/>
      <c r="L209" s="8" t="n"/>
      <c r="M209" s="8" t="n"/>
      <c r="N209" s="8" t="n"/>
      <c r="O209" s="8" t="n"/>
      <c r="P209" s="9" t="n"/>
      <c r="Q209" s="10">
        <f>SUM(K209:P209)</f>
        <v/>
      </c>
      <c r="R209" s="10">
        <f>J209+Q209</f>
        <v/>
      </c>
      <c r="S209" s="16" t="n"/>
    </row>
    <row r="210" ht="18" customHeight="1" s="43">
      <c r="B210" s="48" t="n"/>
      <c r="C210" s="7" t="inlineStr">
        <is>
          <t>59期</t>
        </is>
      </c>
      <c r="D210" s="12" t="n"/>
      <c r="E210" s="12" t="n"/>
      <c r="F210" s="12" t="n"/>
      <c r="G210" s="12" t="n"/>
      <c r="H210" s="12" t="n"/>
      <c r="I210" s="13" t="n"/>
      <c r="J210" s="14">
        <f>SUM(D210:I210)</f>
        <v/>
      </c>
      <c r="K210" s="15" t="n"/>
      <c r="L210" s="12" t="n"/>
      <c r="M210" s="12" t="n"/>
      <c r="N210" s="12" t="n"/>
      <c r="O210" s="12" t="n"/>
      <c r="P210" s="13" t="n"/>
      <c r="Q210" s="14">
        <f>SUM(K210:P210)</f>
        <v/>
      </c>
      <c r="R210" s="14">
        <f>J210+Q210</f>
        <v/>
      </c>
      <c r="S210" s="17" t="n"/>
    </row>
    <row r="211" ht="18" customHeight="1" s="43">
      <c r="B211" s="48" t="n"/>
      <c r="C211" s="23" t="inlineStr">
        <is>
          <t>増　減</t>
        </is>
      </c>
      <c r="D211" s="24">
        <f>D210-D209</f>
        <v/>
      </c>
      <c r="E211" s="24">
        <f>E210-E209</f>
        <v/>
      </c>
      <c r="F211" s="24">
        <f>F210-F209</f>
        <v/>
      </c>
      <c r="G211" s="24">
        <f>G210-G209</f>
        <v/>
      </c>
      <c r="H211" s="24">
        <f>H210-H209</f>
        <v/>
      </c>
      <c r="I211" s="27">
        <f>I210-I209</f>
        <v/>
      </c>
      <c r="J211" s="30">
        <f>SUM(D211:I211)</f>
        <v/>
      </c>
      <c r="K211" s="29">
        <f>K210-K209</f>
        <v/>
      </c>
      <c r="L211" s="24">
        <f>L210-L209</f>
        <v/>
      </c>
      <c r="M211" s="24">
        <f>M210-M209</f>
        <v/>
      </c>
      <c r="N211" s="24">
        <f>N210-N209</f>
        <v/>
      </c>
      <c r="O211" s="24">
        <f>O210-O209</f>
        <v/>
      </c>
      <c r="P211" s="27">
        <f>P210-P209</f>
        <v/>
      </c>
      <c r="Q211" s="30">
        <f>SUM(K211:P211)</f>
        <v/>
      </c>
      <c r="R211" s="30">
        <f>J211+Q211</f>
        <v/>
      </c>
      <c r="S211" s="17" t="n"/>
    </row>
    <row r="212" ht="18" customHeight="1" s="43" thickBot="1">
      <c r="B212" s="60" t="n"/>
      <c r="C212" s="25" t="inlineStr">
        <is>
          <t>稼働棟数</t>
        </is>
      </c>
      <c r="D212" s="20" t="n"/>
      <c r="E212" s="20" t="n"/>
      <c r="F212" s="20" t="n"/>
      <c r="G212" s="20" t="n"/>
      <c r="H212" s="20" t="n"/>
      <c r="I212" s="28" t="n"/>
      <c r="J212" s="21">
        <f>I212</f>
        <v/>
      </c>
      <c r="K212" s="22" t="n"/>
      <c r="L212" s="20" t="n"/>
      <c r="M212" s="20" t="n"/>
      <c r="N212" s="20" t="n"/>
      <c r="O212" s="20" t="n"/>
      <c r="P212" s="28" t="n"/>
      <c r="Q212" s="21">
        <f>P212</f>
        <v/>
      </c>
      <c r="R212" s="21">
        <f>Q212</f>
        <v/>
      </c>
      <c r="S212" s="18" t="n"/>
    </row>
    <row r="213" ht="18" customHeight="1" s="43" thickBot="1">
      <c r="B213" s="59" t="inlineStr">
        <is>
          <t>富士機械/加工イチゴ</t>
        </is>
      </c>
      <c r="C213" s="31" t="inlineStr">
        <is>
          <t>58期</t>
        </is>
      </c>
      <c r="D213" s="8" t="n"/>
      <c r="E213" s="8" t="n"/>
      <c r="F213" s="8" t="n"/>
      <c r="G213" s="8" t="n"/>
      <c r="H213" s="8" t="n"/>
      <c r="I213" s="9" t="n"/>
      <c r="J213" s="10">
        <f>SUM(D213:I213)</f>
        <v/>
      </c>
      <c r="K213" s="11" t="n"/>
      <c r="L213" s="8" t="n"/>
      <c r="M213" s="8" t="n"/>
      <c r="N213" s="8" t="n"/>
      <c r="O213" s="8" t="n"/>
      <c r="P213" s="9" t="n"/>
      <c r="Q213" s="10">
        <f>SUM(K213:P213)</f>
        <v/>
      </c>
      <c r="R213" s="10">
        <f>J213+Q213</f>
        <v/>
      </c>
      <c r="S213" s="16" t="n"/>
    </row>
    <row r="214" ht="18" customHeight="1" s="43">
      <c r="B214" s="48" t="n"/>
      <c r="C214" s="7" t="inlineStr">
        <is>
          <t>59期</t>
        </is>
      </c>
      <c r="D214" s="12" t="n"/>
      <c r="E214" s="12" t="n"/>
      <c r="F214" s="12" t="n"/>
      <c r="G214" s="12" t="n"/>
      <c r="H214" s="12" t="n"/>
      <c r="I214" s="13" t="n"/>
      <c r="J214" s="14">
        <f>SUM(D214:I214)</f>
        <v/>
      </c>
      <c r="K214" s="15" t="n"/>
      <c r="L214" s="12" t="n"/>
      <c r="M214" s="12" t="n"/>
      <c r="N214" s="12" t="n"/>
      <c r="O214" s="12" t="n"/>
      <c r="P214" s="13" t="n"/>
      <c r="Q214" s="14">
        <f>SUM(K214:P214)</f>
        <v/>
      </c>
      <c r="R214" s="14">
        <f>J214+Q214</f>
        <v/>
      </c>
      <c r="S214" s="17" t="n"/>
    </row>
    <row r="215" ht="18" customHeight="1" s="43">
      <c r="B215" s="48" t="n"/>
      <c r="C215" s="23" t="inlineStr">
        <is>
          <t>増　減</t>
        </is>
      </c>
      <c r="D215" s="24">
        <f>D214-D213</f>
        <v/>
      </c>
      <c r="E215" s="24">
        <f>E214-E213</f>
        <v/>
      </c>
      <c r="F215" s="24">
        <f>F214-F213</f>
        <v/>
      </c>
      <c r="G215" s="24">
        <f>G214-G213</f>
        <v/>
      </c>
      <c r="H215" s="24">
        <f>H214-H213</f>
        <v/>
      </c>
      <c r="I215" s="27">
        <f>I214-I213</f>
        <v/>
      </c>
      <c r="J215" s="30">
        <f>SUM(D215:I215)</f>
        <v/>
      </c>
      <c r="K215" s="29">
        <f>K214-K213</f>
        <v/>
      </c>
      <c r="L215" s="24">
        <f>L214-L213</f>
        <v/>
      </c>
      <c r="M215" s="24">
        <f>M214-M213</f>
        <v/>
      </c>
      <c r="N215" s="24">
        <f>N214-N213</f>
        <v/>
      </c>
      <c r="O215" s="24">
        <f>O214-O213</f>
        <v/>
      </c>
      <c r="P215" s="27">
        <f>P214-P213</f>
        <v/>
      </c>
      <c r="Q215" s="30">
        <f>SUM(K215:P215)</f>
        <v/>
      </c>
      <c r="R215" s="30">
        <f>J215+Q215</f>
        <v/>
      </c>
      <c r="S215" s="17" t="n"/>
    </row>
    <row r="216" ht="18" customHeight="1" s="43" thickBot="1">
      <c r="B216" s="60" t="n"/>
      <c r="C216" s="25" t="inlineStr">
        <is>
          <t>稼働棟数</t>
        </is>
      </c>
      <c r="D216" s="20" t="n"/>
      <c r="E216" s="20" t="n"/>
      <c r="F216" s="20" t="n"/>
      <c r="G216" s="20" t="n"/>
      <c r="H216" s="20" t="n"/>
      <c r="I216" s="28" t="n"/>
      <c r="J216" s="21">
        <f>I216</f>
        <v/>
      </c>
      <c r="K216" s="22" t="n"/>
      <c r="L216" s="20" t="n"/>
      <c r="M216" s="20" t="n"/>
      <c r="N216" s="20" t="n"/>
      <c r="O216" s="20" t="n"/>
      <c r="P216" s="28" t="n"/>
      <c r="Q216" s="21">
        <f>P216</f>
        <v/>
      </c>
      <c r="R216" s="21">
        <f>Q216</f>
        <v/>
      </c>
      <c r="S216" s="18" t="n"/>
    </row>
    <row r="217" ht="18" customHeight="1" s="43" thickBot="1">
      <c r="B217" s="59" t="inlineStr">
        <is>
          <t>富士機械/加工トマト</t>
        </is>
      </c>
      <c r="C217" s="31" t="inlineStr">
        <is>
          <t>58期</t>
        </is>
      </c>
      <c r="D217" s="8" t="n"/>
      <c r="E217" s="8" t="n"/>
      <c r="F217" s="8" t="n"/>
      <c r="G217" s="8" t="n"/>
      <c r="H217" s="8" t="n"/>
      <c r="I217" s="9" t="n"/>
      <c r="J217" s="10">
        <f>SUM(D217:I217)</f>
        <v/>
      </c>
      <c r="K217" s="11" t="n"/>
      <c r="L217" s="8" t="n"/>
      <c r="M217" s="8" t="n"/>
      <c r="N217" s="8" t="n"/>
      <c r="O217" s="8" t="n"/>
      <c r="P217" s="9" t="n"/>
      <c r="Q217" s="10">
        <f>SUM(K217:P217)</f>
        <v/>
      </c>
      <c r="R217" s="10">
        <f>J217+Q217</f>
        <v/>
      </c>
      <c r="S217" s="16" t="n"/>
    </row>
    <row r="218" ht="18" customHeight="1" s="43">
      <c r="B218" s="48" t="n"/>
      <c r="C218" s="7" t="inlineStr">
        <is>
          <t>59期</t>
        </is>
      </c>
      <c r="D218" s="12" t="n"/>
      <c r="E218" s="12" t="n"/>
      <c r="F218" s="12" t="n"/>
      <c r="G218" s="12" t="n"/>
      <c r="H218" s="12" t="n"/>
      <c r="I218" s="13" t="n"/>
      <c r="J218" s="14">
        <f>SUM(D218:I218)</f>
        <v/>
      </c>
      <c r="K218" s="15" t="n"/>
      <c r="L218" s="12" t="n"/>
      <c r="M218" s="12" t="n"/>
      <c r="N218" s="12" t="n"/>
      <c r="O218" s="12" t="n"/>
      <c r="P218" s="13" t="n"/>
      <c r="Q218" s="14">
        <f>SUM(K218:P218)</f>
        <v/>
      </c>
      <c r="R218" s="14">
        <f>J218+Q218</f>
        <v/>
      </c>
      <c r="S218" s="17" t="n"/>
    </row>
    <row r="219" ht="18" customHeight="1" s="43">
      <c r="B219" s="48" t="n"/>
      <c r="C219" s="23" t="inlineStr">
        <is>
          <t>増　減</t>
        </is>
      </c>
      <c r="D219" s="24">
        <f>D218-D217</f>
        <v/>
      </c>
      <c r="E219" s="24">
        <f>E218-E217</f>
        <v/>
      </c>
      <c r="F219" s="24">
        <f>F218-F217</f>
        <v/>
      </c>
      <c r="G219" s="24">
        <f>G218-G217</f>
        <v/>
      </c>
      <c r="H219" s="24">
        <f>H218-H217</f>
        <v/>
      </c>
      <c r="I219" s="27">
        <f>I218-I217</f>
        <v/>
      </c>
      <c r="J219" s="30">
        <f>SUM(D219:I219)</f>
        <v/>
      </c>
      <c r="K219" s="29">
        <f>K218-K217</f>
        <v/>
      </c>
      <c r="L219" s="24">
        <f>L218-L217</f>
        <v/>
      </c>
      <c r="M219" s="24">
        <f>M218-M217</f>
        <v/>
      </c>
      <c r="N219" s="24">
        <f>N218-N217</f>
        <v/>
      </c>
      <c r="O219" s="24">
        <f>O218-O217</f>
        <v/>
      </c>
      <c r="P219" s="27">
        <f>P218-P217</f>
        <v/>
      </c>
      <c r="Q219" s="30">
        <f>SUM(K219:P219)</f>
        <v/>
      </c>
      <c r="R219" s="30">
        <f>J219+Q219</f>
        <v/>
      </c>
      <c r="S219" s="17" t="n"/>
    </row>
    <row r="220" ht="18" customHeight="1" s="43" thickBot="1">
      <c r="B220" s="60" t="n"/>
      <c r="C220" s="25" t="inlineStr">
        <is>
          <t>稼働棟数</t>
        </is>
      </c>
      <c r="D220" s="20" t="n"/>
      <c r="E220" s="20" t="n"/>
      <c r="F220" s="20" t="n"/>
      <c r="G220" s="20" t="n"/>
      <c r="H220" s="20" t="n"/>
      <c r="I220" s="28" t="n"/>
      <c r="J220" s="21">
        <f>I220</f>
        <v/>
      </c>
      <c r="K220" s="22" t="n"/>
      <c r="L220" s="20" t="n"/>
      <c r="M220" s="20" t="n"/>
      <c r="N220" s="20" t="n"/>
      <c r="O220" s="20" t="n"/>
      <c r="P220" s="28" t="n"/>
      <c r="Q220" s="21">
        <f>P220</f>
        <v/>
      </c>
      <c r="R220" s="21">
        <f>Q220</f>
        <v/>
      </c>
      <c r="S220" s="18" t="n"/>
    </row>
    <row r="221" ht="18" customHeight="1" s="43" thickBot="1">
      <c r="B221" s="59" t="inlineStr">
        <is>
          <t>サンテレホン/加工BL</t>
        </is>
      </c>
      <c r="C221" s="31" t="inlineStr">
        <is>
          <t>58期</t>
        </is>
      </c>
      <c r="D221" s="8" t="n"/>
      <c r="E221" s="8" t="n"/>
      <c r="F221" s="8" t="n"/>
      <c r="G221" s="8" t="n">
        <v>1.89</v>
      </c>
      <c r="H221" s="8" t="n"/>
      <c r="I221" s="9" t="n"/>
      <c r="J221" s="10" t="n">
        <v>1.89</v>
      </c>
      <c r="K221" s="11" t="n"/>
      <c r="L221" s="8" t="n"/>
      <c r="M221" s="8" t="n"/>
      <c r="N221" s="8" t="n"/>
      <c r="O221" s="8" t="n"/>
      <c r="P221" s="9" t="n"/>
      <c r="Q221" s="10" t="n">
        <v>0</v>
      </c>
      <c r="R221" s="10" t="n">
        <v>1.89</v>
      </c>
      <c r="S221" s="16" t="n"/>
    </row>
    <row r="222" ht="18" customHeight="1" s="43">
      <c r="B222" s="48" t="n"/>
      <c r="C222" s="7" t="inlineStr">
        <is>
          <t>59期</t>
        </is>
      </c>
      <c r="D222" s="12" t="n"/>
      <c r="E222" s="12" t="n"/>
      <c r="F222" s="12" t="n"/>
      <c r="G222" s="12" t="n"/>
      <c r="H222" s="12" t="n"/>
      <c r="I222" s="13" t="n"/>
      <c r="J222" s="14">
        <f>SUM(D222:I222)</f>
        <v/>
      </c>
      <c r="K222" s="15" t="n"/>
      <c r="L222" s="12" t="n"/>
      <c r="M222" s="12" t="n"/>
      <c r="N222" s="12" t="n"/>
      <c r="O222" s="12" t="n"/>
      <c r="P222" s="13" t="n"/>
      <c r="Q222" s="14">
        <f>SUM(K222:P222)</f>
        <v/>
      </c>
      <c r="R222" s="14">
        <f>J222+Q222</f>
        <v/>
      </c>
      <c r="S222" s="17" t="n"/>
    </row>
    <row r="223" ht="18" customHeight="1" s="43">
      <c r="B223" s="48" t="n"/>
      <c r="C223" s="23" t="inlineStr">
        <is>
          <t>増　減</t>
        </is>
      </c>
      <c r="D223" s="24">
        <f>D222-D221</f>
        <v/>
      </c>
      <c r="E223" s="24">
        <f>E222-E221</f>
        <v/>
      </c>
      <c r="F223" s="24">
        <f>F222-F221</f>
        <v/>
      </c>
      <c r="G223" s="24">
        <f>G222-G221</f>
        <v/>
      </c>
      <c r="H223" s="24">
        <f>H222-H221</f>
        <v/>
      </c>
      <c r="I223" s="27">
        <f>I222-I221</f>
        <v/>
      </c>
      <c r="J223" s="30">
        <f>SUM(D223:I223)</f>
        <v/>
      </c>
      <c r="K223" s="29">
        <f>K222-K221</f>
        <v/>
      </c>
      <c r="L223" s="24">
        <f>L222-L221</f>
        <v/>
      </c>
      <c r="M223" s="24">
        <f>M222-M221</f>
        <v/>
      </c>
      <c r="N223" s="24">
        <f>N222-N221</f>
        <v/>
      </c>
      <c r="O223" s="24">
        <f>O222-O221</f>
        <v/>
      </c>
      <c r="P223" s="27">
        <f>P222-P221</f>
        <v/>
      </c>
      <c r="Q223" s="30">
        <f>SUM(K223:P223)</f>
        <v/>
      </c>
      <c r="R223" s="30">
        <f>J223+Q223</f>
        <v/>
      </c>
      <c r="S223" s="17" t="n"/>
    </row>
    <row r="224" ht="18" customHeight="1" s="43" thickBot="1">
      <c r="B224" s="60" t="n"/>
      <c r="C224" s="25" t="inlineStr">
        <is>
          <t>稼働棟数</t>
        </is>
      </c>
      <c r="D224" s="20" t="n"/>
      <c r="E224" s="20" t="n"/>
      <c r="F224" s="20" t="n"/>
      <c r="G224" s="20" t="n"/>
      <c r="H224" s="20" t="n"/>
      <c r="I224" s="28" t="n"/>
      <c r="J224" s="21">
        <f>I224</f>
        <v/>
      </c>
      <c r="K224" s="22" t="n"/>
      <c r="L224" s="20" t="n"/>
      <c r="M224" s="20" t="n"/>
      <c r="N224" s="20" t="n"/>
      <c r="O224" s="20" t="n"/>
      <c r="P224" s="28" t="n"/>
      <c r="Q224" s="21">
        <f>P224</f>
        <v/>
      </c>
      <c r="R224" s="21">
        <f>Q224</f>
        <v/>
      </c>
      <c r="S224" s="18" t="n"/>
    </row>
    <row r="225" ht="18" customHeight="1" s="43" thickBot="1">
      <c r="B225" s="59" t="inlineStr">
        <is>
          <t>サンテレホン/加工イチゴ</t>
        </is>
      </c>
      <c r="C225" s="31" t="inlineStr">
        <is>
          <t>58期</t>
        </is>
      </c>
      <c r="D225" s="8" t="n"/>
      <c r="E225" s="8" t="n"/>
      <c r="F225" s="8" t="n"/>
      <c r="G225" s="8" t="n"/>
      <c r="H225" s="8" t="n"/>
      <c r="I225" s="9" t="n"/>
      <c r="J225" s="10">
        <f>SUM(D225:I225)</f>
        <v/>
      </c>
      <c r="K225" s="11" t="n"/>
      <c r="L225" s="8" t="n"/>
      <c r="M225" s="8" t="n"/>
      <c r="N225" s="8" t="n"/>
      <c r="O225" s="8" t="n"/>
      <c r="P225" s="9" t="n"/>
      <c r="Q225" s="10">
        <f>SUM(K225:P225)</f>
        <v/>
      </c>
      <c r="R225" s="10">
        <f>J225+Q225</f>
        <v/>
      </c>
      <c r="S225" s="16" t="n"/>
    </row>
    <row r="226" ht="18" customHeight="1" s="43">
      <c r="B226" s="48" t="n"/>
      <c r="C226" s="7" t="inlineStr">
        <is>
          <t>59期</t>
        </is>
      </c>
      <c r="D226" s="12" t="n"/>
      <c r="E226" s="12" t="n"/>
      <c r="F226" s="12" t="n"/>
      <c r="G226" s="12" t="n"/>
      <c r="H226" s="12" t="n"/>
      <c r="I226" s="13" t="n"/>
      <c r="J226" s="14">
        <f>SUM(D226:I226)</f>
        <v/>
      </c>
      <c r="K226" s="15" t="n"/>
      <c r="L226" s="12" t="n"/>
      <c r="M226" s="12" t="n"/>
      <c r="N226" s="12" t="n"/>
      <c r="O226" s="12" t="n"/>
      <c r="P226" s="13" t="n"/>
      <c r="Q226" s="14">
        <f>SUM(K226:P226)</f>
        <v/>
      </c>
      <c r="R226" s="14">
        <f>J226+Q226</f>
        <v/>
      </c>
      <c r="S226" s="17" t="n"/>
    </row>
    <row r="227" ht="18" customHeight="1" s="43">
      <c r="B227" s="48" t="n"/>
      <c r="C227" s="23" t="inlineStr">
        <is>
          <t>増　減</t>
        </is>
      </c>
      <c r="D227" s="24">
        <f>D226-D225</f>
        <v/>
      </c>
      <c r="E227" s="24">
        <f>E226-E225</f>
        <v/>
      </c>
      <c r="F227" s="24">
        <f>F226-F225</f>
        <v/>
      </c>
      <c r="G227" s="24">
        <f>G226-G225</f>
        <v/>
      </c>
      <c r="H227" s="24">
        <f>H226-H225</f>
        <v/>
      </c>
      <c r="I227" s="27">
        <f>I226-I225</f>
        <v/>
      </c>
      <c r="J227" s="30">
        <f>SUM(D227:I227)</f>
        <v/>
      </c>
      <c r="K227" s="29">
        <f>K226-K225</f>
        <v/>
      </c>
      <c r="L227" s="24">
        <f>L226-L225</f>
        <v/>
      </c>
      <c r="M227" s="24">
        <f>M226-M225</f>
        <v/>
      </c>
      <c r="N227" s="24">
        <f>N226-N225</f>
        <v/>
      </c>
      <c r="O227" s="24">
        <f>O226-O225</f>
        <v/>
      </c>
      <c r="P227" s="27">
        <f>P226-P225</f>
        <v/>
      </c>
      <c r="Q227" s="30">
        <f>SUM(K227:P227)</f>
        <v/>
      </c>
      <c r="R227" s="30">
        <f>J227+Q227</f>
        <v/>
      </c>
      <c r="S227" s="17" t="n"/>
    </row>
    <row r="228" ht="18" customHeight="1" s="43" thickBot="1">
      <c r="B228" s="60" t="n"/>
      <c r="C228" s="25" t="inlineStr">
        <is>
          <t>稼働棟数</t>
        </is>
      </c>
      <c r="D228" s="20" t="n"/>
      <c r="E228" s="20" t="n"/>
      <c r="F228" s="20" t="n"/>
      <c r="G228" s="20" t="n"/>
      <c r="H228" s="20" t="n"/>
      <c r="I228" s="28" t="n"/>
      <c r="J228" s="21">
        <f>I228</f>
        <v/>
      </c>
      <c r="K228" s="22" t="n"/>
      <c r="L228" s="20" t="n"/>
      <c r="M228" s="20" t="n"/>
      <c r="N228" s="20" t="n"/>
      <c r="O228" s="20" t="n"/>
      <c r="P228" s="28" t="n"/>
      <c r="Q228" s="21">
        <f>P228</f>
        <v/>
      </c>
      <c r="R228" s="21">
        <f>Q228</f>
        <v/>
      </c>
      <c r="S228" s="18" t="n"/>
    </row>
    <row r="229" ht="18" customHeight="1" s="43" thickBot="1">
      <c r="B229" s="59" t="inlineStr">
        <is>
          <t>サンテレホン/加工トマト</t>
        </is>
      </c>
      <c r="C229" s="31" t="inlineStr">
        <is>
          <t>58期</t>
        </is>
      </c>
      <c r="D229" s="8" t="n"/>
      <c r="E229" s="8" t="n"/>
      <c r="F229" s="8" t="n"/>
      <c r="G229" s="8" t="n"/>
      <c r="H229" s="8" t="n"/>
      <c r="I229" s="9" t="n"/>
      <c r="J229" s="10">
        <f>SUM(D229:I229)</f>
        <v/>
      </c>
      <c r="K229" s="11" t="n"/>
      <c r="L229" s="8" t="n"/>
      <c r="M229" s="8" t="n"/>
      <c r="N229" s="8" t="n"/>
      <c r="O229" s="8" t="n"/>
      <c r="P229" s="9" t="n"/>
      <c r="Q229" s="10">
        <f>SUM(K229:P229)</f>
        <v/>
      </c>
      <c r="R229" s="10">
        <f>J229+Q229</f>
        <v/>
      </c>
      <c r="S229" s="16" t="n"/>
    </row>
    <row r="230" ht="18" customHeight="1" s="43">
      <c r="B230" s="48" t="n"/>
      <c r="C230" s="7" t="inlineStr">
        <is>
          <t>59期</t>
        </is>
      </c>
      <c r="D230" s="12" t="n"/>
      <c r="E230" s="12" t="n"/>
      <c r="F230" s="12" t="n"/>
      <c r="G230" s="12" t="n"/>
      <c r="H230" s="12" t="n"/>
      <c r="I230" s="13" t="n"/>
      <c r="J230" s="14">
        <f>SUM(D230:I230)</f>
        <v/>
      </c>
      <c r="K230" s="15" t="n"/>
      <c r="L230" s="12" t="n"/>
      <c r="M230" s="12" t="n"/>
      <c r="N230" s="12" t="n"/>
      <c r="O230" s="12" t="n"/>
      <c r="P230" s="13" t="n"/>
      <c r="Q230" s="14">
        <f>SUM(K230:P230)</f>
        <v/>
      </c>
      <c r="R230" s="14">
        <f>J230+Q230</f>
        <v/>
      </c>
      <c r="S230" s="17" t="n"/>
    </row>
    <row r="231" ht="18" customHeight="1" s="43">
      <c r="B231" s="48" t="n"/>
      <c r="C231" s="23" t="inlineStr">
        <is>
          <t>増　減</t>
        </is>
      </c>
      <c r="D231" s="24">
        <f>D230-D229</f>
        <v/>
      </c>
      <c r="E231" s="24">
        <f>E230-E229</f>
        <v/>
      </c>
      <c r="F231" s="24">
        <f>F230-F229</f>
        <v/>
      </c>
      <c r="G231" s="24">
        <f>G230-G229</f>
        <v/>
      </c>
      <c r="H231" s="24">
        <f>H230-H229</f>
        <v/>
      </c>
      <c r="I231" s="27">
        <f>I230-I229</f>
        <v/>
      </c>
      <c r="J231" s="30">
        <f>SUM(D231:I231)</f>
        <v/>
      </c>
      <c r="K231" s="29">
        <f>K230-K229</f>
        <v/>
      </c>
      <c r="L231" s="24">
        <f>L230-L229</f>
        <v/>
      </c>
      <c r="M231" s="24">
        <f>M230-M229</f>
        <v/>
      </c>
      <c r="N231" s="24">
        <f>N230-N229</f>
        <v/>
      </c>
      <c r="O231" s="24">
        <f>O230-O229</f>
        <v/>
      </c>
      <c r="P231" s="27">
        <f>P230-P229</f>
        <v/>
      </c>
      <c r="Q231" s="30">
        <f>SUM(K231:P231)</f>
        <v/>
      </c>
      <c r="R231" s="30">
        <f>J231+Q231</f>
        <v/>
      </c>
      <c r="S231" s="17" t="n"/>
    </row>
    <row r="232" ht="18" customHeight="1" s="43" thickBot="1">
      <c r="B232" s="60" t="n"/>
      <c r="C232" s="25" t="inlineStr">
        <is>
          <t>稼働棟数</t>
        </is>
      </c>
      <c r="D232" s="20" t="n"/>
      <c r="E232" s="20" t="n"/>
      <c r="F232" s="20" t="n"/>
      <c r="G232" s="20" t="n"/>
      <c r="H232" s="20" t="n"/>
      <c r="I232" s="28" t="n"/>
      <c r="J232" s="21">
        <f>I232</f>
        <v/>
      </c>
      <c r="K232" s="22" t="n"/>
      <c r="L232" s="20" t="n"/>
      <c r="M232" s="20" t="n"/>
      <c r="N232" s="20" t="n"/>
      <c r="O232" s="20" t="n"/>
      <c r="P232" s="28" t="n"/>
      <c r="Q232" s="21">
        <f>P232</f>
        <v/>
      </c>
      <c r="R232" s="21">
        <f>Q232</f>
        <v/>
      </c>
      <c r="S232" s="18" t="n"/>
    </row>
    <row r="233" ht="18" customHeight="1" s="43" thickBot="1">
      <c r="B233" s="59" t="inlineStr">
        <is>
          <t>IDAJ/加工BL</t>
        </is>
      </c>
      <c r="C233" s="31" t="inlineStr">
        <is>
          <t>58期</t>
        </is>
      </c>
      <c r="D233" s="8" t="n"/>
      <c r="E233" s="8" t="n"/>
      <c r="F233" s="8" t="n"/>
      <c r="G233" s="8" t="n"/>
      <c r="H233" s="8" t="n"/>
      <c r="I233" s="9" t="n"/>
      <c r="J233" s="10">
        <f>SUM(D233:I233)</f>
        <v/>
      </c>
      <c r="K233" s="11" t="n"/>
      <c r="L233" s="8" t="n"/>
      <c r="M233" s="8" t="n"/>
      <c r="N233" s="8" t="n"/>
      <c r="O233" s="8" t="n"/>
      <c r="P233" s="9" t="n"/>
      <c r="Q233" s="10">
        <f>SUM(K233:P233)</f>
        <v/>
      </c>
      <c r="R233" s="10">
        <f>J233+Q233</f>
        <v/>
      </c>
      <c r="S233" s="16" t="n"/>
    </row>
    <row r="234" ht="18" customHeight="1" s="43">
      <c r="B234" s="48" t="n"/>
      <c r="C234" s="7" t="inlineStr">
        <is>
          <t>59期</t>
        </is>
      </c>
      <c r="D234" s="12" t="n"/>
      <c r="E234" s="12" t="n"/>
      <c r="F234" s="12" t="n"/>
      <c r="G234" s="12" t="n"/>
      <c r="H234" s="12" t="n"/>
      <c r="I234" s="13" t="n"/>
      <c r="J234" s="14">
        <f>SUM(D234:I234)</f>
        <v/>
      </c>
      <c r="K234" s="15" t="n"/>
      <c r="L234" s="12" t="n"/>
      <c r="M234" s="12" t="n"/>
      <c r="N234" s="12" t="n"/>
      <c r="O234" s="12" t="n"/>
      <c r="P234" s="13" t="n"/>
      <c r="Q234" s="14">
        <f>SUM(K234:P234)</f>
        <v/>
      </c>
      <c r="R234" s="14">
        <f>J234+Q234</f>
        <v/>
      </c>
      <c r="S234" s="17" t="n"/>
    </row>
    <row r="235" ht="18" customHeight="1" s="43">
      <c r="B235" s="48" t="n"/>
      <c r="C235" s="23" t="inlineStr">
        <is>
          <t>増　減</t>
        </is>
      </c>
      <c r="D235" s="24">
        <f>D234-D233</f>
        <v/>
      </c>
      <c r="E235" s="24">
        <f>E234-E233</f>
        <v/>
      </c>
      <c r="F235" s="24">
        <f>F234-F233</f>
        <v/>
      </c>
      <c r="G235" s="24">
        <f>G234-G233</f>
        <v/>
      </c>
      <c r="H235" s="24">
        <f>H234-H233</f>
        <v/>
      </c>
      <c r="I235" s="27">
        <f>I234-I233</f>
        <v/>
      </c>
      <c r="J235" s="30">
        <f>SUM(D235:I235)</f>
        <v/>
      </c>
      <c r="K235" s="29">
        <f>K234-K233</f>
        <v/>
      </c>
      <c r="L235" s="24">
        <f>L234-L233</f>
        <v/>
      </c>
      <c r="M235" s="24">
        <f>M234-M233</f>
        <v/>
      </c>
      <c r="N235" s="24">
        <f>N234-N233</f>
        <v/>
      </c>
      <c r="O235" s="24">
        <f>O234-O233</f>
        <v/>
      </c>
      <c r="P235" s="27">
        <f>P234-P233</f>
        <v/>
      </c>
      <c r="Q235" s="30">
        <f>SUM(K235:P235)</f>
        <v/>
      </c>
      <c r="R235" s="30">
        <f>J235+Q235</f>
        <v/>
      </c>
      <c r="S235" s="17" t="n"/>
    </row>
    <row r="236" ht="18" customHeight="1" s="43" thickBot="1">
      <c r="B236" s="60" t="n"/>
      <c r="C236" s="25" t="inlineStr">
        <is>
          <t>稼働棟数</t>
        </is>
      </c>
      <c r="D236" s="20" t="n"/>
      <c r="E236" s="20" t="n"/>
      <c r="F236" s="20" t="n"/>
      <c r="G236" s="20" t="n"/>
      <c r="H236" s="20" t="n"/>
      <c r="I236" s="28" t="n"/>
      <c r="J236" s="21">
        <f>I236</f>
        <v/>
      </c>
      <c r="K236" s="22" t="n"/>
      <c r="L236" s="20" t="n"/>
      <c r="M236" s="20" t="n"/>
      <c r="N236" s="20" t="n"/>
      <c r="O236" s="20" t="n"/>
      <c r="P236" s="28" t="n"/>
      <c r="Q236" s="21">
        <f>P236</f>
        <v/>
      </c>
      <c r="R236" s="21">
        <f>Q236</f>
        <v/>
      </c>
      <c r="S236" s="18" t="n"/>
    </row>
    <row r="237" ht="18" customHeight="1" s="43" thickBot="1">
      <c r="B237" s="59" t="inlineStr">
        <is>
          <t>IDAJ/加工トマト</t>
        </is>
      </c>
      <c r="C237" s="31" t="inlineStr">
        <is>
          <t>58期</t>
        </is>
      </c>
      <c r="D237" s="8" t="n"/>
      <c r="E237" s="8" t="n"/>
      <c r="F237" s="8" t="n"/>
      <c r="G237" s="8" t="n"/>
      <c r="H237" s="8" t="n"/>
      <c r="I237" s="9" t="n"/>
      <c r="J237" s="10">
        <f>SUM(D237:I237)</f>
        <v/>
      </c>
      <c r="K237" s="11" t="n"/>
      <c r="L237" s="8" t="n"/>
      <c r="M237" s="8" t="n"/>
      <c r="N237" s="8" t="n"/>
      <c r="O237" s="8" t="n"/>
      <c r="P237" s="9" t="n"/>
      <c r="Q237" s="10">
        <f>SUM(K237:P237)</f>
        <v/>
      </c>
      <c r="R237" s="10">
        <f>J237+Q237</f>
        <v/>
      </c>
      <c r="S237" s="16" t="n"/>
    </row>
    <row r="238" ht="18" customHeight="1" s="43">
      <c r="B238" s="48" t="n"/>
      <c r="C238" s="7" t="inlineStr">
        <is>
          <t>59期</t>
        </is>
      </c>
      <c r="D238" s="12" t="n"/>
      <c r="E238" s="12" t="n"/>
      <c r="F238" s="12" t="n"/>
      <c r="G238" s="12" t="n"/>
      <c r="H238" s="12" t="n"/>
      <c r="I238" s="13" t="n"/>
      <c r="J238" s="14">
        <f>SUM(D238:I238)</f>
        <v/>
      </c>
      <c r="K238" s="15" t="n"/>
      <c r="L238" s="12" t="n"/>
      <c r="M238" s="12" t="n"/>
      <c r="N238" s="12" t="n"/>
      <c r="O238" s="12" t="n"/>
      <c r="P238" s="13" t="n"/>
      <c r="Q238" s="14">
        <f>SUM(K238:P238)</f>
        <v/>
      </c>
      <c r="R238" s="14">
        <f>J238+Q238</f>
        <v/>
      </c>
      <c r="S238" s="17" t="n"/>
    </row>
    <row r="239" ht="18" customHeight="1" s="43">
      <c r="B239" s="48" t="n"/>
      <c r="C239" s="23" t="inlineStr">
        <is>
          <t>増　減</t>
        </is>
      </c>
      <c r="D239" s="24">
        <f>D238-D237</f>
        <v/>
      </c>
      <c r="E239" s="24">
        <f>E238-E237</f>
        <v/>
      </c>
      <c r="F239" s="24">
        <f>F238-F237</f>
        <v/>
      </c>
      <c r="G239" s="24">
        <f>G238-G237</f>
        <v/>
      </c>
      <c r="H239" s="24">
        <f>H238-H237</f>
        <v/>
      </c>
      <c r="I239" s="27">
        <f>I238-I237</f>
        <v/>
      </c>
      <c r="J239" s="30">
        <f>SUM(D239:I239)</f>
        <v/>
      </c>
      <c r="K239" s="29">
        <f>K238-K237</f>
        <v/>
      </c>
      <c r="L239" s="24">
        <f>L238-L237</f>
        <v/>
      </c>
      <c r="M239" s="24">
        <f>M238-M237</f>
        <v/>
      </c>
      <c r="N239" s="24">
        <f>N238-N237</f>
        <v/>
      </c>
      <c r="O239" s="24">
        <f>O238-O237</f>
        <v/>
      </c>
      <c r="P239" s="27">
        <f>P238-P237</f>
        <v/>
      </c>
      <c r="Q239" s="30">
        <f>SUM(K239:P239)</f>
        <v/>
      </c>
      <c r="R239" s="30">
        <f>J239+Q239</f>
        <v/>
      </c>
      <c r="S239" s="17" t="n"/>
    </row>
    <row r="240" ht="18" customHeight="1" s="43" thickBot="1">
      <c r="B240" s="60" t="n"/>
      <c r="C240" s="25" t="inlineStr">
        <is>
          <t>稼働棟数</t>
        </is>
      </c>
      <c r="D240" s="20" t="n"/>
      <c r="E240" s="20" t="n"/>
      <c r="F240" s="20" t="n"/>
      <c r="G240" s="20" t="n"/>
      <c r="H240" s="20" t="n"/>
      <c r="I240" s="28" t="n"/>
      <c r="J240" s="21">
        <f>I240</f>
        <v/>
      </c>
      <c r="K240" s="22" t="n"/>
      <c r="L240" s="20" t="n"/>
      <c r="M240" s="20" t="n"/>
      <c r="N240" s="20" t="n"/>
      <c r="O240" s="20" t="n"/>
      <c r="P240" s="28" t="n"/>
      <c r="Q240" s="21">
        <f>P240</f>
        <v/>
      </c>
      <c r="R240" s="21">
        <f>Q240</f>
        <v/>
      </c>
      <c r="S240" s="18" t="n"/>
    </row>
    <row r="241" ht="18" customHeight="1" s="43" thickBot="1">
      <c r="B241" s="59" t="inlineStr">
        <is>
          <t>イソップ/加工BL</t>
        </is>
      </c>
      <c r="C241" s="31" t="inlineStr">
        <is>
          <t>58期</t>
        </is>
      </c>
      <c r="D241" s="8" t="n"/>
      <c r="E241" s="8" t="n"/>
      <c r="F241" s="8" t="n"/>
      <c r="G241" s="8" t="n"/>
      <c r="H241" s="8" t="n"/>
      <c r="I241" s="9" t="n"/>
      <c r="J241" s="10">
        <f>SUM(D241:I241)</f>
        <v/>
      </c>
      <c r="K241" s="11" t="n"/>
      <c r="L241" s="8" t="n"/>
      <c r="M241" s="8" t="n"/>
      <c r="N241" s="8" t="n"/>
      <c r="O241" s="8" t="n"/>
      <c r="P241" s="9" t="n"/>
      <c r="Q241" s="10">
        <f>SUM(K241:P241)</f>
        <v/>
      </c>
      <c r="R241" s="10">
        <f>J241+Q241</f>
        <v/>
      </c>
      <c r="S241" s="16" t="n"/>
    </row>
    <row r="242" ht="18" customHeight="1" s="43">
      <c r="B242" s="48" t="n"/>
      <c r="C242" s="7" t="inlineStr">
        <is>
          <t>59期</t>
        </is>
      </c>
      <c r="D242" s="12" t="n"/>
      <c r="E242" s="12" t="n"/>
      <c r="F242" s="12" t="n"/>
      <c r="G242" s="12" t="n"/>
      <c r="H242" s="12" t="n"/>
      <c r="I242" s="13" t="n"/>
      <c r="J242" s="14">
        <f>SUM(D242:I242)</f>
        <v/>
      </c>
      <c r="K242" s="15" t="n"/>
      <c r="L242" s="12" t="n"/>
      <c r="M242" s="12" t="n"/>
      <c r="N242" s="12" t="n"/>
      <c r="O242" s="12" t="n"/>
      <c r="P242" s="13" t="n"/>
      <c r="Q242" s="14">
        <f>SUM(K242:P242)</f>
        <v/>
      </c>
      <c r="R242" s="14">
        <f>J242+Q242</f>
        <v/>
      </c>
      <c r="S242" s="17" t="n"/>
    </row>
    <row r="243" ht="18" customHeight="1" s="43">
      <c r="B243" s="48" t="n"/>
      <c r="C243" s="23" t="inlineStr">
        <is>
          <t>増　減</t>
        </is>
      </c>
      <c r="D243" s="24">
        <f>D242-D241</f>
        <v/>
      </c>
      <c r="E243" s="24">
        <f>E242-E241</f>
        <v/>
      </c>
      <c r="F243" s="24">
        <f>F242-F241</f>
        <v/>
      </c>
      <c r="G243" s="24">
        <f>G242-G241</f>
        <v/>
      </c>
      <c r="H243" s="24">
        <f>H242-H241</f>
        <v/>
      </c>
      <c r="I243" s="27">
        <f>I242-I241</f>
        <v/>
      </c>
      <c r="J243" s="30">
        <f>SUM(D243:I243)</f>
        <v/>
      </c>
      <c r="K243" s="29">
        <f>K242-K241</f>
        <v/>
      </c>
      <c r="L243" s="24">
        <f>L242-L241</f>
        <v/>
      </c>
      <c r="M243" s="24">
        <f>M242-M241</f>
        <v/>
      </c>
      <c r="N243" s="24">
        <f>N242-N241</f>
        <v/>
      </c>
      <c r="O243" s="24">
        <f>O242-O241</f>
        <v/>
      </c>
      <c r="P243" s="27">
        <f>P242-P241</f>
        <v/>
      </c>
      <c r="Q243" s="30">
        <f>SUM(K243:P243)</f>
        <v/>
      </c>
      <c r="R243" s="30">
        <f>J243+Q243</f>
        <v/>
      </c>
      <c r="S243" s="17" t="n"/>
    </row>
    <row r="244" ht="18" customHeight="1" s="43" thickBot="1">
      <c r="B244" s="60" t="n"/>
      <c r="C244" s="25" t="inlineStr">
        <is>
          <t>稼働棟数</t>
        </is>
      </c>
      <c r="D244" s="20" t="n"/>
      <c r="E244" s="20" t="n"/>
      <c r="F244" s="20" t="n"/>
      <c r="G244" s="20" t="n"/>
      <c r="H244" s="20" t="n"/>
      <c r="I244" s="28" t="n"/>
      <c r="J244" s="21">
        <f>I244</f>
        <v/>
      </c>
      <c r="K244" s="22" t="n"/>
      <c r="L244" s="20" t="n"/>
      <c r="M244" s="20" t="n"/>
      <c r="N244" s="20" t="n"/>
      <c r="O244" s="20" t="n"/>
      <c r="P244" s="28" t="n"/>
      <c r="Q244" s="21">
        <f>P244</f>
        <v/>
      </c>
      <c r="R244" s="21">
        <f>Q244</f>
        <v/>
      </c>
      <c r="S244" s="18" t="n"/>
    </row>
    <row r="245" ht="18" customHeight="1" s="43" thickBot="1">
      <c r="B245" s="59" t="inlineStr">
        <is>
          <t>イソップ/加工トマト</t>
        </is>
      </c>
      <c r="C245" s="31" t="inlineStr">
        <is>
          <t>58期</t>
        </is>
      </c>
      <c r="D245" s="8" t="n"/>
      <c r="E245" s="8" t="n"/>
      <c r="F245" s="8" t="n"/>
      <c r="G245" s="8" t="n"/>
      <c r="H245" s="8" t="n"/>
      <c r="I245" s="9" t="n"/>
      <c r="J245" s="10">
        <f>SUM(D245:I245)</f>
        <v/>
      </c>
      <c r="K245" s="11" t="n"/>
      <c r="L245" s="8" t="n"/>
      <c r="M245" s="8" t="n"/>
      <c r="N245" s="8" t="n"/>
      <c r="O245" s="8" t="n"/>
      <c r="P245" s="9" t="n"/>
      <c r="Q245" s="10">
        <f>SUM(K245:P245)</f>
        <v/>
      </c>
      <c r="R245" s="10">
        <f>J245+Q245</f>
        <v/>
      </c>
      <c r="S245" s="16" t="n"/>
    </row>
    <row r="246" ht="18" customHeight="1" s="43">
      <c r="B246" s="48" t="n"/>
      <c r="C246" s="7" t="inlineStr">
        <is>
          <t>59期</t>
        </is>
      </c>
      <c r="D246" s="12" t="n"/>
      <c r="E246" s="12" t="n"/>
      <c r="F246" s="12" t="n"/>
      <c r="G246" s="12" t="n"/>
      <c r="H246" s="12" t="n"/>
      <c r="I246" s="13" t="n"/>
      <c r="J246" s="14">
        <f>SUM(D246:I246)</f>
        <v/>
      </c>
      <c r="K246" s="15" t="n"/>
      <c r="L246" s="12" t="n"/>
      <c r="M246" s="12" t="n"/>
      <c r="N246" s="12" t="n"/>
      <c r="O246" s="12" t="n"/>
      <c r="P246" s="13" t="n"/>
      <c r="Q246" s="14">
        <f>SUM(K246:P246)</f>
        <v/>
      </c>
      <c r="R246" s="14">
        <f>J246+Q246</f>
        <v/>
      </c>
      <c r="S246" s="17" t="n"/>
    </row>
    <row r="247" ht="18" customHeight="1" s="43">
      <c r="B247" s="48" t="n"/>
      <c r="C247" s="23" t="inlineStr">
        <is>
          <t>増　減</t>
        </is>
      </c>
      <c r="D247" s="24">
        <f>D246-D245</f>
        <v/>
      </c>
      <c r="E247" s="24">
        <f>E246-E245</f>
        <v/>
      </c>
      <c r="F247" s="24">
        <f>F246-F245</f>
        <v/>
      </c>
      <c r="G247" s="24">
        <f>G246-G245</f>
        <v/>
      </c>
      <c r="H247" s="24">
        <f>H246-H245</f>
        <v/>
      </c>
      <c r="I247" s="27">
        <f>I246-I245</f>
        <v/>
      </c>
      <c r="J247" s="30">
        <f>SUM(D247:I247)</f>
        <v/>
      </c>
      <c r="K247" s="29">
        <f>K246-K245</f>
        <v/>
      </c>
      <c r="L247" s="24">
        <f>L246-L245</f>
        <v/>
      </c>
      <c r="M247" s="24">
        <f>M246-M245</f>
        <v/>
      </c>
      <c r="N247" s="24">
        <f>N246-N245</f>
        <v/>
      </c>
      <c r="O247" s="24">
        <f>O246-O245</f>
        <v/>
      </c>
      <c r="P247" s="27">
        <f>P246-P245</f>
        <v/>
      </c>
      <c r="Q247" s="30">
        <f>SUM(K247:P247)</f>
        <v/>
      </c>
      <c r="R247" s="30">
        <f>J247+Q247</f>
        <v/>
      </c>
      <c r="S247" s="17" t="n"/>
    </row>
    <row r="248" ht="18" customHeight="1" s="43" thickBot="1">
      <c r="B248" s="60" t="n"/>
      <c r="C248" s="25" t="inlineStr">
        <is>
          <t>稼働棟数</t>
        </is>
      </c>
      <c r="D248" s="20" t="n"/>
      <c r="E248" s="20" t="n"/>
      <c r="F248" s="20" t="n"/>
      <c r="G248" s="20" t="n"/>
      <c r="H248" s="20" t="n"/>
      <c r="I248" s="28" t="n"/>
      <c r="J248" s="21">
        <f>I248</f>
        <v/>
      </c>
      <c r="K248" s="22" t="n"/>
      <c r="L248" s="20" t="n"/>
      <c r="M248" s="20" t="n"/>
      <c r="N248" s="20" t="n"/>
      <c r="O248" s="20" t="n"/>
      <c r="P248" s="28" t="n"/>
      <c r="Q248" s="21">
        <f>P248</f>
        <v/>
      </c>
      <c r="R248" s="21">
        <f>Q248</f>
        <v/>
      </c>
      <c r="S248" s="18" t="n"/>
    </row>
    <row r="249" ht="18" customHeight="1" s="43">
      <c r="A249" s="44" t="n"/>
      <c r="B249" s="55" t="inlineStr">
        <is>
          <t>企業棟月間合計</t>
        </is>
      </c>
      <c r="C249" s="31" t="inlineStr">
        <is>
          <t>58期</t>
        </is>
      </c>
      <c r="D249" s="41" t="n">
        <v>0</v>
      </c>
      <c r="E249" s="41" t="n">
        <v>0</v>
      </c>
      <c r="F249" s="41" t="n">
        <v>0</v>
      </c>
      <c r="G249" s="41" t="n">
        <v>50.99</v>
      </c>
      <c r="H249" s="41" t="n">
        <v>0</v>
      </c>
      <c r="I249" s="41" t="n">
        <v>0</v>
      </c>
      <c r="J249" s="10" t="n">
        <v>50.99</v>
      </c>
      <c r="K249" s="41" t="n">
        <v>0</v>
      </c>
      <c r="L249" s="41" t="n">
        <v>0</v>
      </c>
      <c r="M249" s="41" t="n">
        <v>0</v>
      </c>
      <c r="N249" s="41" t="n">
        <v>0</v>
      </c>
      <c r="O249" s="41" t="n">
        <v>0</v>
      </c>
      <c r="P249" s="41" t="n">
        <v>0</v>
      </c>
      <c r="Q249" s="10" t="n">
        <v>0</v>
      </c>
      <c r="R249" s="10" t="n">
        <v>50.99</v>
      </c>
      <c r="S249" s="16" t="n"/>
    </row>
    <row r="250" ht="18" customHeight="1" s="43">
      <c r="A250" s="45" t="n"/>
      <c r="B250" s="48" t="n"/>
      <c r="C250" s="7" t="inlineStr">
        <is>
          <t>59期</t>
        </is>
      </c>
      <c r="D250" s="41" t="n"/>
      <c r="E250" s="12" t="n"/>
      <c r="F250" s="12" t="n"/>
      <c r="G250" s="12" t="n"/>
      <c r="H250" s="12" t="n"/>
      <c r="I250" s="12" t="n"/>
      <c r="J250" s="14">
        <f>SUM(D250:I250)</f>
        <v/>
      </c>
      <c r="K250" s="42" t="n"/>
      <c r="L250" s="42" t="n"/>
      <c r="M250" s="42" t="n"/>
      <c r="N250" s="42" t="n"/>
      <c r="O250" s="42" t="n"/>
      <c r="P250" s="42" t="n"/>
      <c r="Q250" s="14">
        <f>SUM(K250:P250)</f>
        <v/>
      </c>
      <c r="R250" s="14">
        <f>J250+Q250</f>
        <v/>
      </c>
      <c r="S250" s="17" t="n"/>
    </row>
    <row r="251" ht="18" customHeight="1" s="43">
      <c r="A251" s="45" t="n"/>
      <c r="B251" s="48" t="n"/>
      <c r="C251" s="23" t="inlineStr">
        <is>
          <t>増　減</t>
        </is>
      </c>
      <c r="D251" s="24">
        <f>D250-D249</f>
        <v/>
      </c>
      <c r="E251" s="24">
        <f>E250-E249</f>
        <v/>
      </c>
      <c r="F251" s="24">
        <f>F250-F249</f>
        <v/>
      </c>
      <c r="G251" s="24">
        <f>G250-G249</f>
        <v/>
      </c>
      <c r="H251" s="24">
        <f>H250-H249</f>
        <v/>
      </c>
      <c r="I251" s="27">
        <f>I250-I249</f>
        <v/>
      </c>
      <c r="J251" s="30">
        <f>SUM(D251:I251)</f>
        <v/>
      </c>
      <c r="K251" s="29">
        <f>K250-K249</f>
        <v/>
      </c>
      <c r="L251" s="24">
        <f>L250-L249</f>
        <v/>
      </c>
      <c r="M251" s="24">
        <f>M250-M249</f>
        <v/>
      </c>
      <c r="N251" s="24">
        <f>N250-N249</f>
        <v/>
      </c>
      <c r="O251" s="24">
        <f>O250-O249</f>
        <v/>
      </c>
      <c r="P251" s="27">
        <f>P250-P249</f>
        <v/>
      </c>
      <c r="Q251" s="30">
        <f>SUM(K251:P251)</f>
        <v/>
      </c>
      <c r="R251" s="30">
        <f>J251+Q251</f>
        <v/>
      </c>
      <c r="S251" s="17" t="n"/>
    </row>
    <row r="252" ht="18" customHeight="1" s="43" thickBot="1">
      <c r="A252" s="46" t="n"/>
      <c r="B252" s="49" t="n"/>
      <c r="C252" s="25" t="inlineStr">
        <is>
          <t>稼働棟数</t>
        </is>
      </c>
      <c r="D252" s="20" t="n"/>
      <c r="E252" s="20" t="n"/>
      <c r="F252" s="20" t="n"/>
      <c r="G252" s="20" t="n"/>
      <c r="H252" s="20" t="n"/>
      <c r="I252" s="28" t="n"/>
      <c r="J252" s="21">
        <f>I252</f>
        <v/>
      </c>
      <c r="K252" s="22" t="n"/>
      <c r="L252" s="20" t="n"/>
      <c r="M252" s="20" t="n"/>
      <c r="N252" s="20" t="n"/>
      <c r="O252" s="20" t="n"/>
      <c r="P252" s="28" t="n"/>
      <c r="Q252" s="21">
        <f>P252</f>
        <v/>
      </c>
      <c r="R252" s="21">
        <f>Q252</f>
        <v/>
      </c>
      <c r="S252" s="18" t="n"/>
    </row>
    <row r="253" ht="18" customHeight="1" s="43" thickBot="1">
      <c r="B253" s="59" t="inlineStr">
        <is>
          <t>日建/加工BL</t>
        </is>
      </c>
      <c r="C253" s="31" t="inlineStr">
        <is>
          <t>58期</t>
        </is>
      </c>
      <c r="D253" s="8" t="n"/>
      <c r="E253" s="8" t="n"/>
      <c r="F253" s="8" t="n"/>
      <c r="G253" s="8" t="n">
        <v>6.54</v>
      </c>
      <c r="H253" s="8" t="n"/>
      <c r="I253" s="9" t="n"/>
      <c r="J253" s="10" t="n">
        <v>6.54</v>
      </c>
      <c r="K253" s="11" t="n"/>
      <c r="L253" s="8" t="n"/>
      <c r="M253" s="8" t="n"/>
      <c r="N253" s="8" t="n"/>
      <c r="O253" s="8" t="n"/>
      <c r="P253" s="9" t="n"/>
      <c r="Q253" s="10" t="n">
        <v>0</v>
      </c>
      <c r="R253" s="10" t="n">
        <v>6.54</v>
      </c>
      <c r="S253" s="16" t="n"/>
    </row>
    <row r="254" ht="18" customHeight="1" s="43">
      <c r="B254" s="48" t="n"/>
      <c r="C254" s="7" t="inlineStr">
        <is>
          <t>59期</t>
        </is>
      </c>
      <c r="D254" s="12" t="n"/>
      <c r="E254" s="12" t="n"/>
      <c r="F254" s="12" t="n"/>
      <c r="G254" s="12" t="n"/>
      <c r="H254" s="12" t="n"/>
      <c r="I254" s="13" t="n"/>
      <c r="J254" s="14">
        <f>SUM(D254:I254)</f>
        <v/>
      </c>
      <c r="K254" s="15" t="n"/>
      <c r="L254" s="12" t="n"/>
      <c r="M254" s="12" t="n"/>
      <c r="N254" s="12" t="n"/>
      <c r="O254" s="12" t="n"/>
      <c r="P254" s="13" t="n"/>
      <c r="Q254" s="14">
        <f>SUM(K254:P254)</f>
        <v/>
      </c>
      <c r="R254" s="14">
        <f>J254+Q254</f>
        <v/>
      </c>
      <c r="S254" s="17" t="n"/>
    </row>
    <row r="255" ht="18" customHeight="1" s="43">
      <c r="B255" s="48" t="n"/>
      <c r="C255" s="23" t="inlineStr">
        <is>
          <t>増　減</t>
        </is>
      </c>
      <c r="D255" s="24">
        <f>D254-D253</f>
        <v/>
      </c>
      <c r="E255" s="24">
        <f>E254-E253</f>
        <v/>
      </c>
      <c r="F255" s="24">
        <f>F254-F253</f>
        <v/>
      </c>
      <c r="G255" s="24">
        <f>G254-G253</f>
        <v/>
      </c>
      <c r="H255" s="24">
        <f>H254-H253</f>
        <v/>
      </c>
      <c r="I255" s="27">
        <f>I254-I253</f>
        <v/>
      </c>
      <c r="J255" s="30">
        <f>SUM(D255:I255)</f>
        <v/>
      </c>
      <c r="K255" s="29">
        <f>K254-K253</f>
        <v/>
      </c>
      <c r="L255" s="24">
        <f>L254-L253</f>
        <v/>
      </c>
      <c r="M255" s="24">
        <f>M254-M253</f>
        <v/>
      </c>
      <c r="N255" s="24">
        <f>N254-N253</f>
        <v/>
      </c>
      <c r="O255" s="24">
        <f>O254-O253</f>
        <v/>
      </c>
      <c r="P255" s="27">
        <f>P254-P253</f>
        <v/>
      </c>
      <c r="Q255" s="30">
        <f>SUM(K255:P255)</f>
        <v/>
      </c>
      <c r="R255" s="30">
        <f>J255+Q255</f>
        <v/>
      </c>
      <c r="S255" s="17" t="n"/>
    </row>
    <row r="256" ht="18" customHeight="1" s="43" thickBot="1">
      <c r="B256" s="60" t="n"/>
      <c r="C256" s="25" t="inlineStr">
        <is>
          <t>稼働棟数</t>
        </is>
      </c>
      <c r="D256" s="20" t="n"/>
      <c r="E256" s="20" t="n"/>
      <c r="F256" s="20" t="n"/>
      <c r="G256" s="20" t="n"/>
      <c r="H256" s="20" t="n"/>
      <c r="I256" s="28" t="n"/>
      <c r="J256" s="21">
        <f>I256</f>
        <v/>
      </c>
      <c r="K256" s="22" t="n"/>
      <c r="L256" s="20" t="n"/>
      <c r="M256" s="20" t="n"/>
      <c r="N256" s="20" t="n"/>
      <c r="O256" s="20" t="n"/>
      <c r="P256" s="28" t="n"/>
      <c r="Q256" s="21">
        <f>P256</f>
        <v/>
      </c>
      <c r="R256" s="21">
        <f>Q256</f>
        <v/>
      </c>
      <c r="S256" s="18" t="n"/>
    </row>
    <row r="257" ht="18" customHeight="1" s="43" thickBot="1">
      <c r="B257" s="59" t="inlineStr">
        <is>
          <t>日建/加工イチゴ</t>
        </is>
      </c>
      <c r="C257" s="31" t="inlineStr">
        <is>
          <t>58期</t>
        </is>
      </c>
      <c r="D257" s="8" t="n"/>
      <c r="E257" s="8" t="n"/>
      <c r="F257" s="8" t="n"/>
      <c r="G257" s="8" t="n"/>
      <c r="H257" s="8" t="n"/>
      <c r="I257" s="9" t="n"/>
      <c r="J257" s="10">
        <f>SUM(D257:I257)</f>
        <v/>
      </c>
      <c r="K257" s="11" t="n"/>
      <c r="L257" s="8" t="n"/>
      <c r="M257" s="8" t="n"/>
      <c r="N257" s="8" t="n"/>
      <c r="O257" s="8" t="n"/>
      <c r="P257" s="9" t="n"/>
      <c r="Q257" s="10">
        <f>SUM(K257:P257)</f>
        <v/>
      </c>
      <c r="R257" s="10">
        <f>J257+Q257</f>
        <v/>
      </c>
      <c r="S257" s="16" t="n"/>
    </row>
    <row r="258" ht="18" customHeight="1" s="43">
      <c r="B258" s="48" t="n"/>
      <c r="C258" s="7" t="inlineStr">
        <is>
          <t>59期</t>
        </is>
      </c>
      <c r="D258" s="12" t="n"/>
      <c r="E258" s="12" t="n"/>
      <c r="F258" s="12" t="n"/>
      <c r="G258" s="12" t="n"/>
      <c r="H258" s="12" t="n"/>
      <c r="I258" s="13" t="n"/>
      <c r="J258" s="14">
        <f>SUM(D258:I258)</f>
        <v/>
      </c>
      <c r="K258" s="15" t="n"/>
      <c r="L258" s="12" t="n"/>
      <c r="M258" s="12" t="n"/>
      <c r="N258" s="12" t="n"/>
      <c r="O258" s="12" t="n"/>
      <c r="P258" s="13" t="n"/>
      <c r="Q258" s="14">
        <f>SUM(K258:P258)</f>
        <v/>
      </c>
      <c r="R258" s="14">
        <f>J258+Q258</f>
        <v/>
      </c>
      <c r="S258" s="17" t="n"/>
    </row>
    <row r="259" ht="18" customHeight="1" s="43">
      <c r="B259" s="48" t="n"/>
      <c r="C259" s="23" t="inlineStr">
        <is>
          <t>増　減</t>
        </is>
      </c>
      <c r="D259" s="24">
        <f>D258-D257</f>
        <v/>
      </c>
      <c r="E259" s="24">
        <f>E258-E257</f>
        <v/>
      </c>
      <c r="F259" s="24">
        <f>F258-F257</f>
        <v/>
      </c>
      <c r="G259" s="24">
        <f>G258-G257</f>
        <v/>
      </c>
      <c r="H259" s="24">
        <f>H258-H257</f>
        <v/>
      </c>
      <c r="I259" s="27">
        <f>I258-I257</f>
        <v/>
      </c>
      <c r="J259" s="30">
        <f>SUM(D259:I259)</f>
        <v/>
      </c>
      <c r="K259" s="29">
        <f>K258-K257</f>
        <v/>
      </c>
      <c r="L259" s="24">
        <f>L258-L257</f>
        <v/>
      </c>
      <c r="M259" s="24">
        <f>M258-M257</f>
        <v/>
      </c>
      <c r="N259" s="24">
        <f>N258-N257</f>
        <v/>
      </c>
      <c r="O259" s="24">
        <f>O258-O257</f>
        <v/>
      </c>
      <c r="P259" s="27">
        <f>P258-P257</f>
        <v/>
      </c>
      <c r="Q259" s="30">
        <f>SUM(K259:P259)</f>
        <v/>
      </c>
      <c r="R259" s="30">
        <f>J259+Q259</f>
        <v/>
      </c>
      <c r="S259" s="17" t="n"/>
    </row>
    <row r="260" ht="18" customHeight="1" s="43" thickBot="1">
      <c r="B260" s="60" t="n"/>
      <c r="C260" s="25" t="inlineStr">
        <is>
          <t>稼働棟数</t>
        </is>
      </c>
      <c r="D260" s="20" t="n"/>
      <c r="E260" s="20" t="n"/>
      <c r="F260" s="20" t="n"/>
      <c r="G260" s="20" t="n"/>
      <c r="H260" s="20" t="n"/>
      <c r="I260" s="28" t="n"/>
      <c r="J260" s="21">
        <f>I260</f>
        <v/>
      </c>
      <c r="K260" s="22" t="n"/>
      <c r="L260" s="20" t="n"/>
      <c r="M260" s="20" t="n"/>
      <c r="N260" s="20" t="n"/>
      <c r="O260" s="20" t="n"/>
      <c r="P260" s="28" t="n"/>
      <c r="Q260" s="21">
        <f>P260</f>
        <v/>
      </c>
      <c r="R260" s="21">
        <f>Q260</f>
        <v/>
      </c>
      <c r="S260" s="18" t="n"/>
    </row>
    <row r="261" ht="18" customHeight="1" s="43" thickBot="1">
      <c r="B261" s="59" t="inlineStr">
        <is>
          <t>日建/加工トマト</t>
        </is>
      </c>
      <c r="C261" s="31" t="inlineStr">
        <is>
          <t>58期</t>
        </is>
      </c>
      <c r="D261" s="8" t="n"/>
      <c r="E261" s="8" t="n"/>
      <c r="F261" s="8" t="n"/>
      <c r="G261" s="8" t="n"/>
      <c r="H261" s="8" t="n"/>
      <c r="I261" s="9" t="n"/>
      <c r="J261" s="10">
        <f>SUM(D261:I261)</f>
        <v/>
      </c>
      <c r="K261" s="11" t="n"/>
      <c r="L261" s="8" t="n"/>
      <c r="M261" s="8" t="n"/>
      <c r="N261" s="8" t="n"/>
      <c r="O261" s="8" t="n"/>
      <c r="P261" s="9" t="n"/>
      <c r="Q261" s="10">
        <f>SUM(K261:P261)</f>
        <v/>
      </c>
      <c r="R261" s="10">
        <f>J261+Q261</f>
        <v/>
      </c>
      <c r="S261" s="16" t="n"/>
    </row>
    <row r="262" ht="18" customHeight="1" s="43">
      <c r="B262" s="48" t="n"/>
      <c r="C262" s="7" t="inlineStr">
        <is>
          <t>59期</t>
        </is>
      </c>
      <c r="D262" s="12" t="n"/>
      <c r="E262" s="12" t="n"/>
      <c r="F262" s="12" t="n"/>
      <c r="G262" s="12" t="n"/>
      <c r="H262" s="12" t="n"/>
      <c r="I262" s="13" t="n"/>
      <c r="J262" s="14">
        <f>SUM(D262:I262)</f>
        <v/>
      </c>
      <c r="K262" s="15" t="n"/>
      <c r="L262" s="12" t="n"/>
      <c r="M262" s="12" t="n"/>
      <c r="N262" s="12" t="n"/>
      <c r="O262" s="12" t="n"/>
      <c r="P262" s="13" t="n"/>
      <c r="Q262" s="14">
        <f>SUM(K262:P262)</f>
        <v/>
      </c>
      <c r="R262" s="14">
        <f>J262+Q262</f>
        <v/>
      </c>
      <c r="S262" s="17" t="n"/>
    </row>
    <row r="263" ht="18" customHeight="1" s="43">
      <c r="B263" s="48" t="n"/>
      <c r="C263" s="23" t="inlineStr">
        <is>
          <t>増　減</t>
        </is>
      </c>
      <c r="D263" s="24">
        <f>D262-D261</f>
        <v/>
      </c>
      <c r="E263" s="24">
        <f>E262-E261</f>
        <v/>
      </c>
      <c r="F263" s="24">
        <f>F262-F261</f>
        <v/>
      </c>
      <c r="G263" s="24">
        <f>G262-G261</f>
        <v/>
      </c>
      <c r="H263" s="24">
        <f>H262-H261</f>
        <v/>
      </c>
      <c r="I263" s="27">
        <f>I262-I261</f>
        <v/>
      </c>
      <c r="J263" s="30">
        <f>SUM(D263:I263)</f>
        <v/>
      </c>
      <c r="K263" s="29">
        <f>K262-K261</f>
        <v/>
      </c>
      <c r="L263" s="24">
        <f>L262-L261</f>
        <v/>
      </c>
      <c r="M263" s="24">
        <f>M262-M261</f>
        <v/>
      </c>
      <c r="N263" s="24">
        <f>N262-N261</f>
        <v/>
      </c>
      <c r="O263" s="24">
        <f>O262-O261</f>
        <v/>
      </c>
      <c r="P263" s="27">
        <f>P262-P261</f>
        <v/>
      </c>
      <c r="Q263" s="30">
        <f>SUM(K263:P263)</f>
        <v/>
      </c>
      <c r="R263" s="30">
        <f>J263+Q263</f>
        <v/>
      </c>
      <c r="S263" s="17" t="n"/>
    </row>
    <row r="264" ht="18" customHeight="1" s="43" thickBot="1">
      <c r="B264" s="60" t="n"/>
      <c r="C264" s="25" t="inlineStr">
        <is>
          <t>稼働棟数</t>
        </is>
      </c>
      <c r="D264" s="20" t="n"/>
      <c r="E264" s="20" t="n"/>
      <c r="F264" s="20" t="n"/>
      <c r="G264" s="20" t="n"/>
      <c r="H264" s="20" t="n"/>
      <c r="I264" s="28" t="n"/>
      <c r="J264" s="21">
        <f>I264</f>
        <v/>
      </c>
      <c r="K264" s="22" t="n"/>
      <c r="L264" s="20" t="n"/>
      <c r="M264" s="20" t="n"/>
      <c r="N264" s="20" t="n"/>
      <c r="O264" s="20" t="n"/>
      <c r="P264" s="28" t="n"/>
      <c r="Q264" s="21">
        <f>P264</f>
        <v/>
      </c>
      <c r="R264" s="21">
        <f>Q264</f>
        <v/>
      </c>
      <c r="S264" s="18" t="n"/>
    </row>
    <row r="265" ht="18" customHeight="1" s="43">
      <c r="A265" s="0" t="n"/>
      <c r="B265" s="55" t="inlineStr">
        <is>
          <t>月間総合計</t>
        </is>
      </c>
      <c r="C265" s="31" t="inlineStr">
        <is>
          <t>58期</t>
        </is>
      </c>
      <c r="D265" s="8" t="n"/>
      <c r="E265" s="8" t="n"/>
      <c r="F265" s="8" t="n"/>
      <c r="G265" s="8" t="n"/>
      <c r="H265" s="8" t="n"/>
      <c r="I265" s="9" t="n"/>
      <c r="J265" s="10">
        <f>SUM(D265:I265)</f>
        <v/>
      </c>
      <c r="K265" s="11" t="n"/>
      <c r="L265" s="8" t="n"/>
      <c r="M265" s="8" t="n"/>
      <c r="N265" s="8" t="n"/>
      <c r="O265" s="8" t="n"/>
      <c r="P265" s="9" t="n"/>
      <c r="Q265" s="10">
        <f>SUM(K265:P265)</f>
        <v/>
      </c>
      <c r="R265" s="10">
        <f>J265+Q265</f>
        <v/>
      </c>
      <c r="S265" s="16" t="n"/>
    </row>
    <row r="266" ht="18" customHeight="1" s="43">
      <c r="A266" s="0" t="n"/>
      <c r="B266" s="48" t="n"/>
      <c r="C266" s="7" t="inlineStr">
        <is>
          <t>59期</t>
        </is>
      </c>
      <c r="D266" s="12" t="n"/>
      <c r="E266" s="12" t="n"/>
      <c r="F266" s="12" t="n"/>
      <c r="G266" s="12" t="n"/>
      <c r="H266" s="12" t="n"/>
      <c r="I266" s="13" t="n"/>
      <c r="J266" s="14">
        <f>SUM(D266:I266)</f>
        <v/>
      </c>
      <c r="K266" s="15" t="n"/>
      <c r="L266" s="12" t="n"/>
      <c r="M266" s="12" t="n"/>
      <c r="N266" s="12" t="n"/>
      <c r="O266" s="12" t="n"/>
      <c r="P266" s="13" t="n"/>
      <c r="Q266" s="14">
        <f>SUM(K266:P266)</f>
        <v/>
      </c>
      <c r="R266" s="14">
        <f>J266+Q266</f>
        <v/>
      </c>
      <c r="S266" s="17" t="n"/>
    </row>
    <row r="267" ht="18" customHeight="1" s="43">
      <c r="A267" s="0" t="n"/>
      <c r="B267" s="48" t="n"/>
      <c r="C267" s="23" t="inlineStr">
        <is>
          <t>増　減</t>
        </is>
      </c>
      <c r="D267" s="24">
        <f>D266-D265</f>
        <v/>
      </c>
      <c r="E267" s="24">
        <f>E266-E265</f>
        <v/>
      </c>
      <c r="F267" s="24">
        <f>F266-F265</f>
        <v/>
      </c>
      <c r="G267" s="24">
        <f>G266-G265</f>
        <v/>
      </c>
      <c r="H267" s="24">
        <f>H266-H265</f>
        <v/>
      </c>
      <c r="I267" s="27">
        <f>I266-I265</f>
        <v/>
      </c>
      <c r="J267" s="30">
        <f>SUM(D267:I267)</f>
        <v/>
      </c>
      <c r="K267" s="29">
        <f>K266-K265</f>
        <v/>
      </c>
      <c r="L267" s="24">
        <f>L266-L265</f>
        <v/>
      </c>
      <c r="M267" s="24">
        <f>M266-M265</f>
        <v/>
      </c>
      <c r="N267" s="24">
        <f>N266-N265</f>
        <v/>
      </c>
      <c r="O267" s="24">
        <f>O266-O265</f>
        <v/>
      </c>
      <c r="P267" s="27">
        <f>P266-P265</f>
        <v/>
      </c>
      <c r="Q267" s="30">
        <f>SUM(K267:P267)</f>
        <v/>
      </c>
      <c r="R267" s="30">
        <f>J267+Q267</f>
        <v/>
      </c>
      <c r="S267" s="17" t="n"/>
    </row>
    <row r="268" ht="18" customHeight="1" s="43" thickBot="1">
      <c r="A268" s="0" t="n"/>
      <c r="B268" s="49" t="n"/>
      <c r="C268" s="25" t="inlineStr">
        <is>
          <t>稼働棟数</t>
        </is>
      </c>
      <c r="D268" s="20" t="n"/>
      <c r="E268" s="20" t="n"/>
      <c r="F268" s="20" t="n"/>
      <c r="G268" s="20" t="n"/>
      <c r="H268" s="20" t="n"/>
      <c r="I268" s="28" t="n"/>
      <c r="J268" s="21">
        <f>I268</f>
        <v/>
      </c>
      <c r="K268" s="22" t="n"/>
      <c r="L268" s="20" t="n"/>
      <c r="M268" s="20" t="n"/>
      <c r="N268" s="20" t="n"/>
      <c r="O268" s="20" t="n"/>
      <c r="P268" s="28" t="n"/>
      <c r="Q268" s="21">
        <f>P268</f>
        <v/>
      </c>
      <c r="R268" s="21">
        <f>Q268</f>
        <v/>
      </c>
      <c r="S268" s="18" t="n"/>
    </row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</sheetData>
  <mergeCells count="67">
    <mergeCell ref="B97:B100"/>
    <mergeCell ref="B193:B196"/>
    <mergeCell ref="B169:B172"/>
    <mergeCell ref="B153:B156"/>
    <mergeCell ref="B233:B236"/>
    <mergeCell ref="B109:B112"/>
    <mergeCell ref="B149:B152"/>
    <mergeCell ref="B121:B124"/>
    <mergeCell ref="B165:B168"/>
    <mergeCell ref="B21:B24"/>
    <mergeCell ref="B77:B80"/>
    <mergeCell ref="B93:B96"/>
    <mergeCell ref="B145:B148"/>
    <mergeCell ref="B105:B108"/>
    <mergeCell ref="B161:B164"/>
    <mergeCell ref="B17:B20"/>
    <mergeCell ref="B61:B64"/>
    <mergeCell ref="B253:B256"/>
    <mergeCell ref="B117:B120"/>
    <mergeCell ref="B73:B76"/>
    <mergeCell ref="B157:B160"/>
    <mergeCell ref="B229:B232"/>
    <mergeCell ref="B29:B32"/>
    <mergeCell ref="B225:B228"/>
    <mergeCell ref="B57:B60"/>
    <mergeCell ref="B101:B104"/>
    <mergeCell ref="B181:B184"/>
    <mergeCell ref="B137:B140"/>
    <mergeCell ref="B13:B16"/>
    <mergeCell ref="B53:B56"/>
    <mergeCell ref="B249:B252"/>
    <mergeCell ref="B9:B12"/>
    <mergeCell ref="B245:B248"/>
    <mergeCell ref="B69:B72"/>
    <mergeCell ref="B205:B208"/>
    <mergeCell ref="B37:B40"/>
    <mergeCell ref="B177:B180"/>
    <mergeCell ref="B33:B36"/>
    <mergeCell ref="B257:B260"/>
    <mergeCell ref="B217:B220"/>
    <mergeCell ref="B133:B136"/>
    <mergeCell ref="B49:B52"/>
    <mergeCell ref="B65:B68"/>
    <mergeCell ref="B5:B8"/>
    <mergeCell ref="B41:B44"/>
    <mergeCell ref="B189:B192"/>
    <mergeCell ref="B201:B204"/>
    <mergeCell ref="B25:B28"/>
    <mergeCell ref="A249:A252"/>
    <mergeCell ref="B241:B244"/>
    <mergeCell ref="B197:B200"/>
    <mergeCell ref="B237:B240"/>
    <mergeCell ref="B113:B116"/>
    <mergeCell ref="B129:B132"/>
    <mergeCell ref="B89:B92"/>
    <mergeCell ref="B173:B176"/>
    <mergeCell ref="B213:B216"/>
    <mergeCell ref="B209:B212"/>
    <mergeCell ref="B265:B268"/>
    <mergeCell ref="B185:B188"/>
    <mergeCell ref="B261:B264"/>
    <mergeCell ref="B85:B88"/>
    <mergeCell ref="B45:B48"/>
    <mergeCell ref="B81:B84"/>
    <mergeCell ref="B125:B128"/>
    <mergeCell ref="B221:B224"/>
    <mergeCell ref="B141:B144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8" scale="71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19920017</dc:creator>
  <dcterms:created xsi:type="dcterms:W3CDTF">2021-11-26T03:55:15Z</dcterms:created>
  <dcterms:modified xsi:type="dcterms:W3CDTF">2026-02-22T09:28:22Z</dcterms:modified>
  <cp:lastModifiedBy>松岡　徹平</cp:lastModifiedBy>
  <cp:lastPrinted>2026-02-16T23:38:55Z</cp:lastPrinted>
</cp:coreProperties>
</file>