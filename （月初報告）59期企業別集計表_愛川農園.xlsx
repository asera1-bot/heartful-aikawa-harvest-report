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U:\B000005_営業本部　ハウス備品事業本部\障がい者農園事業部\004_はーとふる農園　愛川\農業指導員\★野菜販売\収量関係\"/>
    </mc:Choice>
  </mc:AlternateContent>
  <xr:revisionPtr revIDLastSave="0" documentId="13_ncr:1_{865EEC43-882D-4A28-B4B5-D501D18ABB1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企業月間生産量（ベビーリーフ）" sheetId="1" r:id="rId1"/>
    <sheet name="企業月間生産量（ベビーリーフ以外）" sheetId="2" r:id="rId2"/>
    <sheet name="企業別月間生産量 (加工用） 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7" i="3" l="1"/>
  <c r="Q204" i="2"/>
  <c r="R204" i="2" s="1"/>
  <c r="J204" i="2"/>
  <c r="P203" i="2"/>
  <c r="O203" i="2"/>
  <c r="N203" i="2"/>
  <c r="M203" i="2"/>
  <c r="L203" i="2"/>
  <c r="K203" i="2"/>
  <c r="Q203" i="2" s="1"/>
  <c r="I203" i="2"/>
  <c r="H203" i="2"/>
  <c r="J203" i="2" s="1"/>
  <c r="G203" i="2"/>
  <c r="F203" i="2"/>
  <c r="E203" i="2"/>
  <c r="D203" i="2"/>
  <c r="Q202" i="2"/>
  <c r="J202" i="2"/>
  <c r="R202" i="2" s="1"/>
  <c r="Q201" i="2"/>
  <c r="J201" i="2"/>
  <c r="R201" i="2" s="1"/>
  <c r="P176" i="3"/>
  <c r="Q176" i="3" s="1"/>
  <c r="R176" i="3" s="1"/>
  <c r="O176" i="3"/>
  <c r="N176" i="3"/>
  <c r="M176" i="3"/>
  <c r="L176" i="3"/>
  <c r="K176" i="3"/>
  <c r="I176" i="3"/>
  <c r="J176" i="3" s="1"/>
  <c r="H176" i="3"/>
  <c r="G176" i="3"/>
  <c r="F176" i="3"/>
  <c r="E176" i="3"/>
  <c r="D176" i="3"/>
  <c r="K174" i="3"/>
  <c r="I174" i="3"/>
  <c r="G173" i="3"/>
  <c r="F173" i="3"/>
  <c r="Q172" i="3"/>
  <c r="R172" i="3" s="1"/>
  <c r="J172" i="3"/>
  <c r="P171" i="3"/>
  <c r="O171" i="3"/>
  <c r="N171" i="3"/>
  <c r="M171" i="3"/>
  <c r="L171" i="3"/>
  <c r="K171" i="3"/>
  <c r="I171" i="3"/>
  <c r="H171" i="3"/>
  <c r="G171" i="3"/>
  <c r="F171" i="3"/>
  <c r="E171" i="3"/>
  <c r="D171" i="3"/>
  <c r="Q170" i="3"/>
  <c r="J170" i="3"/>
  <c r="R170" i="3" s="1"/>
  <c r="Q169" i="3"/>
  <c r="J169" i="3"/>
  <c r="R169" i="3" s="1"/>
  <c r="Q168" i="3"/>
  <c r="R168" i="3" s="1"/>
  <c r="J168" i="3"/>
  <c r="P167" i="3"/>
  <c r="O167" i="3"/>
  <c r="N167" i="3"/>
  <c r="M167" i="3"/>
  <c r="L167" i="3"/>
  <c r="K167" i="3"/>
  <c r="I167" i="3"/>
  <c r="H167" i="3"/>
  <c r="F167" i="3"/>
  <c r="E167" i="3"/>
  <c r="D167" i="3"/>
  <c r="Q166" i="3"/>
  <c r="J166" i="3"/>
  <c r="Q165" i="3"/>
  <c r="J165" i="3"/>
  <c r="R165" i="3" s="1"/>
  <c r="Q164" i="3"/>
  <c r="R164" i="3" s="1"/>
  <c r="J164" i="3"/>
  <c r="L163" i="3"/>
  <c r="K163" i="3"/>
  <c r="F163" i="3"/>
  <c r="P162" i="3"/>
  <c r="P174" i="3" s="1"/>
  <c r="O162" i="3"/>
  <c r="N162" i="3"/>
  <c r="N174" i="3" s="1"/>
  <c r="M162" i="3"/>
  <c r="L162" i="3"/>
  <c r="L174" i="3" s="1"/>
  <c r="K162" i="3"/>
  <c r="I162" i="3"/>
  <c r="H162" i="3"/>
  <c r="G162" i="3"/>
  <c r="G174" i="3" s="1"/>
  <c r="F162" i="3"/>
  <c r="F174" i="3" s="1"/>
  <c r="E162" i="3"/>
  <c r="E174" i="3" s="1"/>
  <c r="D162" i="3"/>
  <c r="D174" i="3" s="1"/>
  <c r="P161" i="3"/>
  <c r="O161" i="3"/>
  <c r="O173" i="3" s="1"/>
  <c r="N161" i="3"/>
  <c r="M161" i="3"/>
  <c r="M173" i="3" s="1"/>
  <c r="L161" i="3"/>
  <c r="L173" i="3" s="1"/>
  <c r="K161" i="3"/>
  <c r="K173" i="3" s="1"/>
  <c r="I161" i="3"/>
  <c r="I173" i="3" s="1"/>
  <c r="H161" i="3"/>
  <c r="H173" i="3" s="1"/>
  <c r="G161" i="3"/>
  <c r="F161" i="3"/>
  <c r="E161" i="3"/>
  <c r="E173" i="3" s="1"/>
  <c r="D161" i="3"/>
  <c r="D173" i="3" s="1"/>
  <c r="Q160" i="3"/>
  <c r="R160" i="3" s="1"/>
  <c r="J160" i="3"/>
  <c r="P159" i="3"/>
  <c r="O159" i="3"/>
  <c r="N159" i="3"/>
  <c r="M159" i="3"/>
  <c r="L159" i="3"/>
  <c r="K159" i="3"/>
  <c r="I159" i="3"/>
  <c r="H159" i="3"/>
  <c r="G159" i="3"/>
  <c r="F159" i="3"/>
  <c r="E159" i="3"/>
  <c r="D159" i="3"/>
  <c r="Q158" i="3"/>
  <c r="J158" i="3"/>
  <c r="R158" i="3" s="1"/>
  <c r="Q157" i="3"/>
  <c r="J157" i="3"/>
  <c r="R157" i="3" s="1"/>
  <c r="Q156" i="3"/>
  <c r="R156" i="3" s="1"/>
  <c r="J156" i="3"/>
  <c r="P155" i="3"/>
  <c r="O155" i="3"/>
  <c r="N155" i="3"/>
  <c r="M155" i="3"/>
  <c r="L155" i="3"/>
  <c r="K155" i="3"/>
  <c r="I155" i="3"/>
  <c r="H155" i="3"/>
  <c r="G155" i="3"/>
  <c r="F155" i="3"/>
  <c r="E155" i="3"/>
  <c r="D155" i="3"/>
  <c r="Q154" i="3"/>
  <c r="J154" i="3"/>
  <c r="R154" i="3" s="1"/>
  <c r="Q153" i="3"/>
  <c r="J153" i="3"/>
  <c r="R153" i="3" s="1"/>
  <c r="Q152" i="3"/>
  <c r="R152" i="3" s="1"/>
  <c r="J152" i="3"/>
  <c r="P151" i="3"/>
  <c r="O151" i="3"/>
  <c r="N151" i="3"/>
  <c r="M151" i="3"/>
  <c r="L151" i="3"/>
  <c r="K151" i="3"/>
  <c r="I151" i="3"/>
  <c r="H151" i="3"/>
  <c r="G151" i="3"/>
  <c r="F151" i="3"/>
  <c r="E151" i="3"/>
  <c r="D151" i="3"/>
  <c r="Q150" i="3"/>
  <c r="J150" i="3"/>
  <c r="R150" i="3" s="1"/>
  <c r="Q149" i="3"/>
  <c r="J149" i="3"/>
  <c r="R149" i="3" s="1"/>
  <c r="Q148" i="3"/>
  <c r="R148" i="3" s="1"/>
  <c r="J148" i="3"/>
  <c r="P147" i="3"/>
  <c r="O147" i="3"/>
  <c r="N147" i="3"/>
  <c r="M147" i="3"/>
  <c r="L147" i="3"/>
  <c r="K147" i="3"/>
  <c r="I147" i="3"/>
  <c r="H147" i="3"/>
  <c r="G147" i="3"/>
  <c r="F147" i="3"/>
  <c r="E147" i="3"/>
  <c r="D147" i="3"/>
  <c r="Q146" i="3"/>
  <c r="J146" i="3"/>
  <c r="R146" i="3" s="1"/>
  <c r="Q145" i="3"/>
  <c r="J145" i="3"/>
  <c r="Q144" i="3"/>
  <c r="R144" i="3" s="1"/>
  <c r="J144" i="3"/>
  <c r="P143" i="3"/>
  <c r="O143" i="3"/>
  <c r="N143" i="3"/>
  <c r="M143" i="3"/>
  <c r="L143" i="3"/>
  <c r="K143" i="3"/>
  <c r="Q143" i="3" s="1"/>
  <c r="I143" i="3"/>
  <c r="H143" i="3"/>
  <c r="G143" i="3"/>
  <c r="F143" i="3"/>
  <c r="E143" i="3"/>
  <c r="D143" i="3"/>
  <c r="Q142" i="3"/>
  <c r="R142" i="3" s="1"/>
  <c r="J142" i="3"/>
  <c r="Q141" i="3"/>
  <c r="J141" i="3"/>
  <c r="R141" i="3" s="1"/>
  <c r="Q140" i="3"/>
  <c r="R140" i="3" s="1"/>
  <c r="J140" i="3"/>
  <c r="P139" i="3"/>
  <c r="O139" i="3"/>
  <c r="N139" i="3"/>
  <c r="M139" i="3"/>
  <c r="L139" i="3"/>
  <c r="K139" i="3"/>
  <c r="I139" i="3"/>
  <c r="H139" i="3"/>
  <c r="G139" i="3"/>
  <c r="F139" i="3"/>
  <c r="E139" i="3"/>
  <c r="D139" i="3"/>
  <c r="Q138" i="3"/>
  <c r="J138" i="3"/>
  <c r="Q137" i="3"/>
  <c r="J137" i="3"/>
  <c r="R137" i="3" s="1"/>
  <c r="Q136" i="3"/>
  <c r="R136" i="3" s="1"/>
  <c r="J136" i="3"/>
  <c r="P135" i="3"/>
  <c r="O135" i="3"/>
  <c r="N135" i="3"/>
  <c r="M135" i="3"/>
  <c r="L135" i="3"/>
  <c r="K135" i="3"/>
  <c r="I135" i="3"/>
  <c r="H135" i="3"/>
  <c r="G135" i="3"/>
  <c r="F135" i="3"/>
  <c r="E135" i="3"/>
  <c r="D135" i="3"/>
  <c r="Q134" i="3"/>
  <c r="J134" i="3"/>
  <c r="Q133" i="3"/>
  <c r="J133" i="3"/>
  <c r="R133" i="3" s="1"/>
  <c r="Q132" i="3"/>
  <c r="R132" i="3" s="1"/>
  <c r="J132" i="3"/>
  <c r="P131" i="3"/>
  <c r="O131" i="3"/>
  <c r="N131" i="3"/>
  <c r="M131" i="3"/>
  <c r="L131" i="3"/>
  <c r="K131" i="3"/>
  <c r="I131" i="3"/>
  <c r="H131" i="3"/>
  <c r="G131" i="3"/>
  <c r="F131" i="3"/>
  <c r="E131" i="3"/>
  <c r="D131" i="3"/>
  <c r="Q130" i="3"/>
  <c r="J130" i="3"/>
  <c r="R130" i="3" s="1"/>
  <c r="Q129" i="3"/>
  <c r="J129" i="3"/>
  <c r="Q128" i="3"/>
  <c r="R128" i="3" s="1"/>
  <c r="J128" i="3"/>
  <c r="P127" i="3"/>
  <c r="O127" i="3"/>
  <c r="N127" i="3"/>
  <c r="M127" i="3"/>
  <c r="L127" i="3"/>
  <c r="K127" i="3"/>
  <c r="I127" i="3"/>
  <c r="H127" i="3"/>
  <c r="G127" i="3"/>
  <c r="F127" i="3"/>
  <c r="E127" i="3"/>
  <c r="D127" i="3"/>
  <c r="Q126" i="3"/>
  <c r="J126" i="3"/>
  <c r="R126" i="3" s="1"/>
  <c r="Q125" i="3"/>
  <c r="J125" i="3"/>
  <c r="Q124" i="3"/>
  <c r="R124" i="3" s="1"/>
  <c r="J124" i="3"/>
  <c r="P123" i="3"/>
  <c r="O123" i="3"/>
  <c r="N123" i="3"/>
  <c r="M123" i="3"/>
  <c r="L123" i="3"/>
  <c r="K123" i="3"/>
  <c r="I123" i="3"/>
  <c r="H123" i="3"/>
  <c r="G123" i="3"/>
  <c r="F123" i="3"/>
  <c r="E123" i="3"/>
  <c r="D123" i="3"/>
  <c r="Q122" i="3"/>
  <c r="J122" i="3"/>
  <c r="R122" i="3" s="1"/>
  <c r="Q121" i="3"/>
  <c r="J121" i="3"/>
  <c r="Q120" i="3"/>
  <c r="R120" i="3" s="1"/>
  <c r="J120" i="3"/>
  <c r="P119" i="3"/>
  <c r="O119" i="3"/>
  <c r="N119" i="3"/>
  <c r="M119" i="3"/>
  <c r="L119" i="3"/>
  <c r="K119" i="3"/>
  <c r="I119" i="3"/>
  <c r="H119" i="3"/>
  <c r="G119" i="3"/>
  <c r="F119" i="3"/>
  <c r="E119" i="3"/>
  <c r="D119" i="3"/>
  <c r="Q118" i="3"/>
  <c r="J118" i="3"/>
  <c r="R118" i="3" s="1"/>
  <c r="Q117" i="3"/>
  <c r="J117" i="3"/>
  <c r="Q116" i="3"/>
  <c r="R116" i="3" s="1"/>
  <c r="J116" i="3"/>
  <c r="P115" i="3"/>
  <c r="O115" i="3"/>
  <c r="N115" i="3"/>
  <c r="M115" i="3"/>
  <c r="L115" i="3"/>
  <c r="K115" i="3"/>
  <c r="I115" i="3"/>
  <c r="H115" i="3"/>
  <c r="G115" i="3"/>
  <c r="F115" i="3"/>
  <c r="E115" i="3"/>
  <c r="D115" i="3"/>
  <c r="Q114" i="3"/>
  <c r="J114" i="3"/>
  <c r="Q113" i="3"/>
  <c r="J113" i="3"/>
  <c r="Q112" i="3"/>
  <c r="R112" i="3" s="1"/>
  <c r="J112" i="3"/>
  <c r="P111" i="3"/>
  <c r="O111" i="3"/>
  <c r="N111" i="3"/>
  <c r="M111" i="3"/>
  <c r="L111" i="3"/>
  <c r="K111" i="3"/>
  <c r="Q111" i="3" s="1"/>
  <c r="I111" i="3"/>
  <c r="H111" i="3"/>
  <c r="G111" i="3"/>
  <c r="F111" i="3"/>
  <c r="E111" i="3"/>
  <c r="D111" i="3"/>
  <c r="Q110" i="3"/>
  <c r="J110" i="3"/>
  <c r="Q109" i="3"/>
  <c r="J109" i="3"/>
  <c r="R109" i="3" s="1"/>
  <c r="Q108" i="3"/>
  <c r="R108" i="3" s="1"/>
  <c r="J108" i="3"/>
  <c r="P107" i="3"/>
  <c r="O107" i="3"/>
  <c r="N107" i="3"/>
  <c r="M107" i="3"/>
  <c r="L107" i="3"/>
  <c r="K107" i="3"/>
  <c r="I107" i="3"/>
  <c r="H107" i="3"/>
  <c r="G107" i="3"/>
  <c r="F107" i="3"/>
  <c r="E107" i="3"/>
  <c r="D107" i="3"/>
  <c r="Q106" i="3"/>
  <c r="J106" i="3"/>
  <c r="Q105" i="3"/>
  <c r="J105" i="3"/>
  <c r="Q104" i="3"/>
  <c r="R104" i="3" s="1"/>
  <c r="J104" i="3"/>
  <c r="P103" i="3"/>
  <c r="O103" i="3"/>
  <c r="N103" i="3"/>
  <c r="M103" i="3"/>
  <c r="L103" i="3"/>
  <c r="K103" i="3"/>
  <c r="I103" i="3"/>
  <c r="H103" i="3"/>
  <c r="G103" i="3"/>
  <c r="F103" i="3"/>
  <c r="E103" i="3"/>
  <c r="D103" i="3"/>
  <c r="J103" i="3" s="1"/>
  <c r="Q102" i="3"/>
  <c r="R102" i="3" s="1"/>
  <c r="J102" i="3"/>
  <c r="Q101" i="3"/>
  <c r="J101" i="3"/>
  <c r="R101" i="3" s="1"/>
  <c r="Q100" i="3"/>
  <c r="R100" i="3" s="1"/>
  <c r="J100" i="3"/>
  <c r="P99" i="3"/>
  <c r="O99" i="3"/>
  <c r="N99" i="3"/>
  <c r="M99" i="3"/>
  <c r="L99" i="3"/>
  <c r="K99" i="3"/>
  <c r="I99" i="3"/>
  <c r="H99" i="3"/>
  <c r="G99" i="3"/>
  <c r="F99" i="3"/>
  <c r="E99" i="3"/>
  <c r="D99" i="3"/>
  <c r="Q98" i="3"/>
  <c r="J98" i="3"/>
  <c r="R98" i="3" s="1"/>
  <c r="Q97" i="3"/>
  <c r="J97" i="3"/>
  <c r="R97" i="3" s="1"/>
  <c r="Q96" i="3"/>
  <c r="R96" i="3" s="1"/>
  <c r="J96" i="3"/>
  <c r="P95" i="3"/>
  <c r="O95" i="3"/>
  <c r="N95" i="3"/>
  <c r="M95" i="3"/>
  <c r="L95" i="3"/>
  <c r="K95" i="3"/>
  <c r="I95" i="3"/>
  <c r="H95" i="3"/>
  <c r="G95" i="3"/>
  <c r="F95" i="3"/>
  <c r="E95" i="3"/>
  <c r="D95" i="3"/>
  <c r="J95" i="3" s="1"/>
  <c r="Q94" i="3"/>
  <c r="J94" i="3"/>
  <c r="Q93" i="3"/>
  <c r="J93" i="3"/>
  <c r="R93" i="3" s="1"/>
  <c r="Q92" i="3"/>
  <c r="R92" i="3" s="1"/>
  <c r="J92" i="3"/>
  <c r="P91" i="3"/>
  <c r="O91" i="3"/>
  <c r="N91" i="3"/>
  <c r="M91" i="3"/>
  <c r="L91" i="3"/>
  <c r="K91" i="3"/>
  <c r="I91" i="3"/>
  <c r="H91" i="3"/>
  <c r="G91" i="3"/>
  <c r="F91" i="3"/>
  <c r="E91" i="3"/>
  <c r="D91" i="3"/>
  <c r="Q90" i="3"/>
  <c r="J90" i="3"/>
  <c r="Q89" i="3"/>
  <c r="J89" i="3"/>
  <c r="R89" i="3" s="1"/>
  <c r="Q88" i="3"/>
  <c r="R88" i="3" s="1"/>
  <c r="J88" i="3"/>
  <c r="P87" i="3"/>
  <c r="O87" i="3"/>
  <c r="N87" i="3"/>
  <c r="M87" i="3"/>
  <c r="L87" i="3"/>
  <c r="K87" i="3"/>
  <c r="Q87" i="3" s="1"/>
  <c r="I87" i="3"/>
  <c r="H87" i="3"/>
  <c r="G87" i="3"/>
  <c r="J87" i="3" s="1"/>
  <c r="F87" i="3"/>
  <c r="E87" i="3"/>
  <c r="D87" i="3"/>
  <c r="Q86" i="3"/>
  <c r="J86" i="3"/>
  <c r="Q85" i="3"/>
  <c r="J85" i="3"/>
  <c r="R85" i="3" s="1"/>
  <c r="Q84" i="3"/>
  <c r="R84" i="3" s="1"/>
  <c r="J84" i="3"/>
  <c r="P83" i="3"/>
  <c r="O83" i="3"/>
  <c r="N83" i="3"/>
  <c r="M83" i="3"/>
  <c r="L83" i="3"/>
  <c r="K83" i="3"/>
  <c r="I83" i="3"/>
  <c r="H83" i="3"/>
  <c r="G83" i="3"/>
  <c r="F83" i="3"/>
  <c r="E83" i="3"/>
  <c r="Q82" i="3"/>
  <c r="J82" i="3"/>
  <c r="R82" i="3" s="1"/>
  <c r="Q81" i="3"/>
  <c r="J81" i="3"/>
  <c r="R81" i="3" s="1"/>
  <c r="Q80" i="3"/>
  <c r="R80" i="3" s="1"/>
  <c r="J80" i="3"/>
  <c r="P79" i="3"/>
  <c r="O79" i="3"/>
  <c r="N79" i="3"/>
  <c r="M79" i="3"/>
  <c r="L79" i="3"/>
  <c r="K79" i="3"/>
  <c r="I79" i="3"/>
  <c r="H79" i="3"/>
  <c r="G79" i="3"/>
  <c r="F79" i="3"/>
  <c r="E79" i="3"/>
  <c r="D79" i="3"/>
  <c r="Q78" i="3"/>
  <c r="J78" i="3"/>
  <c r="R78" i="3" s="1"/>
  <c r="Q77" i="3"/>
  <c r="R77" i="3" s="1"/>
  <c r="J77" i="3"/>
  <c r="Q76" i="3"/>
  <c r="R76" i="3" s="1"/>
  <c r="J76" i="3"/>
  <c r="P75" i="3"/>
  <c r="O75" i="3"/>
  <c r="N75" i="3"/>
  <c r="M75" i="3"/>
  <c r="L75" i="3"/>
  <c r="K75" i="3"/>
  <c r="I75" i="3"/>
  <c r="H75" i="3"/>
  <c r="G75" i="3"/>
  <c r="F75" i="3"/>
  <c r="E75" i="3"/>
  <c r="D75" i="3"/>
  <c r="Q74" i="3"/>
  <c r="J74" i="3"/>
  <c r="R74" i="3" s="1"/>
  <c r="Q73" i="3"/>
  <c r="J73" i="3"/>
  <c r="Q72" i="3"/>
  <c r="R72" i="3" s="1"/>
  <c r="J72" i="3"/>
  <c r="P71" i="3"/>
  <c r="O71" i="3"/>
  <c r="N71" i="3"/>
  <c r="M71" i="3"/>
  <c r="L71" i="3"/>
  <c r="K71" i="3"/>
  <c r="I71" i="3"/>
  <c r="H71" i="3"/>
  <c r="G71" i="3"/>
  <c r="F71" i="3"/>
  <c r="E71" i="3"/>
  <c r="D71" i="3"/>
  <c r="Q70" i="3"/>
  <c r="J70" i="3"/>
  <c r="R70" i="3" s="1"/>
  <c r="Q69" i="3"/>
  <c r="J69" i="3"/>
  <c r="Q68" i="3"/>
  <c r="R68" i="3" s="1"/>
  <c r="J68" i="3"/>
  <c r="P67" i="3"/>
  <c r="O67" i="3"/>
  <c r="N67" i="3"/>
  <c r="M67" i="3"/>
  <c r="L67" i="3"/>
  <c r="K67" i="3"/>
  <c r="I67" i="3"/>
  <c r="H67" i="3"/>
  <c r="G67" i="3"/>
  <c r="F67" i="3"/>
  <c r="E67" i="3"/>
  <c r="D67" i="3"/>
  <c r="Q66" i="3"/>
  <c r="J66" i="3"/>
  <c r="Q65" i="3"/>
  <c r="J65" i="3"/>
  <c r="R65" i="3" s="1"/>
  <c r="Q64" i="3"/>
  <c r="R64" i="3" s="1"/>
  <c r="J64" i="3"/>
  <c r="P63" i="3"/>
  <c r="O63" i="3"/>
  <c r="N63" i="3"/>
  <c r="M63" i="3"/>
  <c r="L63" i="3"/>
  <c r="K63" i="3"/>
  <c r="I63" i="3"/>
  <c r="H63" i="3"/>
  <c r="G63" i="3"/>
  <c r="F63" i="3"/>
  <c r="E63" i="3"/>
  <c r="D63" i="3"/>
  <c r="J63" i="3" s="1"/>
  <c r="Q62" i="3"/>
  <c r="J62" i="3"/>
  <c r="Q61" i="3"/>
  <c r="J61" i="3"/>
  <c r="R61" i="3" s="1"/>
  <c r="Q60" i="3"/>
  <c r="R60" i="3" s="1"/>
  <c r="J60" i="3"/>
  <c r="P59" i="3"/>
  <c r="O59" i="3"/>
  <c r="N59" i="3"/>
  <c r="M59" i="3"/>
  <c r="L59" i="3"/>
  <c r="K59" i="3"/>
  <c r="I59" i="3"/>
  <c r="H59" i="3"/>
  <c r="G59" i="3"/>
  <c r="F59" i="3"/>
  <c r="E59" i="3"/>
  <c r="D59" i="3"/>
  <c r="Q58" i="3"/>
  <c r="J58" i="3"/>
  <c r="R58" i="3" s="1"/>
  <c r="Q57" i="3"/>
  <c r="J57" i="3"/>
  <c r="Q56" i="3"/>
  <c r="R56" i="3" s="1"/>
  <c r="J56" i="3"/>
  <c r="P55" i="3"/>
  <c r="O55" i="3"/>
  <c r="N55" i="3"/>
  <c r="M55" i="3"/>
  <c r="L55" i="3"/>
  <c r="K55" i="3"/>
  <c r="I55" i="3"/>
  <c r="H55" i="3"/>
  <c r="G55" i="3"/>
  <c r="F55" i="3"/>
  <c r="E55" i="3"/>
  <c r="D55" i="3"/>
  <c r="Q54" i="3"/>
  <c r="J54" i="3"/>
  <c r="Q53" i="3"/>
  <c r="J53" i="3"/>
  <c r="R53" i="3" s="1"/>
  <c r="Q52" i="3"/>
  <c r="R52" i="3" s="1"/>
  <c r="J52" i="3"/>
  <c r="P51" i="3"/>
  <c r="O51" i="3"/>
  <c r="N51" i="3"/>
  <c r="M51" i="3"/>
  <c r="L51" i="3"/>
  <c r="K51" i="3"/>
  <c r="I51" i="3"/>
  <c r="H51" i="3"/>
  <c r="G51" i="3"/>
  <c r="F51" i="3"/>
  <c r="E51" i="3"/>
  <c r="D51" i="3"/>
  <c r="Q50" i="3"/>
  <c r="J50" i="3"/>
  <c r="R50" i="3" s="1"/>
  <c r="Q49" i="3"/>
  <c r="J49" i="3"/>
  <c r="Q48" i="3"/>
  <c r="R48" i="3" s="1"/>
  <c r="J48" i="3"/>
  <c r="P47" i="3"/>
  <c r="O47" i="3"/>
  <c r="N47" i="3"/>
  <c r="M47" i="3"/>
  <c r="L47" i="3"/>
  <c r="K47" i="3"/>
  <c r="Q47" i="3" s="1"/>
  <c r="I47" i="3"/>
  <c r="H47" i="3"/>
  <c r="G47" i="3"/>
  <c r="F47" i="3"/>
  <c r="E47" i="3"/>
  <c r="D47" i="3"/>
  <c r="Q46" i="3"/>
  <c r="J46" i="3"/>
  <c r="R46" i="3" s="1"/>
  <c r="Q45" i="3"/>
  <c r="J45" i="3"/>
  <c r="R45" i="3" s="1"/>
  <c r="Q44" i="3"/>
  <c r="R44" i="3" s="1"/>
  <c r="J44" i="3"/>
  <c r="P43" i="3"/>
  <c r="O43" i="3"/>
  <c r="N43" i="3"/>
  <c r="M43" i="3"/>
  <c r="L43" i="3"/>
  <c r="K43" i="3"/>
  <c r="I43" i="3"/>
  <c r="H43" i="3"/>
  <c r="G43" i="3"/>
  <c r="F43" i="3"/>
  <c r="E43" i="3"/>
  <c r="D43" i="3"/>
  <c r="J43" i="3" s="1"/>
  <c r="Q42" i="3"/>
  <c r="J42" i="3"/>
  <c r="Q41" i="3"/>
  <c r="J41" i="3"/>
  <c r="Q40" i="3"/>
  <c r="R40" i="3" s="1"/>
  <c r="J40" i="3"/>
  <c r="P39" i="3"/>
  <c r="O39" i="3"/>
  <c r="N39" i="3"/>
  <c r="M39" i="3"/>
  <c r="L39" i="3"/>
  <c r="K39" i="3"/>
  <c r="I39" i="3"/>
  <c r="H39" i="3"/>
  <c r="G39" i="3"/>
  <c r="F39" i="3"/>
  <c r="E39" i="3"/>
  <c r="D39" i="3"/>
  <c r="Q38" i="3"/>
  <c r="J38" i="3"/>
  <c r="R38" i="3" s="1"/>
  <c r="Q37" i="3"/>
  <c r="J37" i="3"/>
  <c r="R37" i="3" s="1"/>
  <c r="Q36" i="3"/>
  <c r="R36" i="3" s="1"/>
  <c r="J36" i="3"/>
  <c r="P35" i="3"/>
  <c r="O35" i="3"/>
  <c r="N35" i="3"/>
  <c r="M35" i="3"/>
  <c r="L35" i="3"/>
  <c r="K35" i="3"/>
  <c r="I35" i="3"/>
  <c r="H35" i="3"/>
  <c r="G35" i="3"/>
  <c r="F35" i="3"/>
  <c r="E35" i="3"/>
  <c r="D35" i="3"/>
  <c r="Q34" i="3"/>
  <c r="J34" i="3"/>
  <c r="R34" i="3" s="1"/>
  <c r="Q33" i="3"/>
  <c r="J33" i="3"/>
  <c r="Q32" i="3"/>
  <c r="R32" i="3" s="1"/>
  <c r="J32" i="3"/>
  <c r="P31" i="3"/>
  <c r="O31" i="3"/>
  <c r="N31" i="3"/>
  <c r="M31" i="3"/>
  <c r="L31" i="3"/>
  <c r="K31" i="3"/>
  <c r="I31" i="3"/>
  <c r="H31" i="3"/>
  <c r="G31" i="3"/>
  <c r="F31" i="3"/>
  <c r="E31" i="3"/>
  <c r="D31" i="3"/>
  <c r="J31" i="3" s="1"/>
  <c r="Q30" i="3"/>
  <c r="J30" i="3"/>
  <c r="R30" i="3" s="1"/>
  <c r="Q29" i="3"/>
  <c r="J29" i="3"/>
  <c r="R29" i="3" s="1"/>
  <c r="Q28" i="3"/>
  <c r="R28" i="3" s="1"/>
  <c r="J28" i="3"/>
  <c r="P27" i="3"/>
  <c r="O27" i="3"/>
  <c r="N27" i="3"/>
  <c r="M27" i="3"/>
  <c r="L27" i="3"/>
  <c r="K27" i="3"/>
  <c r="I27" i="3"/>
  <c r="H27" i="3"/>
  <c r="G27" i="3"/>
  <c r="F27" i="3"/>
  <c r="E27" i="3"/>
  <c r="D27" i="3"/>
  <c r="Q26" i="3"/>
  <c r="J26" i="3"/>
  <c r="Q25" i="3"/>
  <c r="J25" i="3"/>
  <c r="Q24" i="3"/>
  <c r="R24" i="3" s="1"/>
  <c r="J24" i="3"/>
  <c r="P23" i="3"/>
  <c r="O23" i="3"/>
  <c r="N23" i="3"/>
  <c r="M23" i="3"/>
  <c r="L23" i="3"/>
  <c r="K23" i="3"/>
  <c r="I23" i="3"/>
  <c r="H23" i="3"/>
  <c r="G23" i="3"/>
  <c r="F23" i="3"/>
  <c r="E23" i="3"/>
  <c r="D23" i="3"/>
  <c r="Q22" i="3"/>
  <c r="J22" i="3"/>
  <c r="R22" i="3" s="1"/>
  <c r="Q21" i="3"/>
  <c r="J21" i="3"/>
  <c r="R21" i="3" s="1"/>
  <c r="Q20" i="3"/>
  <c r="R20" i="3" s="1"/>
  <c r="J20" i="3"/>
  <c r="P19" i="3"/>
  <c r="O19" i="3"/>
  <c r="N19" i="3"/>
  <c r="M19" i="3"/>
  <c r="L19" i="3"/>
  <c r="K19" i="3"/>
  <c r="Q19" i="3" s="1"/>
  <c r="I19" i="3"/>
  <c r="H19" i="3"/>
  <c r="G19" i="3"/>
  <c r="F19" i="3"/>
  <c r="E19" i="3"/>
  <c r="D19" i="3"/>
  <c r="Q18" i="3"/>
  <c r="J18" i="3"/>
  <c r="R18" i="3" s="1"/>
  <c r="Q17" i="3"/>
  <c r="J17" i="3"/>
  <c r="R17" i="3" s="1"/>
  <c r="Q16" i="3"/>
  <c r="R16" i="3" s="1"/>
  <c r="J16" i="3"/>
  <c r="P15" i="3"/>
  <c r="O15" i="3"/>
  <c r="N15" i="3"/>
  <c r="M15" i="3"/>
  <c r="L15" i="3"/>
  <c r="K15" i="3"/>
  <c r="I15" i="3"/>
  <c r="H15" i="3"/>
  <c r="G15" i="3"/>
  <c r="F15" i="3"/>
  <c r="E15" i="3"/>
  <c r="D15" i="3"/>
  <c r="Q14" i="3"/>
  <c r="J14" i="3"/>
  <c r="R14" i="3" s="1"/>
  <c r="Q13" i="3"/>
  <c r="J13" i="3"/>
  <c r="Q12" i="3"/>
  <c r="R12" i="3" s="1"/>
  <c r="J12" i="3"/>
  <c r="P11" i="3"/>
  <c r="O11" i="3"/>
  <c r="N11" i="3"/>
  <c r="M11" i="3"/>
  <c r="L11" i="3"/>
  <c r="K11" i="3"/>
  <c r="Q11" i="3" s="1"/>
  <c r="I11" i="3"/>
  <c r="H11" i="3"/>
  <c r="G11" i="3"/>
  <c r="F11" i="3"/>
  <c r="E11" i="3"/>
  <c r="D11" i="3"/>
  <c r="Q10" i="3"/>
  <c r="J10" i="3"/>
  <c r="Q9" i="3"/>
  <c r="J9" i="3"/>
  <c r="R9" i="3" s="1"/>
  <c r="Q8" i="3"/>
  <c r="R8" i="3" s="1"/>
  <c r="J8" i="3"/>
  <c r="P7" i="3"/>
  <c r="O7" i="3"/>
  <c r="N7" i="3"/>
  <c r="M7" i="3"/>
  <c r="L7" i="3"/>
  <c r="K7" i="3"/>
  <c r="I7" i="3"/>
  <c r="H7" i="3"/>
  <c r="G7" i="3"/>
  <c r="F7" i="3"/>
  <c r="E7" i="3"/>
  <c r="D7" i="3"/>
  <c r="Q6" i="3"/>
  <c r="J6" i="3"/>
  <c r="Q5" i="3"/>
  <c r="J5" i="3"/>
  <c r="P212" i="2"/>
  <c r="Q212" i="2" s="1"/>
  <c r="R212" i="2" s="1"/>
  <c r="O212" i="2"/>
  <c r="N212" i="2"/>
  <c r="M212" i="2"/>
  <c r="L212" i="2"/>
  <c r="K212" i="2"/>
  <c r="I212" i="2"/>
  <c r="J212" i="2" s="1"/>
  <c r="H212" i="2"/>
  <c r="G212" i="2"/>
  <c r="F212" i="2"/>
  <c r="E212" i="2"/>
  <c r="D212" i="2"/>
  <c r="O210" i="2"/>
  <c r="N210" i="2"/>
  <c r="M210" i="2"/>
  <c r="Q208" i="2"/>
  <c r="R208" i="2" s="1"/>
  <c r="J208" i="2"/>
  <c r="P207" i="2"/>
  <c r="O207" i="2"/>
  <c r="N207" i="2"/>
  <c r="M207" i="2"/>
  <c r="L207" i="2"/>
  <c r="K207" i="2"/>
  <c r="I207" i="2"/>
  <c r="H207" i="2"/>
  <c r="G207" i="2"/>
  <c r="F207" i="2"/>
  <c r="E207" i="2"/>
  <c r="D207" i="2"/>
  <c r="Q206" i="2"/>
  <c r="J206" i="2"/>
  <c r="R206" i="2" s="1"/>
  <c r="Q205" i="2"/>
  <c r="J205" i="2"/>
  <c r="R205" i="2" s="1"/>
  <c r="Q200" i="2"/>
  <c r="R200" i="2" s="1"/>
  <c r="J200" i="2"/>
  <c r="P198" i="2"/>
  <c r="O198" i="2"/>
  <c r="O199" i="2" s="1"/>
  <c r="N198" i="2"/>
  <c r="N199" i="2" s="1"/>
  <c r="M198" i="2"/>
  <c r="L198" i="2"/>
  <c r="L210" i="2" s="1"/>
  <c r="K198" i="2"/>
  <c r="I198" i="2"/>
  <c r="I210" i="2" s="1"/>
  <c r="H198" i="2"/>
  <c r="H210" i="2" s="1"/>
  <c r="G198" i="2"/>
  <c r="G199" i="2" s="1"/>
  <c r="F198" i="2"/>
  <c r="F210" i="2" s="1"/>
  <c r="F211" i="2" s="1"/>
  <c r="E198" i="2"/>
  <c r="E210" i="2" s="1"/>
  <c r="D198" i="2"/>
  <c r="P197" i="2"/>
  <c r="P209" i="2" s="1"/>
  <c r="O197" i="2"/>
  <c r="O209" i="2" s="1"/>
  <c r="N197" i="2"/>
  <c r="N209" i="2" s="1"/>
  <c r="M197" i="2"/>
  <c r="M209" i="2" s="1"/>
  <c r="L197" i="2"/>
  <c r="L209" i="2" s="1"/>
  <c r="K197" i="2"/>
  <c r="K209" i="2" s="1"/>
  <c r="I197" i="2"/>
  <c r="I209" i="2" s="1"/>
  <c r="H197" i="2"/>
  <c r="H209" i="2" s="1"/>
  <c r="G197" i="2"/>
  <c r="G209" i="2" s="1"/>
  <c r="F197" i="2"/>
  <c r="F209" i="2" s="1"/>
  <c r="E197" i="2"/>
  <c r="J197" i="2" s="1"/>
  <c r="D197" i="2"/>
  <c r="D209" i="2" s="1"/>
  <c r="Q196" i="2"/>
  <c r="R196" i="2" s="1"/>
  <c r="J196" i="2"/>
  <c r="P195" i="2"/>
  <c r="O195" i="2"/>
  <c r="N195" i="2"/>
  <c r="M195" i="2"/>
  <c r="L195" i="2"/>
  <c r="K195" i="2"/>
  <c r="I195" i="2"/>
  <c r="H195" i="2"/>
  <c r="G195" i="2"/>
  <c r="F195" i="2"/>
  <c r="E195" i="2"/>
  <c r="D195" i="2"/>
  <c r="Q194" i="2"/>
  <c r="J194" i="2"/>
  <c r="Q193" i="2"/>
  <c r="J193" i="2"/>
  <c r="R193" i="2" s="1"/>
  <c r="Q192" i="2"/>
  <c r="R192" i="2" s="1"/>
  <c r="J192" i="2"/>
  <c r="P191" i="2"/>
  <c r="O191" i="2"/>
  <c r="N191" i="2"/>
  <c r="M191" i="2"/>
  <c r="L191" i="2"/>
  <c r="K191" i="2"/>
  <c r="I191" i="2"/>
  <c r="H191" i="2"/>
  <c r="G191" i="2"/>
  <c r="F191" i="2"/>
  <c r="E191" i="2"/>
  <c r="D191" i="2"/>
  <c r="Q190" i="2"/>
  <c r="J190" i="2"/>
  <c r="R190" i="2" s="1"/>
  <c r="Q189" i="2"/>
  <c r="J189" i="2"/>
  <c r="R189" i="2" s="1"/>
  <c r="Q188" i="2"/>
  <c r="R188" i="2" s="1"/>
  <c r="J188" i="2"/>
  <c r="P187" i="2"/>
  <c r="O187" i="2"/>
  <c r="N187" i="2"/>
  <c r="M187" i="2"/>
  <c r="L187" i="2"/>
  <c r="K187" i="2"/>
  <c r="I187" i="2"/>
  <c r="H187" i="2"/>
  <c r="G187" i="2"/>
  <c r="F187" i="2"/>
  <c r="E187" i="2"/>
  <c r="D187" i="2"/>
  <c r="Q186" i="2"/>
  <c r="J186" i="2"/>
  <c r="R186" i="2" s="1"/>
  <c r="Q185" i="2"/>
  <c r="R185" i="2" s="1"/>
  <c r="J185" i="2"/>
  <c r="R184" i="2"/>
  <c r="Q184" i="2"/>
  <c r="J184" i="2"/>
  <c r="P183" i="2"/>
  <c r="O183" i="2"/>
  <c r="N183" i="2"/>
  <c r="M183" i="2"/>
  <c r="L183" i="2"/>
  <c r="K183" i="2"/>
  <c r="I183" i="2"/>
  <c r="H183" i="2"/>
  <c r="G183" i="2"/>
  <c r="F183" i="2"/>
  <c r="E183" i="2"/>
  <c r="D183" i="2"/>
  <c r="Q182" i="2"/>
  <c r="J182" i="2"/>
  <c r="R182" i="2" s="1"/>
  <c r="Q181" i="2"/>
  <c r="J181" i="2"/>
  <c r="R181" i="2" s="1"/>
  <c r="Q180" i="2"/>
  <c r="R180" i="2" s="1"/>
  <c r="J180" i="2"/>
  <c r="P179" i="2"/>
  <c r="O179" i="2"/>
  <c r="N179" i="2"/>
  <c r="M179" i="2"/>
  <c r="L179" i="2"/>
  <c r="K179" i="2"/>
  <c r="I179" i="2"/>
  <c r="H179" i="2"/>
  <c r="G179" i="2"/>
  <c r="F179" i="2"/>
  <c r="E179" i="2"/>
  <c r="D179" i="2"/>
  <c r="Q178" i="2"/>
  <c r="J178" i="2"/>
  <c r="R178" i="2" s="1"/>
  <c r="Q177" i="2"/>
  <c r="R177" i="2" s="1"/>
  <c r="J177" i="2"/>
  <c r="Q176" i="2"/>
  <c r="R176" i="2" s="1"/>
  <c r="J176" i="2"/>
  <c r="P175" i="2"/>
  <c r="O175" i="2"/>
  <c r="N175" i="2"/>
  <c r="M175" i="2"/>
  <c r="L175" i="2"/>
  <c r="K175" i="2"/>
  <c r="Q175" i="2" s="1"/>
  <c r="I175" i="2"/>
  <c r="H175" i="2"/>
  <c r="G175" i="2"/>
  <c r="F175" i="2"/>
  <c r="J175" i="2" s="1"/>
  <c r="E175" i="2"/>
  <c r="D175" i="2"/>
  <c r="R174" i="2"/>
  <c r="Q174" i="2"/>
  <c r="J174" i="2"/>
  <c r="Q173" i="2"/>
  <c r="J173" i="2"/>
  <c r="R173" i="2" s="1"/>
  <c r="Q172" i="2"/>
  <c r="R172" i="2" s="1"/>
  <c r="J172" i="2"/>
  <c r="P171" i="2"/>
  <c r="O171" i="2"/>
  <c r="N171" i="2"/>
  <c r="M171" i="2"/>
  <c r="L171" i="2"/>
  <c r="K171" i="2"/>
  <c r="I171" i="2"/>
  <c r="H171" i="2"/>
  <c r="G171" i="2"/>
  <c r="F171" i="2"/>
  <c r="E171" i="2"/>
  <c r="D171" i="2"/>
  <c r="Q170" i="2"/>
  <c r="J170" i="2"/>
  <c r="R170" i="2" s="1"/>
  <c r="Q169" i="2"/>
  <c r="J169" i="2"/>
  <c r="Q168" i="2"/>
  <c r="R168" i="2" s="1"/>
  <c r="J168" i="2"/>
  <c r="P167" i="2"/>
  <c r="O167" i="2"/>
  <c r="N167" i="2"/>
  <c r="M167" i="2"/>
  <c r="L167" i="2"/>
  <c r="K167" i="2"/>
  <c r="I167" i="2"/>
  <c r="H167" i="2"/>
  <c r="G167" i="2"/>
  <c r="F167" i="2"/>
  <c r="E167" i="2"/>
  <c r="D167" i="2"/>
  <c r="Q166" i="2"/>
  <c r="J166" i="2"/>
  <c r="Q165" i="2"/>
  <c r="R165" i="2" s="1"/>
  <c r="J165" i="2"/>
  <c r="Q164" i="2"/>
  <c r="R164" i="2" s="1"/>
  <c r="J164" i="2"/>
  <c r="P163" i="2"/>
  <c r="O163" i="2"/>
  <c r="N163" i="2"/>
  <c r="M163" i="2"/>
  <c r="L163" i="2"/>
  <c r="K163" i="2"/>
  <c r="Q163" i="2" s="1"/>
  <c r="I163" i="2"/>
  <c r="H163" i="2"/>
  <c r="G163" i="2"/>
  <c r="F163" i="2"/>
  <c r="E163" i="2"/>
  <c r="D163" i="2"/>
  <c r="Q162" i="2"/>
  <c r="J162" i="2"/>
  <c r="R162" i="2" s="1"/>
  <c r="Q161" i="2"/>
  <c r="J161" i="2"/>
  <c r="R161" i="2" s="1"/>
  <c r="Q160" i="2"/>
  <c r="R160" i="2" s="1"/>
  <c r="J160" i="2"/>
  <c r="P159" i="2"/>
  <c r="O159" i="2"/>
  <c r="N159" i="2"/>
  <c r="M159" i="2"/>
  <c r="L159" i="2"/>
  <c r="K159" i="2"/>
  <c r="I159" i="2"/>
  <c r="H159" i="2"/>
  <c r="G159" i="2"/>
  <c r="F159" i="2"/>
  <c r="E159" i="2"/>
  <c r="D159" i="2"/>
  <c r="Q158" i="2"/>
  <c r="J158" i="2"/>
  <c r="R158" i="2" s="1"/>
  <c r="Q157" i="2"/>
  <c r="J157" i="2"/>
  <c r="R148" i="2"/>
  <c r="Q148" i="2"/>
  <c r="J148" i="2"/>
  <c r="P147" i="2"/>
  <c r="O147" i="2"/>
  <c r="N147" i="2"/>
  <c r="M147" i="2"/>
  <c r="L147" i="2"/>
  <c r="K147" i="2"/>
  <c r="I147" i="2"/>
  <c r="H147" i="2"/>
  <c r="G147" i="2"/>
  <c r="F147" i="2"/>
  <c r="E147" i="2"/>
  <c r="D147" i="2"/>
  <c r="Q146" i="2"/>
  <c r="J146" i="2"/>
  <c r="Q145" i="2"/>
  <c r="J145" i="2"/>
  <c r="R145" i="2" s="1"/>
  <c r="Q144" i="2"/>
  <c r="R144" i="2" s="1"/>
  <c r="J144" i="2"/>
  <c r="P143" i="2"/>
  <c r="O143" i="2"/>
  <c r="N143" i="2"/>
  <c r="M143" i="2"/>
  <c r="L143" i="2"/>
  <c r="K143" i="2"/>
  <c r="I143" i="2"/>
  <c r="H143" i="2"/>
  <c r="G143" i="2"/>
  <c r="F143" i="2"/>
  <c r="E143" i="2"/>
  <c r="D143" i="2"/>
  <c r="Q142" i="2"/>
  <c r="J142" i="2"/>
  <c r="R142" i="2" s="1"/>
  <c r="Q141" i="2"/>
  <c r="J141" i="2"/>
  <c r="R141" i="2" s="1"/>
  <c r="Q140" i="2"/>
  <c r="R140" i="2" s="1"/>
  <c r="J140" i="2"/>
  <c r="P139" i="2"/>
  <c r="O139" i="2"/>
  <c r="N139" i="2"/>
  <c r="M139" i="2"/>
  <c r="L139" i="2"/>
  <c r="K139" i="2"/>
  <c r="I139" i="2"/>
  <c r="H139" i="2"/>
  <c r="G139" i="2"/>
  <c r="F139" i="2"/>
  <c r="E139" i="2"/>
  <c r="D139" i="2"/>
  <c r="Q138" i="2"/>
  <c r="J138" i="2"/>
  <c r="R138" i="2" s="1"/>
  <c r="R137" i="2"/>
  <c r="Q137" i="2"/>
  <c r="J137" i="2"/>
  <c r="Q136" i="2"/>
  <c r="R136" i="2" s="1"/>
  <c r="J136" i="2"/>
  <c r="P135" i="2"/>
  <c r="O135" i="2"/>
  <c r="N135" i="2"/>
  <c r="M135" i="2"/>
  <c r="L135" i="2"/>
  <c r="K135" i="2"/>
  <c r="Q135" i="2" s="1"/>
  <c r="I135" i="2"/>
  <c r="H135" i="2"/>
  <c r="G135" i="2"/>
  <c r="F135" i="2"/>
  <c r="E135" i="2"/>
  <c r="D135" i="2"/>
  <c r="Q134" i="2"/>
  <c r="J134" i="2"/>
  <c r="Q133" i="2"/>
  <c r="J133" i="2"/>
  <c r="R133" i="2" s="1"/>
  <c r="Q132" i="2"/>
  <c r="R132" i="2" s="1"/>
  <c r="J132" i="2"/>
  <c r="P131" i="2"/>
  <c r="O131" i="2"/>
  <c r="N131" i="2"/>
  <c r="M131" i="2"/>
  <c r="L131" i="2"/>
  <c r="K131" i="2"/>
  <c r="I131" i="2"/>
  <c r="H131" i="2"/>
  <c r="G131" i="2"/>
  <c r="F131" i="2"/>
  <c r="E131" i="2"/>
  <c r="D131" i="2"/>
  <c r="Q130" i="2"/>
  <c r="J130" i="2"/>
  <c r="Q129" i="2"/>
  <c r="J129" i="2"/>
  <c r="R129" i="2" s="1"/>
  <c r="Q128" i="2"/>
  <c r="R128" i="2" s="1"/>
  <c r="J128" i="2"/>
  <c r="P127" i="2"/>
  <c r="O127" i="2"/>
  <c r="N127" i="2"/>
  <c r="M127" i="2"/>
  <c r="L127" i="2"/>
  <c r="K127" i="2"/>
  <c r="I127" i="2"/>
  <c r="H127" i="2"/>
  <c r="G127" i="2"/>
  <c r="F127" i="2"/>
  <c r="E127" i="2"/>
  <c r="D127" i="2"/>
  <c r="Q126" i="2"/>
  <c r="R126" i="2" s="1"/>
  <c r="J126" i="2"/>
  <c r="Q125" i="2"/>
  <c r="J125" i="2"/>
  <c r="R125" i="2" s="1"/>
  <c r="Q124" i="2"/>
  <c r="R124" i="2" s="1"/>
  <c r="J124" i="2"/>
  <c r="P123" i="2"/>
  <c r="O123" i="2"/>
  <c r="N123" i="2"/>
  <c r="M123" i="2"/>
  <c r="L123" i="2"/>
  <c r="K123" i="2"/>
  <c r="I123" i="2"/>
  <c r="H123" i="2"/>
  <c r="G123" i="2"/>
  <c r="F123" i="2"/>
  <c r="E123" i="2"/>
  <c r="D123" i="2"/>
  <c r="Q122" i="2"/>
  <c r="J122" i="2"/>
  <c r="R122" i="2" s="1"/>
  <c r="Q121" i="2"/>
  <c r="J121" i="2"/>
  <c r="Q120" i="2"/>
  <c r="R120" i="2" s="1"/>
  <c r="J120" i="2"/>
  <c r="P119" i="2"/>
  <c r="O119" i="2"/>
  <c r="N119" i="2"/>
  <c r="M119" i="2"/>
  <c r="L119" i="2"/>
  <c r="K119" i="2"/>
  <c r="I119" i="2"/>
  <c r="H119" i="2"/>
  <c r="G119" i="2"/>
  <c r="F119" i="2"/>
  <c r="E119" i="2"/>
  <c r="D119" i="2"/>
  <c r="Q118" i="2"/>
  <c r="J118" i="2"/>
  <c r="R118" i="2" s="1"/>
  <c r="Q117" i="2"/>
  <c r="J117" i="2"/>
  <c r="R117" i="2" s="1"/>
  <c r="R116" i="2"/>
  <c r="Q116" i="2"/>
  <c r="J116" i="2"/>
  <c r="P115" i="2"/>
  <c r="O115" i="2"/>
  <c r="N115" i="2"/>
  <c r="M115" i="2"/>
  <c r="L115" i="2"/>
  <c r="K115" i="2"/>
  <c r="I115" i="2"/>
  <c r="H115" i="2"/>
  <c r="G115" i="2"/>
  <c r="F115" i="2"/>
  <c r="E115" i="2"/>
  <c r="D115" i="2"/>
  <c r="Q114" i="2"/>
  <c r="J114" i="2"/>
  <c r="R113" i="2"/>
  <c r="Q113" i="2"/>
  <c r="J113" i="2"/>
  <c r="Q112" i="2"/>
  <c r="R112" i="2" s="1"/>
  <c r="J112" i="2"/>
  <c r="P111" i="2"/>
  <c r="O111" i="2"/>
  <c r="N111" i="2"/>
  <c r="M111" i="2"/>
  <c r="L111" i="2"/>
  <c r="K111" i="2"/>
  <c r="Q111" i="2" s="1"/>
  <c r="I111" i="2"/>
  <c r="H111" i="2"/>
  <c r="G111" i="2"/>
  <c r="F111" i="2"/>
  <c r="E111" i="2"/>
  <c r="D111" i="2"/>
  <c r="Q110" i="2"/>
  <c r="J110" i="2"/>
  <c r="R110" i="2" s="1"/>
  <c r="Q109" i="2"/>
  <c r="J109" i="2"/>
  <c r="R109" i="2" s="1"/>
  <c r="Q108" i="2"/>
  <c r="R108" i="2" s="1"/>
  <c r="J108" i="2"/>
  <c r="P107" i="2"/>
  <c r="O107" i="2"/>
  <c r="N107" i="2"/>
  <c r="M107" i="2"/>
  <c r="L107" i="2"/>
  <c r="K107" i="2"/>
  <c r="I107" i="2"/>
  <c r="H107" i="2"/>
  <c r="G107" i="2"/>
  <c r="F107" i="2"/>
  <c r="E107" i="2"/>
  <c r="D107" i="2"/>
  <c r="Q106" i="2"/>
  <c r="J106" i="2"/>
  <c r="R106" i="2" s="1"/>
  <c r="Q105" i="2"/>
  <c r="J105" i="2"/>
  <c r="Q104" i="2"/>
  <c r="R104" i="2" s="1"/>
  <c r="J104" i="2"/>
  <c r="P103" i="2"/>
  <c r="O103" i="2"/>
  <c r="N103" i="2"/>
  <c r="M103" i="2"/>
  <c r="L103" i="2"/>
  <c r="K103" i="2"/>
  <c r="I103" i="2"/>
  <c r="H103" i="2"/>
  <c r="G103" i="2"/>
  <c r="F103" i="2"/>
  <c r="E103" i="2"/>
  <c r="D103" i="2"/>
  <c r="Q102" i="2"/>
  <c r="J102" i="2"/>
  <c r="Q101" i="2"/>
  <c r="J101" i="2"/>
  <c r="R101" i="2" s="1"/>
  <c r="Q100" i="2"/>
  <c r="R100" i="2" s="1"/>
  <c r="J100" i="2"/>
  <c r="P99" i="2"/>
  <c r="O99" i="2"/>
  <c r="N99" i="2"/>
  <c r="M99" i="2"/>
  <c r="L99" i="2"/>
  <c r="K99" i="2"/>
  <c r="I99" i="2"/>
  <c r="H99" i="2"/>
  <c r="G99" i="2"/>
  <c r="F99" i="2"/>
  <c r="E99" i="2"/>
  <c r="D99" i="2"/>
  <c r="Q98" i="2"/>
  <c r="J98" i="2"/>
  <c r="R98" i="2" s="1"/>
  <c r="Q97" i="2"/>
  <c r="J97" i="2"/>
  <c r="R97" i="2" s="1"/>
  <c r="Q96" i="2"/>
  <c r="R96" i="2" s="1"/>
  <c r="J96" i="2"/>
  <c r="P95" i="2"/>
  <c r="O95" i="2"/>
  <c r="N95" i="2"/>
  <c r="M95" i="2"/>
  <c r="L95" i="2"/>
  <c r="K95" i="2"/>
  <c r="I95" i="2"/>
  <c r="H95" i="2"/>
  <c r="G95" i="2"/>
  <c r="F95" i="2"/>
  <c r="E95" i="2"/>
  <c r="D95" i="2"/>
  <c r="Q94" i="2"/>
  <c r="J94" i="2"/>
  <c r="R94" i="2" s="1"/>
  <c r="Q93" i="2"/>
  <c r="R93" i="2" s="1"/>
  <c r="J93" i="2"/>
  <c r="R92" i="2"/>
  <c r="Q92" i="2"/>
  <c r="J92" i="2"/>
  <c r="P91" i="2"/>
  <c r="O91" i="2"/>
  <c r="N91" i="2"/>
  <c r="M91" i="2"/>
  <c r="L91" i="2"/>
  <c r="K91" i="2"/>
  <c r="I91" i="2"/>
  <c r="H91" i="2"/>
  <c r="G91" i="2"/>
  <c r="F91" i="2"/>
  <c r="E91" i="2"/>
  <c r="D91" i="2"/>
  <c r="Q90" i="2"/>
  <c r="J90" i="2"/>
  <c r="Q89" i="2"/>
  <c r="J89" i="2"/>
  <c r="R89" i="2" s="1"/>
  <c r="Q88" i="2"/>
  <c r="R88" i="2" s="1"/>
  <c r="J88" i="2"/>
  <c r="P87" i="2"/>
  <c r="O87" i="2"/>
  <c r="N87" i="2"/>
  <c r="M87" i="2"/>
  <c r="L87" i="2"/>
  <c r="K87" i="2"/>
  <c r="I87" i="2"/>
  <c r="H87" i="2"/>
  <c r="G87" i="2"/>
  <c r="F87" i="2"/>
  <c r="E87" i="2"/>
  <c r="D87" i="2"/>
  <c r="Q86" i="2"/>
  <c r="J86" i="2"/>
  <c r="R86" i="2" s="1"/>
  <c r="Q85" i="2"/>
  <c r="J85" i="2"/>
  <c r="R85" i="2" s="1"/>
  <c r="Q84" i="2"/>
  <c r="R84" i="2" s="1"/>
  <c r="J84" i="2"/>
  <c r="P83" i="2"/>
  <c r="O83" i="2"/>
  <c r="N83" i="2"/>
  <c r="M83" i="2"/>
  <c r="L83" i="2"/>
  <c r="K83" i="2"/>
  <c r="I83" i="2"/>
  <c r="H83" i="2"/>
  <c r="G83" i="2"/>
  <c r="F83" i="2"/>
  <c r="E83" i="2"/>
  <c r="D83" i="2"/>
  <c r="Q82" i="2"/>
  <c r="J82" i="2"/>
  <c r="Q81" i="2"/>
  <c r="R81" i="2" s="1"/>
  <c r="J81" i="2"/>
  <c r="Q80" i="2"/>
  <c r="R80" i="2" s="1"/>
  <c r="J80" i="2"/>
  <c r="P79" i="2"/>
  <c r="O79" i="2"/>
  <c r="N79" i="2"/>
  <c r="M79" i="2"/>
  <c r="L79" i="2"/>
  <c r="K79" i="2"/>
  <c r="Q79" i="2" s="1"/>
  <c r="I79" i="2"/>
  <c r="H79" i="2"/>
  <c r="G79" i="2"/>
  <c r="F79" i="2"/>
  <c r="E79" i="2"/>
  <c r="D79" i="2"/>
  <c r="Q78" i="2"/>
  <c r="J78" i="2"/>
  <c r="R78" i="2" s="1"/>
  <c r="Q77" i="2"/>
  <c r="J77" i="2"/>
  <c r="R77" i="2" s="1"/>
  <c r="Q76" i="2"/>
  <c r="R76" i="2" s="1"/>
  <c r="J76" i="2"/>
  <c r="P75" i="2"/>
  <c r="O75" i="2"/>
  <c r="N75" i="2"/>
  <c r="M75" i="2"/>
  <c r="L75" i="2"/>
  <c r="K75" i="2"/>
  <c r="I75" i="2"/>
  <c r="H75" i="2"/>
  <c r="G75" i="2"/>
  <c r="F75" i="2"/>
  <c r="E75" i="2"/>
  <c r="D75" i="2"/>
  <c r="Q74" i="2"/>
  <c r="J74" i="2"/>
  <c r="Q73" i="2"/>
  <c r="J73" i="2"/>
  <c r="R73" i="2" s="1"/>
  <c r="R72" i="2"/>
  <c r="Q72" i="2"/>
  <c r="J72" i="2"/>
  <c r="P71" i="2"/>
  <c r="O71" i="2"/>
  <c r="N71" i="2"/>
  <c r="M71" i="2"/>
  <c r="L71" i="2"/>
  <c r="K71" i="2"/>
  <c r="Q71" i="2" s="1"/>
  <c r="I71" i="2"/>
  <c r="H71" i="2"/>
  <c r="G71" i="2"/>
  <c r="F71" i="2"/>
  <c r="E71" i="2"/>
  <c r="D71" i="2"/>
  <c r="Q70" i="2"/>
  <c r="J70" i="2"/>
  <c r="R70" i="2" s="1"/>
  <c r="Q69" i="2"/>
  <c r="J69" i="2"/>
  <c r="Q68" i="2"/>
  <c r="R68" i="2" s="1"/>
  <c r="J68" i="2"/>
  <c r="P67" i="2"/>
  <c r="O67" i="2"/>
  <c r="N67" i="2"/>
  <c r="M67" i="2"/>
  <c r="L67" i="2"/>
  <c r="K67" i="2"/>
  <c r="I67" i="2"/>
  <c r="H67" i="2"/>
  <c r="G67" i="2"/>
  <c r="F67" i="2"/>
  <c r="E67" i="2"/>
  <c r="D67" i="2"/>
  <c r="Q66" i="2"/>
  <c r="J66" i="2"/>
  <c r="R66" i="2" s="1"/>
  <c r="Q65" i="2"/>
  <c r="J65" i="2"/>
  <c r="Q64" i="2"/>
  <c r="R64" i="2" s="1"/>
  <c r="J64" i="2"/>
  <c r="P63" i="2"/>
  <c r="O63" i="2"/>
  <c r="N63" i="2"/>
  <c r="Q63" i="2" s="1"/>
  <c r="M63" i="2"/>
  <c r="L63" i="2"/>
  <c r="K63" i="2"/>
  <c r="I63" i="2"/>
  <c r="H63" i="2"/>
  <c r="G63" i="2"/>
  <c r="F63" i="2"/>
  <c r="E63" i="2"/>
  <c r="D63" i="2"/>
  <c r="J63" i="2" s="1"/>
  <c r="Q62" i="2"/>
  <c r="J62" i="2"/>
  <c r="R62" i="2" s="1"/>
  <c r="Q61" i="2"/>
  <c r="R61" i="2" s="1"/>
  <c r="J61" i="2"/>
  <c r="Q60" i="2"/>
  <c r="R60" i="2" s="1"/>
  <c r="J60" i="2"/>
  <c r="P59" i="2"/>
  <c r="O59" i="2"/>
  <c r="N59" i="2"/>
  <c r="M59" i="2"/>
  <c r="L59" i="2"/>
  <c r="K59" i="2"/>
  <c r="I59" i="2"/>
  <c r="H59" i="2"/>
  <c r="G59" i="2"/>
  <c r="F59" i="2"/>
  <c r="E59" i="2"/>
  <c r="Q58" i="2"/>
  <c r="R58" i="2" s="1"/>
  <c r="J58" i="2"/>
  <c r="Q57" i="2"/>
  <c r="J57" i="2"/>
  <c r="Q56" i="2"/>
  <c r="R56" i="2" s="1"/>
  <c r="J56" i="2"/>
  <c r="P55" i="2"/>
  <c r="O55" i="2"/>
  <c r="N55" i="2"/>
  <c r="M55" i="2"/>
  <c r="L55" i="2"/>
  <c r="K55" i="2"/>
  <c r="I55" i="2"/>
  <c r="H55" i="2"/>
  <c r="G55" i="2"/>
  <c r="F55" i="2"/>
  <c r="E55" i="2"/>
  <c r="D55" i="2"/>
  <c r="Q54" i="2"/>
  <c r="J54" i="2"/>
  <c r="Q53" i="2"/>
  <c r="J53" i="2"/>
  <c r="R53" i="2" s="1"/>
  <c r="Q52" i="2"/>
  <c r="R52" i="2" s="1"/>
  <c r="J52" i="2"/>
  <c r="P51" i="2"/>
  <c r="O51" i="2"/>
  <c r="N51" i="2"/>
  <c r="M51" i="2"/>
  <c r="L51" i="2"/>
  <c r="K51" i="2"/>
  <c r="I51" i="2"/>
  <c r="H51" i="2"/>
  <c r="G51" i="2"/>
  <c r="F51" i="2"/>
  <c r="E51" i="2"/>
  <c r="D51" i="2"/>
  <c r="J51" i="2" s="1"/>
  <c r="Q50" i="2"/>
  <c r="J50" i="2"/>
  <c r="R50" i="2" s="1"/>
  <c r="Q49" i="2"/>
  <c r="J49" i="2"/>
  <c r="R49" i="2" s="1"/>
  <c r="Q48" i="2"/>
  <c r="R48" i="2" s="1"/>
  <c r="J48" i="2"/>
  <c r="P47" i="2"/>
  <c r="O47" i="2"/>
  <c r="N47" i="2"/>
  <c r="M47" i="2"/>
  <c r="L47" i="2"/>
  <c r="K47" i="2"/>
  <c r="I47" i="2"/>
  <c r="H47" i="2"/>
  <c r="G47" i="2"/>
  <c r="F47" i="2"/>
  <c r="E47" i="2"/>
  <c r="D47" i="2"/>
  <c r="Q46" i="2"/>
  <c r="J46" i="2"/>
  <c r="Q45" i="2"/>
  <c r="J45" i="2"/>
  <c r="R45" i="2" s="1"/>
  <c r="Q44" i="2"/>
  <c r="R44" i="2" s="1"/>
  <c r="J44" i="2"/>
  <c r="P43" i="2"/>
  <c r="O43" i="2"/>
  <c r="N43" i="2"/>
  <c r="M43" i="2"/>
  <c r="L43" i="2"/>
  <c r="K43" i="2"/>
  <c r="I43" i="2"/>
  <c r="H43" i="2"/>
  <c r="G43" i="2"/>
  <c r="F43" i="2"/>
  <c r="E43" i="2"/>
  <c r="D43" i="2"/>
  <c r="Q42" i="2"/>
  <c r="J42" i="2"/>
  <c r="Q41" i="2"/>
  <c r="J41" i="2"/>
  <c r="R41" i="2" s="1"/>
  <c r="Q40" i="2"/>
  <c r="R40" i="2" s="1"/>
  <c r="J40" i="2"/>
  <c r="P39" i="2"/>
  <c r="O39" i="2"/>
  <c r="N39" i="2"/>
  <c r="M39" i="2"/>
  <c r="L39" i="2"/>
  <c r="K39" i="2"/>
  <c r="Q39" i="2" s="1"/>
  <c r="I39" i="2"/>
  <c r="H39" i="2"/>
  <c r="G39" i="2"/>
  <c r="F39" i="2"/>
  <c r="E39" i="2"/>
  <c r="D39" i="2"/>
  <c r="Q38" i="2"/>
  <c r="J38" i="2"/>
  <c r="R38" i="2" s="1"/>
  <c r="Q37" i="2"/>
  <c r="J37" i="2"/>
  <c r="R37" i="2" s="1"/>
  <c r="Q36" i="2"/>
  <c r="R36" i="2" s="1"/>
  <c r="J36" i="2"/>
  <c r="P35" i="2"/>
  <c r="O35" i="2"/>
  <c r="N35" i="2"/>
  <c r="M35" i="2"/>
  <c r="L35" i="2"/>
  <c r="K35" i="2"/>
  <c r="I35" i="2"/>
  <c r="H35" i="2"/>
  <c r="G35" i="2"/>
  <c r="F35" i="2"/>
  <c r="E35" i="2"/>
  <c r="D35" i="2"/>
  <c r="Q34" i="2"/>
  <c r="J34" i="2"/>
  <c r="R34" i="2" s="1"/>
  <c r="Q33" i="2"/>
  <c r="J33" i="2"/>
  <c r="Q32" i="2"/>
  <c r="R32" i="2" s="1"/>
  <c r="J32" i="2"/>
  <c r="P31" i="2"/>
  <c r="O31" i="2"/>
  <c r="N31" i="2"/>
  <c r="M31" i="2"/>
  <c r="L31" i="2"/>
  <c r="K31" i="2"/>
  <c r="I31" i="2"/>
  <c r="H31" i="2"/>
  <c r="G31" i="2"/>
  <c r="F31" i="2"/>
  <c r="E31" i="2"/>
  <c r="D31" i="2"/>
  <c r="Q30" i="2"/>
  <c r="J30" i="2"/>
  <c r="Q29" i="2"/>
  <c r="J29" i="2"/>
  <c r="Q28" i="2"/>
  <c r="R28" i="2" s="1"/>
  <c r="J28" i="2"/>
  <c r="P27" i="2"/>
  <c r="O27" i="2"/>
  <c r="N27" i="2"/>
  <c r="M27" i="2"/>
  <c r="L27" i="2"/>
  <c r="K27" i="2"/>
  <c r="I27" i="2"/>
  <c r="H27" i="2"/>
  <c r="G27" i="2"/>
  <c r="F27" i="2"/>
  <c r="E27" i="2"/>
  <c r="D27" i="2"/>
  <c r="Q26" i="2"/>
  <c r="J26" i="2"/>
  <c r="Q25" i="2"/>
  <c r="J25" i="2"/>
  <c r="R25" i="2" s="1"/>
  <c r="Q24" i="2"/>
  <c r="R24" i="2" s="1"/>
  <c r="J24" i="2"/>
  <c r="P23" i="2"/>
  <c r="O23" i="2"/>
  <c r="N23" i="2"/>
  <c r="M23" i="2"/>
  <c r="Q23" i="2" s="1"/>
  <c r="L23" i="2"/>
  <c r="K23" i="2"/>
  <c r="I23" i="2"/>
  <c r="H23" i="2"/>
  <c r="G23" i="2"/>
  <c r="F23" i="2"/>
  <c r="E23" i="2"/>
  <c r="D23" i="2"/>
  <c r="J23" i="2" s="1"/>
  <c r="Q22" i="2"/>
  <c r="J22" i="2"/>
  <c r="R22" i="2" s="1"/>
  <c r="Q21" i="2"/>
  <c r="J21" i="2"/>
  <c r="R21" i="2" s="1"/>
  <c r="Q20" i="2"/>
  <c r="R20" i="2" s="1"/>
  <c r="J20" i="2"/>
  <c r="P19" i="2"/>
  <c r="O19" i="2"/>
  <c r="N19" i="2"/>
  <c r="M19" i="2"/>
  <c r="L19" i="2"/>
  <c r="K19" i="2"/>
  <c r="I19" i="2"/>
  <c r="H19" i="2"/>
  <c r="G19" i="2"/>
  <c r="F19" i="2"/>
  <c r="E19" i="2"/>
  <c r="D19" i="2"/>
  <c r="Q18" i="2"/>
  <c r="J18" i="2"/>
  <c r="Q17" i="2"/>
  <c r="R17" i="2" s="1"/>
  <c r="J17" i="2"/>
  <c r="Q16" i="2"/>
  <c r="R16" i="2" s="1"/>
  <c r="J16" i="2"/>
  <c r="P15" i="2"/>
  <c r="O15" i="2"/>
  <c r="N15" i="2"/>
  <c r="M15" i="2"/>
  <c r="L15" i="2"/>
  <c r="K15" i="2"/>
  <c r="I15" i="2"/>
  <c r="H15" i="2"/>
  <c r="G15" i="2"/>
  <c r="F15" i="2"/>
  <c r="E15" i="2"/>
  <c r="D15" i="2"/>
  <c r="Q14" i="2"/>
  <c r="J14" i="2"/>
  <c r="Q13" i="2"/>
  <c r="J13" i="2"/>
  <c r="R13" i="2" s="1"/>
  <c r="Q12" i="2"/>
  <c r="R12" i="2" s="1"/>
  <c r="J12" i="2"/>
  <c r="P11" i="2"/>
  <c r="O11" i="2"/>
  <c r="N11" i="2"/>
  <c r="M11" i="2"/>
  <c r="L11" i="2"/>
  <c r="K11" i="2"/>
  <c r="I11" i="2"/>
  <c r="H11" i="2"/>
  <c r="G11" i="2"/>
  <c r="F11" i="2"/>
  <c r="E11" i="2"/>
  <c r="D11" i="2"/>
  <c r="Q10" i="2"/>
  <c r="J10" i="2"/>
  <c r="R10" i="2" s="1"/>
  <c r="Q9" i="2"/>
  <c r="J9" i="2"/>
  <c r="Q8" i="2"/>
  <c r="R8" i="2" s="1"/>
  <c r="J8" i="2"/>
  <c r="P7" i="2"/>
  <c r="O7" i="2"/>
  <c r="N7" i="2"/>
  <c r="M7" i="2"/>
  <c r="L7" i="2"/>
  <c r="K7" i="2"/>
  <c r="Q7" i="2" s="1"/>
  <c r="I7" i="2"/>
  <c r="H7" i="2"/>
  <c r="G7" i="2"/>
  <c r="F7" i="2"/>
  <c r="E7" i="2"/>
  <c r="D7" i="2"/>
  <c r="Q6" i="2"/>
  <c r="J6" i="2"/>
  <c r="R6" i="2" s="1"/>
  <c r="Q5" i="2"/>
  <c r="J5" i="2"/>
  <c r="Q120" i="1"/>
  <c r="R120" i="1" s="1"/>
  <c r="H120" i="1"/>
  <c r="F120" i="1"/>
  <c r="P119" i="1"/>
  <c r="M117" i="1"/>
  <c r="I117" i="1"/>
  <c r="R116" i="1"/>
  <c r="Q116" i="1"/>
  <c r="J116" i="1"/>
  <c r="P115" i="1"/>
  <c r="O115" i="1"/>
  <c r="N115" i="1"/>
  <c r="M115" i="1"/>
  <c r="Q115" i="1" s="1"/>
  <c r="L115" i="1"/>
  <c r="K115" i="1"/>
  <c r="J115" i="1"/>
  <c r="I115" i="1"/>
  <c r="H115" i="1"/>
  <c r="G115" i="1"/>
  <c r="F115" i="1"/>
  <c r="E115" i="1"/>
  <c r="D115" i="1"/>
  <c r="Q114" i="1"/>
  <c r="J114" i="1"/>
  <c r="R114" i="1" s="1"/>
  <c r="Q113" i="1"/>
  <c r="J113" i="1"/>
  <c r="R113" i="1" s="1"/>
  <c r="Q112" i="1"/>
  <c r="R112" i="1" s="1"/>
  <c r="P112" i="1"/>
  <c r="P120" i="1" s="1"/>
  <c r="O112" i="1"/>
  <c r="O4" i="1" s="1"/>
  <c r="O5" i="1" s="1"/>
  <c r="N112" i="1"/>
  <c r="N120" i="1" s="1"/>
  <c r="M112" i="1"/>
  <c r="M120" i="1" s="1"/>
  <c r="L112" i="1"/>
  <c r="L120" i="1" s="1"/>
  <c r="K112" i="1"/>
  <c r="K120" i="1" s="1"/>
  <c r="I112" i="1"/>
  <c r="I4" i="1" s="1"/>
  <c r="I5" i="1" s="1"/>
  <c r="H112" i="1"/>
  <c r="G112" i="1"/>
  <c r="G120" i="1" s="1"/>
  <c r="F112" i="1"/>
  <c r="F4" i="1" s="1"/>
  <c r="E112" i="1"/>
  <c r="E120" i="1" s="1"/>
  <c r="D112" i="1"/>
  <c r="D120" i="1" s="1"/>
  <c r="P111" i="1"/>
  <c r="O111" i="1"/>
  <c r="G111" i="1"/>
  <c r="P110" i="1"/>
  <c r="P118" i="1" s="1"/>
  <c r="O110" i="1"/>
  <c r="O118" i="1" s="1"/>
  <c r="N110" i="1"/>
  <c r="N118" i="1" s="1"/>
  <c r="M110" i="1"/>
  <c r="L110" i="1"/>
  <c r="K110" i="1"/>
  <c r="Q110" i="1" s="1"/>
  <c r="I110" i="1"/>
  <c r="I118" i="1" s="1"/>
  <c r="I119" i="1" s="1"/>
  <c r="H110" i="1"/>
  <c r="H111" i="1" s="1"/>
  <c r="G110" i="1"/>
  <c r="G118" i="1" s="1"/>
  <c r="G119" i="1" s="1"/>
  <c r="F110" i="1"/>
  <c r="F118" i="1" s="1"/>
  <c r="E110" i="1"/>
  <c r="E111" i="1" s="1"/>
  <c r="D110" i="1"/>
  <c r="D118" i="1" s="1"/>
  <c r="P109" i="1"/>
  <c r="P117" i="1" s="1"/>
  <c r="O109" i="1"/>
  <c r="O117" i="1" s="1"/>
  <c r="N109" i="1"/>
  <c r="N111" i="1" s="1"/>
  <c r="M109" i="1"/>
  <c r="L109" i="1"/>
  <c r="L117" i="1" s="1"/>
  <c r="K109" i="1"/>
  <c r="Q109" i="1" s="1"/>
  <c r="I109" i="1"/>
  <c r="I111" i="1" s="1"/>
  <c r="H109" i="1"/>
  <c r="H117" i="1" s="1"/>
  <c r="G109" i="1"/>
  <c r="G117" i="1" s="1"/>
  <c r="F109" i="1"/>
  <c r="F111" i="1" s="1"/>
  <c r="E109" i="1"/>
  <c r="E117" i="1" s="1"/>
  <c r="D109" i="1"/>
  <c r="J109" i="1" s="1"/>
  <c r="R109" i="1" s="1"/>
  <c r="R108" i="1"/>
  <c r="Q108" i="1"/>
  <c r="J108" i="1"/>
  <c r="P107" i="1"/>
  <c r="O107" i="1"/>
  <c r="N107" i="1"/>
  <c r="M107" i="1"/>
  <c r="Q107" i="1" s="1"/>
  <c r="L107" i="1"/>
  <c r="K107" i="1"/>
  <c r="J107" i="1"/>
  <c r="I107" i="1"/>
  <c r="H107" i="1"/>
  <c r="G107" i="1"/>
  <c r="F107" i="1"/>
  <c r="E107" i="1"/>
  <c r="D107" i="1"/>
  <c r="Q106" i="1"/>
  <c r="J106" i="1"/>
  <c r="R106" i="1" s="1"/>
  <c r="Q105" i="1"/>
  <c r="J105" i="1"/>
  <c r="R105" i="1" s="1"/>
  <c r="Q104" i="1"/>
  <c r="R104" i="1" s="1"/>
  <c r="J104" i="1"/>
  <c r="P103" i="1"/>
  <c r="O103" i="1"/>
  <c r="N103" i="1"/>
  <c r="M103" i="1"/>
  <c r="L103" i="1"/>
  <c r="K103" i="1"/>
  <c r="I103" i="1"/>
  <c r="H103" i="1"/>
  <c r="G103" i="1"/>
  <c r="F103" i="1"/>
  <c r="E103" i="1"/>
  <c r="D103" i="1"/>
  <c r="R102" i="1"/>
  <c r="Q102" i="1"/>
  <c r="J102" i="1"/>
  <c r="Q101" i="1"/>
  <c r="J101" i="1"/>
  <c r="R101" i="1" s="1"/>
  <c r="R100" i="1"/>
  <c r="Q100" i="1"/>
  <c r="J100" i="1"/>
  <c r="P99" i="1"/>
  <c r="O99" i="1"/>
  <c r="N99" i="1"/>
  <c r="M99" i="1"/>
  <c r="L99" i="1"/>
  <c r="Q99" i="1" s="1"/>
  <c r="K99" i="1"/>
  <c r="I99" i="1"/>
  <c r="H99" i="1"/>
  <c r="G99" i="1"/>
  <c r="F99" i="1"/>
  <c r="E99" i="1"/>
  <c r="D99" i="1"/>
  <c r="Q98" i="1"/>
  <c r="J98" i="1"/>
  <c r="R97" i="1"/>
  <c r="Q97" i="1"/>
  <c r="J97" i="1"/>
  <c r="Q96" i="1"/>
  <c r="R96" i="1" s="1"/>
  <c r="J96" i="1"/>
  <c r="Q95" i="1"/>
  <c r="P95" i="1"/>
  <c r="O95" i="1"/>
  <c r="N95" i="1"/>
  <c r="M95" i="1"/>
  <c r="L95" i="1"/>
  <c r="K95" i="1"/>
  <c r="I95" i="1"/>
  <c r="H95" i="1"/>
  <c r="G95" i="1"/>
  <c r="F95" i="1"/>
  <c r="E95" i="1"/>
  <c r="D95" i="1"/>
  <c r="J95" i="1" s="1"/>
  <c r="R95" i="1" s="1"/>
  <c r="R94" i="1"/>
  <c r="Q94" i="1"/>
  <c r="J94" i="1"/>
  <c r="Q93" i="1"/>
  <c r="J93" i="1"/>
  <c r="R93" i="1" s="1"/>
  <c r="Q92" i="1"/>
  <c r="R92" i="1" s="1"/>
  <c r="J92" i="1"/>
  <c r="P91" i="1"/>
  <c r="O91" i="1"/>
  <c r="N91" i="1"/>
  <c r="L91" i="1"/>
  <c r="Q91" i="1" s="1"/>
  <c r="K91" i="1"/>
  <c r="J91" i="1"/>
  <c r="R91" i="1" s="1"/>
  <c r="I91" i="1"/>
  <c r="H91" i="1"/>
  <c r="G91" i="1"/>
  <c r="F91" i="1"/>
  <c r="E91" i="1"/>
  <c r="D91" i="1"/>
  <c r="Q90" i="1"/>
  <c r="J90" i="1"/>
  <c r="R90" i="1" s="1"/>
  <c r="Q89" i="1"/>
  <c r="J89" i="1"/>
  <c r="R89" i="1" s="1"/>
  <c r="Q88" i="1"/>
  <c r="R88" i="1" s="1"/>
  <c r="J88" i="1"/>
  <c r="Q87" i="1"/>
  <c r="P87" i="1"/>
  <c r="O87" i="1"/>
  <c r="N87" i="1"/>
  <c r="M87" i="1"/>
  <c r="L87" i="1"/>
  <c r="K87" i="1"/>
  <c r="I87" i="1"/>
  <c r="H87" i="1"/>
  <c r="G87" i="1"/>
  <c r="F87" i="1"/>
  <c r="J87" i="1" s="1"/>
  <c r="R87" i="1" s="1"/>
  <c r="E87" i="1"/>
  <c r="D87" i="1"/>
  <c r="R86" i="1"/>
  <c r="Q86" i="1"/>
  <c r="J86" i="1"/>
  <c r="R85" i="1"/>
  <c r="Q85" i="1"/>
  <c r="J85" i="1"/>
  <c r="Q84" i="1"/>
  <c r="R84" i="1" s="1"/>
  <c r="J84" i="1"/>
  <c r="P83" i="1"/>
  <c r="O83" i="1"/>
  <c r="N83" i="1"/>
  <c r="M83" i="1"/>
  <c r="L83" i="1"/>
  <c r="K83" i="1"/>
  <c r="Q83" i="1" s="1"/>
  <c r="I83" i="1"/>
  <c r="H83" i="1"/>
  <c r="G83" i="1"/>
  <c r="F83" i="1"/>
  <c r="E83" i="1"/>
  <c r="D83" i="1"/>
  <c r="J83" i="1" s="1"/>
  <c r="R83" i="1" s="1"/>
  <c r="Q82" i="1"/>
  <c r="J82" i="1"/>
  <c r="R82" i="1" s="1"/>
  <c r="Q81" i="1"/>
  <c r="J81" i="1"/>
  <c r="R81" i="1" s="1"/>
  <c r="R80" i="1"/>
  <c r="Q80" i="1"/>
  <c r="J80" i="1"/>
  <c r="P79" i="1"/>
  <c r="O79" i="1"/>
  <c r="N79" i="1"/>
  <c r="M79" i="1"/>
  <c r="L79" i="1"/>
  <c r="K79" i="1"/>
  <c r="I79" i="1"/>
  <c r="H79" i="1"/>
  <c r="G79" i="1"/>
  <c r="F79" i="1"/>
  <c r="E79" i="1"/>
  <c r="D79" i="1"/>
  <c r="Q78" i="1"/>
  <c r="J78" i="1"/>
  <c r="R78" i="1" s="1"/>
  <c r="R77" i="1"/>
  <c r="Q77" i="1"/>
  <c r="J77" i="1"/>
  <c r="R76" i="1"/>
  <c r="Q76" i="1"/>
  <c r="J76" i="1"/>
  <c r="Q75" i="1"/>
  <c r="P75" i="1"/>
  <c r="O75" i="1"/>
  <c r="N75" i="1"/>
  <c r="M75" i="1"/>
  <c r="L75" i="1"/>
  <c r="K75" i="1"/>
  <c r="J75" i="1"/>
  <c r="R75" i="1" s="1"/>
  <c r="I75" i="1"/>
  <c r="H75" i="1"/>
  <c r="G75" i="1"/>
  <c r="F75" i="1"/>
  <c r="E75" i="1"/>
  <c r="D75" i="1"/>
  <c r="R74" i="1"/>
  <c r="Q74" i="1"/>
  <c r="J74" i="1"/>
  <c r="Q73" i="1"/>
  <c r="J73" i="1"/>
  <c r="R73" i="1" s="1"/>
  <c r="Q72" i="1"/>
  <c r="R72" i="1" s="1"/>
  <c r="J72" i="1"/>
  <c r="P71" i="1"/>
  <c r="O71" i="1"/>
  <c r="N71" i="1"/>
  <c r="M71" i="1"/>
  <c r="L71" i="1"/>
  <c r="K71" i="1"/>
  <c r="I71" i="1"/>
  <c r="H71" i="1"/>
  <c r="G71" i="1"/>
  <c r="F71" i="1"/>
  <c r="E71" i="1"/>
  <c r="D71" i="1"/>
  <c r="J71" i="1" s="1"/>
  <c r="Q70" i="1"/>
  <c r="J70" i="1"/>
  <c r="R70" i="1" s="1"/>
  <c r="Q69" i="1"/>
  <c r="R69" i="1" s="1"/>
  <c r="J69" i="1"/>
  <c r="R68" i="1"/>
  <c r="Q68" i="1"/>
  <c r="J68" i="1"/>
  <c r="P67" i="1"/>
  <c r="O67" i="1"/>
  <c r="N67" i="1"/>
  <c r="M67" i="1"/>
  <c r="L67" i="1"/>
  <c r="K67" i="1"/>
  <c r="Q67" i="1" s="1"/>
  <c r="I67" i="1"/>
  <c r="H67" i="1"/>
  <c r="G67" i="1"/>
  <c r="F67" i="1"/>
  <c r="E67" i="1"/>
  <c r="D67" i="1"/>
  <c r="R66" i="1"/>
  <c r="Q66" i="1"/>
  <c r="J66" i="1"/>
  <c r="R65" i="1"/>
  <c r="Q65" i="1"/>
  <c r="J65" i="1"/>
  <c r="R64" i="1"/>
  <c r="Q64" i="1"/>
  <c r="J64" i="1"/>
  <c r="P63" i="1"/>
  <c r="O63" i="1"/>
  <c r="N63" i="1"/>
  <c r="M63" i="1"/>
  <c r="L63" i="1"/>
  <c r="K63" i="1"/>
  <c r="I63" i="1"/>
  <c r="H63" i="1"/>
  <c r="G63" i="1"/>
  <c r="F63" i="1"/>
  <c r="E63" i="1"/>
  <c r="J63" i="1" s="1"/>
  <c r="D63" i="1"/>
  <c r="Q62" i="1"/>
  <c r="J62" i="1"/>
  <c r="R62" i="1" s="1"/>
  <c r="Q61" i="1"/>
  <c r="R61" i="1" s="1"/>
  <c r="J61" i="1"/>
  <c r="Q60" i="1"/>
  <c r="R60" i="1" s="1"/>
  <c r="J60" i="1"/>
  <c r="P59" i="1"/>
  <c r="O59" i="1"/>
  <c r="Q59" i="1" s="1"/>
  <c r="N59" i="1"/>
  <c r="M59" i="1"/>
  <c r="L59" i="1"/>
  <c r="K59" i="1"/>
  <c r="J59" i="1"/>
  <c r="I59" i="1"/>
  <c r="H59" i="1"/>
  <c r="G59" i="1"/>
  <c r="F59" i="1"/>
  <c r="E59" i="1"/>
  <c r="D59" i="1"/>
  <c r="Q58" i="1"/>
  <c r="J58" i="1"/>
  <c r="R58" i="1" s="1"/>
  <c r="R57" i="1"/>
  <c r="Q57" i="1"/>
  <c r="J57" i="1"/>
  <c r="Q56" i="1"/>
  <c r="R56" i="1" s="1"/>
  <c r="J56" i="1"/>
  <c r="P55" i="1"/>
  <c r="O55" i="1"/>
  <c r="N55" i="1"/>
  <c r="M55" i="1"/>
  <c r="L55" i="1"/>
  <c r="K55" i="1"/>
  <c r="I55" i="1"/>
  <c r="H55" i="1"/>
  <c r="G55" i="1"/>
  <c r="F55" i="1"/>
  <c r="E55" i="1"/>
  <c r="D55" i="1"/>
  <c r="J55" i="1" s="1"/>
  <c r="Q54" i="1"/>
  <c r="J54" i="1"/>
  <c r="Q53" i="1"/>
  <c r="J53" i="1"/>
  <c r="R53" i="1" s="1"/>
  <c r="R52" i="1"/>
  <c r="Q52" i="1"/>
  <c r="J52" i="1"/>
  <c r="P51" i="1"/>
  <c r="O51" i="1"/>
  <c r="N51" i="1"/>
  <c r="M51" i="1"/>
  <c r="L51" i="1"/>
  <c r="K51" i="1"/>
  <c r="Q51" i="1" s="1"/>
  <c r="I51" i="1"/>
  <c r="H51" i="1"/>
  <c r="G51" i="1"/>
  <c r="F51" i="1"/>
  <c r="E51" i="1"/>
  <c r="J51" i="1" s="1"/>
  <c r="R51" i="1" s="1"/>
  <c r="D51" i="1"/>
  <c r="Q50" i="1"/>
  <c r="J50" i="1"/>
  <c r="R50" i="1" s="1"/>
  <c r="Q49" i="1"/>
  <c r="J49" i="1"/>
  <c r="R49" i="1" s="1"/>
  <c r="R48" i="1"/>
  <c r="Q48" i="1"/>
  <c r="J48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R46" i="1"/>
  <c r="Q46" i="1"/>
  <c r="J46" i="1"/>
  <c r="Q45" i="1"/>
  <c r="J45" i="1"/>
  <c r="R45" i="1" s="1"/>
  <c r="Q44" i="1"/>
  <c r="R44" i="1" s="1"/>
  <c r="J44" i="1"/>
  <c r="P43" i="1"/>
  <c r="O43" i="1"/>
  <c r="N43" i="1"/>
  <c r="M43" i="1"/>
  <c r="Q43" i="1" s="1"/>
  <c r="L43" i="1"/>
  <c r="K43" i="1"/>
  <c r="I43" i="1"/>
  <c r="H43" i="1"/>
  <c r="G43" i="1"/>
  <c r="F43" i="1"/>
  <c r="E43" i="1"/>
  <c r="D43" i="1"/>
  <c r="Q42" i="1"/>
  <c r="J42" i="1"/>
  <c r="R42" i="1" s="1"/>
  <c r="Q41" i="1"/>
  <c r="R41" i="1" s="1"/>
  <c r="J41" i="1"/>
  <c r="R40" i="1"/>
  <c r="Q40" i="1"/>
  <c r="J40" i="1"/>
  <c r="P39" i="1"/>
  <c r="Q39" i="1" s="1"/>
  <c r="O39" i="1"/>
  <c r="N39" i="1"/>
  <c r="M39" i="1"/>
  <c r="L39" i="1"/>
  <c r="K39" i="1"/>
  <c r="I39" i="1"/>
  <c r="H39" i="1"/>
  <c r="G39" i="1"/>
  <c r="F39" i="1"/>
  <c r="E39" i="1"/>
  <c r="D39" i="1"/>
  <c r="J39" i="1" s="1"/>
  <c r="R39" i="1" s="1"/>
  <c r="Q38" i="1"/>
  <c r="R38" i="1" s="1"/>
  <c r="J38" i="1"/>
  <c r="Q37" i="1"/>
  <c r="R37" i="1" s="1"/>
  <c r="J37" i="1"/>
  <c r="R36" i="1"/>
  <c r="Q36" i="1"/>
  <c r="J36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Q34" i="1"/>
  <c r="J34" i="1"/>
  <c r="R34" i="1" s="1"/>
  <c r="Q33" i="1"/>
  <c r="J33" i="1"/>
  <c r="R33" i="1" s="1"/>
  <c r="Q32" i="1"/>
  <c r="R32" i="1" s="1"/>
  <c r="J32" i="1"/>
  <c r="Q31" i="1"/>
  <c r="P31" i="1"/>
  <c r="O31" i="1"/>
  <c r="N31" i="1"/>
  <c r="M31" i="1"/>
  <c r="L31" i="1"/>
  <c r="K31" i="1"/>
  <c r="I31" i="1"/>
  <c r="H31" i="1"/>
  <c r="G31" i="1"/>
  <c r="F31" i="1"/>
  <c r="E31" i="1"/>
  <c r="J31" i="1" s="1"/>
  <c r="R31" i="1" s="1"/>
  <c r="D31" i="1"/>
  <c r="R30" i="1"/>
  <c r="Q30" i="1"/>
  <c r="J30" i="1"/>
  <c r="R29" i="1"/>
  <c r="Q29" i="1"/>
  <c r="J29" i="1"/>
  <c r="Q28" i="1"/>
  <c r="R28" i="1" s="1"/>
  <c r="J28" i="1"/>
  <c r="P27" i="1"/>
  <c r="O27" i="1"/>
  <c r="N27" i="1"/>
  <c r="M27" i="1"/>
  <c r="L27" i="1"/>
  <c r="K27" i="1"/>
  <c r="Q27" i="1" s="1"/>
  <c r="I27" i="1"/>
  <c r="H27" i="1"/>
  <c r="G27" i="1"/>
  <c r="F27" i="1"/>
  <c r="E27" i="1"/>
  <c r="D27" i="1"/>
  <c r="Q26" i="1"/>
  <c r="J26" i="1"/>
  <c r="Q25" i="1"/>
  <c r="J25" i="1"/>
  <c r="R25" i="1" s="1"/>
  <c r="R24" i="1"/>
  <c r="Q24" i="1"/>
  <c r="J24" i="1"/>
  <c r="P23" i="1"/>
  <c r="O23" i="1"/>
  <c r="N23" i="1"/>
  <c r="M23" i="1"/>
  <c r="L23" i="1"/>
  <c r="K23" i="1"/>
  <c r="I23" i="1"/>
  <c r="H23" i="1"/>
  <c r="G23" i="1"/>
  <c r="F23" i="1"/>
  <c r="E23" i="1"/>
  <c r="D23" i="1"/>
  <c r="J23" i="1" s="1"/>
  <c r="Q22" i="1"/>
  <c r="J22" i="1"/>
  <c r="R22" i="1" s="1"/>
  <c r="R21" i="1"/>
  <c r="Q21" i="1"/>
  <c r="J21" i="1"/>
  <c r="R20" i="1"/>
  <c r="Q20" i="1"/>
  <c r="J20" i="1"/>
  <c r="P19" i="1"/>
  <c r="O19" i="1"/>
  <c r="N19" i="1"/>
  <c r="M19" i="1"/>
  <c r="L19" i="1"/>
  <c r="K19" i="1"/>
  <c r="Q19" i="1" s="1"/>
  <c r="J19" i="1"/>
  <c r="I19" i="1"/>
  <c r="H19" i="1"/>
  <c r="G19" i="1"/>
  <c r="F19" i="1"/>
  <c r="E19" i="1"/>
  <c r="D19" i="1"/>
  <c r="R18" i="1"/>
  <c r="Q18" i="1"/>
  <c r="J18" i="1"/>
  <c r="Q17" i="1"/>
  <c r="J17" i="1"/>
  <c r="R17" i="1" s="1"/>
  <c r="Q16" i="1"/>
  <c r="R16" i="1" s="1"/>
  <c r="J16" i="1"/>
  <c r="P15" i="1"/>
  <c r="O15" i="1"/>
  <c r="N15" i="1"/>
  <c r="Q15" i="1" s="1"/>
  <c r="M15" i="1"/>
  <c r="L15" i="1"/>
  <c r="K15" i="1"/>
  <c r="I15" i="1"/>
  <c r="H15" i="1"/>
  <c r="G15" i="1"/>
  <c r="F15" i="1"/>
  <c r="E15" i="1"/>
  <c r="D15" i="1"/>
  <c r="Q14" i="1"/>
  <c r="J14" i="1"/>
  <c r="R14" i="1" s="1"/>
  <c r="Q13" i="1"/>
  <c r="R13" i="1" s="1"/>
  <c r="J13" i="1"/>
  <c r="R12" i="1"/>
  <c r="Q12" i="1"/>
  <c r="J12" i="1"/>
  <c r="Q11" i="1"/>
  <c r="P11" i="1"/>
  <c r="O11" i="1"/>
  <c r="N11" i="1"/>
  <c r="M11" i="1"/>
  <c r="L11" i="1"/>
  <c r="K11" i="1"/>
  <c r="I11" i="1"/>
  <c r="H11" i="1"/>
  <c r="G11" i="1"/>
  <c r="F11" i="1"/>
  <c r="E11" i="1"/>
  <c r="D11" i="1"/>
  <c r="J11" i="1" s="1"/>
  <c r="R11" i="1" s="1"/>
  <c r="R10" i="1"/>
  <c r="Q10" i="1"/>
  <c r="J10" i="1"/>
  <c r="R9" i="1"/>
  <c r="Q9" i="1"/>
  <c r="J9" i="1"/>
  <c r="P5" i="1"/>
  <c r="G5" i="1"/>
  <c r="F5" i="1"/>
  <c r="D5" i="1"/>
  <c r="P4" i="1"/>
  <c r="M4" i="1"/>
  <c r="M5" i="1" s="1"/>
  <c r="G4" i="1"/>
  <c r="D4" i="1"/>
  <c r="J4" i="1" s="1"/>
  <c r="R3" i="1"/>
  <c r="Q3" i="1"/>
  <c r="J3" i="1"/>
  <c r="J11" i="3" l="1"/>
  <c r="M211" i="2"/>
  <c r="J207" i="2"/>
  <c r="R203" i="2"/>
  <c r="O211" i="2"/>
  <c r="J7" i="2"/>
  <c r="R7" i="2" s="1"/>
  <c r="R30" i="2"/>
  <c r="J71" i="2"/>
  <c r="R71" i="2" s="1"/>
  <c r="Q119" i="2"/>
  <c r="J47" i="2"/>
  <c r="R175" i="2"/>
  <c r="J39" i="2"/>
  <c r="R39" i="2" s="1"/>
  <c r="I211" i="2"/>
  <c r="Q35" i="2"/>
  <c r="R157" i="2"/>
  <c r="N211" i="2"/>
  <c r="J43" i="2"/>
  <c r="R43" i="2" s="1"/>
  <c r="Q51" i="2"/>
  <c r="P199" i="2"/>
  <c r="R51" i="2"/>
  <c r="J127" i="2"/>
  <c r="H211" i="2"/>
  <c r="J11" i="2"/>
  <c r="Q59" i="2"/>
  <c r="J139" i="2"/>
  <c r="J179" i="2"/>
  <c r="R179" i="2" s="1"/>
  <c r="R23" i="2"/>
  <c r="J87" i="2"/>
  <c r="Q183" i="2"/>
  <c r="R65" i="2"/>
  <c r="Q115" i="2"/>
  <c r="Q209" i="2"/>
  <c r="R14" i="2"/>
  <c r="Q91" i="2"/>
  <c r="R121" i="2"/>
  <c r="Q127" i="2"/>
  <c r="J143" i="2"/>
  <c r="J191" i="2"/>
  <c r="R191" i="2" s="1"/>
  <c r="J15" i="2"/>
  <c r="R26" i="2"/>
  <c r="R46" i="2"/>
  <c r="R69" i="2"/>
  <c r="R90" i="2"/>
  <c r="Q95" i="2"/>
  <c r="R134" i="2"/>
  <c r="Q147" i="2"/>
  <c r="F199" i="2"/>
  <c r="Q11" i="2"/>
  <c r="J91" i="2"/>
  <c r="R91" i="2" s="1"/>
  <c r="Q179" i="2"/>
  <c r="Q43" i="2"/>
  <c r="Q99" i="2"/>
  <c r="R114" i="2"/>
  <c r="Q159" i="2"/>
  <c r="J35" i="2"/>
  <c r="Q83" i="2"/>
  <c r="J183" i="2"/>
  <c r="R183" i="2" s="1"/>
  <c r="R9" i="2"/>
  <c r="R18" i="2"/>
  <c r="J59" i="2"/>
  <c r="R82" i="2"/>
  <c r="Q139" i="2"/>
  <c r="J163" i="2"/>
  <c r="R163" i="2" s="1"/>
  <c r="Q191" i="2"/>
  <c r="Q207" i="2"/>
  <c r="R207" i="2" s="1"/>
  <c r="J47" i="3"/>
  <c r="R47" i="3" s="1"/>
  <c r="J75" i="3"/>
  <c r="R75" i="3" s="1"/>
  <c r="R145" i="3"/>
  <c r="Q71" i="3"/>
  <c r="R66" i="3"/>
  <c r="Q83" i="3"/>
  <c r="J143" i="3"/>
  <c r="R143" i="3" s="1"/>
  <c r="J159" i="3"/>
  <c r="J173" i="3"/>
  <c r="F175" i="3"/>
  <c r="Q75" i="3"/>
  <c r="Q139" i="3"/>
  <c r="R11" i="3"/>
  <c r="Q59" i="3"/>
  <c r="R33" i="3"/>
  <c r="R57" i="3"/>
  <c r="R110" i="3"/>
  <c r="R125" i="3"/>
  <c r="Q119" i="3"/>
  <c r="J19" i="3"/>
  <c r="Q79" i="3"/>
  <c r="R49" i="3"/>
  <c r="Q55" i="3"/>
  <c r="R62" i="3"/>
  <c r="Q107" i="3"/>
  <c r="R117" i="3"/>
  <c r="Q161" i="3"/>
  <c r="J167" i="3"/>
  <c r="R167" i="3" s="1"/>
  <c r="Q95" i="3"/>
  <c r="R95" i="3" s="1"/>
  <c r="Q151" i="3"/>
  <c r="J59" i="3"/>
  <c r="R114" i="3"/>
  <c r="R13" i="3"/>
  <c r="J131" i="3"/>
  <c r="Q147" i="3"/>
  <c r="J67" i="3"/>
  <c r="R67" i="3" s="1"/>
  <c r="J119" i="3"/>
  <c r="R119" i="3" s="1"/>
  <c r="Q135" i="3"/>
  <c r="Q162" i="3"/>
  <c r="I175" i="3"/>
  <c r="J7" i="3"/>
  <c r="Q23" i="3"/>
  <c r="Q63" i="3"/>
  <c r="Q127" i="3"/>
  <c r="Q31" i="3"/>
  <c r="Q43" i="3"/>
  <c r="R69" i="3"/>
  <c r="R90" i="3"/>
  <c r="R113" i="3"/>
  <c r="J123" i="3"/>
  <c r="R134" i="3"/>
  <c r="O163" i="3"/>
  <c r="R41" i="3"/>
  <c r="R42" i="3"/>
  <c r="R73" i="3"/>
  <c r="J91" i="3"/>
  <c r="R94" i="3"/>
  <c r="R138" i="3"/>
  <c r="Q167" i="3"/>
  <c r="Q99" i="3"/>
  <c r="J135" i="3"/>
  <c r="J171" i="3"/>
  <c r="G175" i="3"/>
  <c r="R6" i="3"/>
  <c r="R25" i="3"/>
  <c r="R54" i="3"/>
  <c r="R86" i="3"/>
  <c r="Q155" i="3"/>
  <c r="P163" i="3"/>
  <c r="E175" i="3"/>
  <c r="J35" i="3"/>
  <c r="Q67" i="3"/>
  <c r="I163" i="3"/>
  <c r="Q7" i="3"/>
  <c r="R43" i="3"/>
  <c r="R5" i="3"/>
  <c r="J115" i="3"/>
  <c r="J147" i="3"/>
  <c r="R147" i="3" s="1"/>
  <c r="Q39" i="3"/>
  <c r="J55" i="3"/>
  <c r="R55" i="3" s="1"/>
  <c r="Q115" i="3"/>
  <c r="R115" i="3" s="1"/>
  <c r="R121" i="3"/>
  <c r="Q123" i="3"/>
  <c r="J147" i="2"/>
  <c r="R147" i="2" s="1"/>
  <c r="J111" i="2"/>
  <c r="R111" i="2" s="1"/>
  <c r="J115" i="2"/>
  <c r="J27" i="3"/>
  <c r="R166" i="3"/>
  <c r="J107" i="3"/>
  <c r="R106" i="3"/>
  <c r="R10" i="3"/>
  <c r="R42" i="2"/>
  <c r="R146" i="2"/>
  <c r="J119" i="2"/>
  <c r="J99" i="2"/>
  <c r="J83" i="2"/>
  <c r="J5" i="1"/>
  <c r="R19" i="1"/>
  <c r="R127" i="2"/>
  <c r="R63" i="2"/>
  <c r="R55" i="1"/>
  <c r="R139" i="2"/>
  <c r="R35" i="2"/>
  <c r="K4" i="1"/>
  <c r="J43" i="1"/>
  <c r="R43" i="1" s="1"/>
  <c r="R11" i="2"/>
  <c r="I199" i="2"/>
  <c r="G163" i="3"/>
  <c r="Q71" i="1"/>
  <c r="R71" i="1" s="1"/>
  <c r="F117" i="1"/>
  <c r="F119" i="1" s="1"/>
  <c r="R54" i="2"/>
  <c r="J79" i="2"/>
  <c r="R79" i="2" s="1"/>
  <c r="R102" i="2"/>
  <c r="J135" i="2"/>
  <c r="R135" i="2" s="1"/>
  <c r="R166" i="2"/>
  <c r="J79" i="3"/>
  <c r="R87" i="3"/>
  <c r="J139" i="3"/>
  <c r="J15" i="1"/>
  <c r="R15" i="1" s="1"/>
  <c r="R107" i="1"/>
  <c r="Q75" i="2"/>
  <c r="Q131" i="2"/>
  <c r="Q195" i="2"/>
  <c r="J161" i="3"/>
  <c r="R161" i="3" s="1"/>
  <c r="K111" i="1"/>
  <c r="J95" i="2"/>
  <c r="J159" i="2"/>
  <c r="R115" i="1"/>
  <c r="K117" i="1"/>
  <c r="J31" i="2"/>
  <c r="J55" i="2"/>
  <c r="R55" i="2" s="1"/>
  <c r="Q67" i="2"/>
  <c r="Q123" i="2"/>
  <c r="Q187" i="2"/>
  <c r="J198" i="2"/>
  <c r="J23" i="3"/>
  <c r="R63" i="3"/>
  <c r="J111" i="3"/>
  <c r="R111" i="3" s="1"/>
  <c r="Q35" i="1"/>
  <c r="R35" i="1" s="1"/>
  <c r="R54" i="1"/>
  <c r="J103" i="1"/>
  <c r="J110" i="1"/>
  <c r="R110" i="1" s="1"/>
  <c r="Q19" i="2"/>
  <c r="Q27" i="2"/>
  <c r="R33" i="2"/>
  <c r="R57" i="2"/>
  <c r="J103" i="2"/>
  <c r="R105" i="2"/>
  <c r="J167" i="2"/>
  <c r="R169" i="2"/>
  <c r="Q198" i="2"/>
  <c r="K210" i="2"/>
  <c r="K199" i="2"/>
  <c r="R26" i="3"/>
  <c r="J83" i="3"/>
  <c r="R83" i="3" s="1"/>
  <c r="R105" i="3"/>
  <c r="J151" i="3"/>
  <c r="H163" i="3"/>
  <c r="H174" i="3"/>
  <c r="H175" i="3" s="1"/>
  <c r="R26" i="1"/>
  <c r="H118" i="1"/>
  <c r="H119" i="1" s="1"/>
  <c r="I120" i="1"/>
  <c r="J120" i="1" s="1"/>
  <c r="R74" i="2"/>
  <c r="J107" i="2"/>
  <c r="R130" i="2"/>
  <c r="J171" i="2"/>
  <c r="R194" i="2"/>
  <c r="G210" i="2"/>
  <c r="G211" i="2" s="1"/>
  <c r="Q15" i="3"/>
  <c r="Q91" i="3"/>
  <c r="Q159" i="3"/>
  <c r="R159" i="3" s="1"/>
  <c r="Q171" i="3"/>
  <c r="L211" i="2"/>
  <c r="R31" i="3"/>
  <c r="L111" i="1"/>
  <c r="M111" i="1"/>
  <c r="L175" i="3"/>
  <c r="J79" i="1"/>
  <c r="R79" i="1" s="1"/>
  <c r="O119" i="1"/>
  <c r="Q31" i="2"/>
  <c r="J67" i="2"/>
  <c r="Q87" i="2"/>
  <c r="Q103" i="2"/>
  <c r="J123" i="2"/>
  <c r="Q143" i="2"/>
  <c r="R143" i="2" s="1"/>
  <c r="Q167" i="2"/>
  <c r="J187" i="2"/>
  <c r="Q131" i="3"/>
  <c r="E4" i="1"/>
  <c r="E5" i="1" s="1"/>
  <c r="J27" i="1"/>
  <c r="R27" i="1" s="1"/>
  <c r="R98" i="1"/>
  <c r="Q103" i="1"/>
  <c r="K118" i="1"/>
  <c r="O120" i="1"/>
  <c r="Q47" i="2"/>
  <c r="R47" i="2" s="1"/>
  <c r="Q55" i="2"/>
  <c r="Q197" i="2"/>
  <c r="R197" i="2" s="1"/>
  <c r="J51" i="3"/>
  <c r="Q103" i="3"/>
  <c r="R103" i="3" s="1"/>
  <c r="J155" i="3"/>
  <c r="E118" i="1"/>
  <c r="H4" i="1"/>
  <c r="H5" i="1" s="1"/>
  <c r="Q23" i="1"/>
  <c r="R23" i="1" s="1"/>
  <c r="L118" i="1"/>
  <c r="L119" i="1" s="1"/>
  <c r="Q15" i="2"/>
  <c r="J27" i="2"/>
  <c r="J75" i="2"/>
  <c r="R75" i="2" s="1"/>
  <c r="J131" i="2"/>
  <c r="D210" i="2"/>
  <c r="D199" i="2"/>
  <c r="J127" i="3"/>
  <c r="K175" i="3"/>
  <c r="Q55" i="1"/>
  <c r="J99" i="1"/>
  <c r="R99" i="1" s="1"/>
  <c r="D111" i="1"/>
  <c r="J111" i="1" s="1"/>
  <c r="J112" i="1"/>
  <c r="R5" i="2"/>
  <c r="R29" i="2"/>
  <c r="J195" i="2"/>
  <c r="R195" i="2" s="1"/>
  <c r="E209" i="2"/>
  <c r="J209" i="2" s="1"/>
  <c r="R209" i="2" s="1"/>
  <c r="E199" i="2"/>
  <c r="H199" i="2"/>
  <c r="Q27" i="3"/>
  <c r="J71" i="3"/>
  <c r="R71" i="3" s="1"/>
  <c r="J99" i="3"/>
  <c r="R99" i="3" s="1"/>
  <c r="R129" i="3"/>
  <c r="R59" i="1"/>
  <c r="R47" i="1"/>
  <c r="R19" i="3"/>
  <c r="L4" i="1"/>
  <c r="L5" i="1" s="1"/>
  <c r="Q63" i="1"/>
  <c r="R63" i="1" s="1"/>
  <c r="J67" i="1"/>
  <c r="R67" i="1" s="1"/>
  <c r="Q79" i="1"/>
  <c r="D117" i="1"/>
  <c r="J19" i="2"/>
  <c r="Q107" i="2"/>
  <c r="Q171" i="2"/>
  <c r="P210" i="2"/>
  <c r="P211" i="2" s="1"/>
  <c r="J15" i="3"/>
  <c r="Q35" i="3"/>
  <c r="J39" i="3"/>
  <c r="Q51" i="3"/>
  <c r="D175" i="3"/>
  <c r="J174" i="3"/>
  <c r="D163" i="3"/>
  <c r="E163" i="3"/>
  <c r="M118" i="1"/>
  <c r="M119" i="1" s="1"/>
  <c r="N4" i="1"/>
  <c r="N5" i="1" s="1"/>
  <c r="L199" i="2"/>
  <c r="J162" i="3"/>
  <c r="N117" i="1"/>
  <c r="N119" i="1" s="1"/>
  <c r="M199" i="2"/>
  <c r="N173" i="3"/>
  <c r="M174" i="3"/>
  <c r="M175" i="3" s="1"/>
  <c r="P173" i="3"/>
  <c r="P175" i="3" s="1"/>
  <c r="O174" i="3"/>
  <c r="O175" i="3" s="1"/>
  <c r="M163" i="3"/>
  <c r="N163" i="3"/>
  <c r="R187" i="2" l="1"/>
  <c r="R87" i="2"/>
  <c r="R95" i="2"/>
  <c r="R115" i="2"/>
  <c r="R159" i="2"/>
  <c r="R107" i="2"/>
  <c r="R83" i="2"/>
  <c r="R15" i="2"/>
  <c r="R99" i="2"/>
  <c r="R198" i="2"/>
  <c r="R119" i="2"/>
  <c r="R171" i="2"/>
  <c r="R103" i="2"/>
  <c r="R59" i="2"/>
  <c r="R151" i="3"/>
  <c r="R127" i="3"/>
  <c r="R139" i="3"/>
  <c r="R79" i="3"/>
  <c r="R107" i="3"/>
  <c r="R171" i="3"/>
  <c r="R162" i="3"/>
  <c r="R135" i="3"/>
  <c r="R27" i="3"/>
  <c r="R59" i="3"/>
  <c r="R15" i="3"/>
  <c r="R91" i="3"/>
  <c r="R7" i="3"/>
  <c r="R123" i="3"/>
  <c r="J175" i="3"/>
  <c r="R23" i="3"/>
  <c r="Q163" i="3"/>
  <c r="R131" i="3"/>
  <c r="R39" i="3"/>
  <c r="Q173" i="3"/>
  <c r="R173" i="3" s="1"/>
  <c r="R35" i="3"/>
  <c r="R155" i="3"/>
  <c r="J163" i="3"/>
  <c r="R163" i="3" s="1"/>
  <c r="Q118" i="1"/>
  <c r="K119" i="1"/>
  <c r="Q119" i="1" s="1"/>
  <c r="E119" i="1"/>
  <c r="J118" i="1"/>
  <c r="Q174" i="3"/>
  <c r="R174" i="3" s="1"/>
  <c r="N175" i="3"/>
  <c r="Q175" i="3" s="1"/>
  <c r="R175" i="3" s="1"/>
  <c r="E211" i="2"/>
  <c r="R103" i="1"/>
  <c r="R31" i="2"/>
  <c r="Q117" i="1"/>
  <c r="Q199" i="2"/>
  <c r="K5" i="1"/>
  <c r="Q4" i="1"/>
  <c r="R19" i="2"/>
  <c r="J199" i="2"/>
  <c r="R51" i="3"/>
  <c r="Q210" i="2"/>
  <c r="K211" i="2"/>
  <c r="Q211" i="2" s="1"/>
  <c r="J117" i="1"/>
  <c r="D119" i="1"/>
  <c r="J119" i="1" s="1"/>
  <c r="R119" i="1" s="1"/>
  <c r="J210" i="2"/>
  <c r="D211" i="2"/>
  <c r="J211" i="2" s="1"/>
  <c r="R123" i="2"/>
  <c r="Q111" i="1"/>
  <c r="R111" i="1" s="1"/>
  <c r="R131" i="2"/>
  <c r="R167" i="2"/>
  <c r="R27" i="2"/>
  <c r="R67" i="2"/>
  <c r="R211" i="2" l="1"/>
  <c r="R210" i="2"/>
  <c r="R118" i="1"/>
  <c r="R199" i="2"/>
  <c r="R117" i="1"/>
  <c r="Q5" i="1"/>
  <c r="R4" i="1"/>
  <c r="R5" i="1" s="1"/>
</calcChain>
</file>

<file path=xl/sharedStrings.xml><?xml version="1.0" encoding="utf-8"?>
<sst xmlns="http://schemas.openxmlformats.org/spreadsheetml/2006/main" count="669" uniqueCount="136">
  <si>
    <t>■ベビーリーフ　企業・月別生産量集計表</t>
  </si>
  <si>
    <t>はーとふる農園愛川</t>
  </si>
  <si>
    <t>●/●時点</t>
  </si>
  <si>
    <t>KPI値</t>
  </si>
  <si>
    <t>目標</t>
  </si>
  <si>
    <t>実績</t>
  </si>
  <si>
    <t>差</t>
  </si>
  <si>
    <t>（単位：㎏）</t>
  </si>
  <si>
    <t>企業名</t>
  </si>
  <si>
    <t>期</t>
  </si>
  <si>
    <t>10月</t>
  </si>
  <si>
    <t>11月</t>
  </si>
  <si>
    <t>12月</t>
  </si>
  <si>
    <t>1月</t>
  </si>
  <si>
    <t>2月</t>
  </si>
  <si>
    <t>3月</t>
  </si>
  <si>
    <t>上期集計</t>
  </si>
  <si>
    <t>4月</t>
  </si>
  <si>
    <t>5月</t>
  </si>
  <si>
    <t>6月</t>
  </si>
  <si>
    <t>7月</t>
  </si>
  <si>
    <t>8月</t>
  </si>
  <si>
    <t>9月</t>
  </si>
  <si>
    <t>下期集計</t>
  </si>
  <si>
    <t>合　計</t>
  </si>
  <si>
    <t>備考</t>
  </si>
  <si>
    <t>牧野フライス</t>
  </si>
  <si>
    <t>58期</t>
  </si>
  <si>
    <t>59期</t>
  </si>
  <si>
    <t>増　減</t>
  </si>
  <si>
    <t>稼働棟数</t>
  </si>
  <si>
    <t>日本ファブテック</t>
  </si>
  <si>
    <t>東レ</t>
  </si>
  <si>
    <t>日本ロレアル</t>
  </si>
  <si>
    <t>サンセイランディック</t>
  </si>
  <si>
    <t>昭和女子</t>
  </si>
  <si>
    <t>QB</t>
  </si>
  <si>
    <t>NaITO</t>
  </si>
  <si>
    <t>バリュエンス</t>
  </si>
  <si>
    <t>Adobe</t>
  </si>
  <si>
    <t>富士機材</t>
  </si>
  <si>
    <t>マルテー</t>
  </si>
  <si>
    <t>ソリトン</t>
  </si>
  <si>
    <t>ケイアイ</t>
  </si>
  <si>
    <t>岡部</t>
  </si>
  <si>
    <t>三和</t>
  </si>
  <si>
    <t>慈誠会</t>
  </si>
  <si>
    <t>富士機械</t>
  </si>
  <si>
    <t>サンテレホン</t>
  </si>
  <si>
    <t>企業棟月間合計</t>
  </si>
  <si>
    <t>日建</t>
  </si>
  <si>
    <t>月間総合計</t>
  </si>
  <si>
    <t>■ベビーリーフ以外　企業・月別生産量集計表</t>
  </si>
  <si>
    <t>企業名/野菜名</t>
  </si>
  <si>
    <t>牧野フライス
/葉物野菜</t>
  </si>
  <si>
    <t>牧野フライス
/ミニトマト</t>
  </si>
  <si>
    <t>日本ファブテック
/葉物野菜</t>
  </si>
  <si>
    <t>日本ファブテック
/ミニトマト</t>
  </si>
  <si>
    <t>東レ
/葉物野菜</t>
  </si>
  <si>
    <t>東レ
/ミニトマト</t>
  </si>
  <si>
    <t>東レ
/イチゴ</t>
  </si>
  <si>
    <t>日本ロレアル
/ミニトマト</t>
  </si>
  <si>
    <t>日本ロレアル
/葉物野菜</t>
  </si>
  <si>
    <t>サンセイランディック
/葉物野菜</t>
  </si>
  <si>
    <t>サンセイランディック
/ミニトマト</t>
  </si>
  <si>
    <t>昭和女子
/葉物野菜</t>
  </si>
  <si>
    <t>昭和女子
/イチゴ</t>
  </si>
  <si>
    <t>QB
/葉物野菜</t>
  </si>
  <si>
    <t>QB
/イチゴ</t>
  </si>
  <si>
    <t>バリュエンス
/葉物野菜</t>
  </si>
  <si>
    <t>バリュエンス
/イチゴ</t>
  </si>
  <si>
    <t>Adobe
/葉物野菜</t>
  </si>
  <si>
    <t>Adobe
/イチゴ</t>
  </si>
  <si>
    <t>富士機材
/葉物野菜</t>
  </si>
  <si>
    <t>富士機材
/イチゴ</t>
  </si>
  <si>
    <t>NaITO
/イチゴ</t>
  </si>
  <si>
    <t>NaITO
/葉物野菜</t>
  </si>
  <si>
    <t>マルテー
/葉物野菜</t>
  </si>
  <si>
    <t>マルテー
/イチゴ</t>
  </si>
  <si>
    <t>ソリトン
/葉物野菜</t>
  </si>
  <si>
    <t>ソリトン
/イチゴ</t>
  </si>
  <si>
    <t>ケイアイ
/葉物野菜</t>
  </si>
  <si>
    <t>ケイアイ
/イチゴ</t>
  </si>
  <si>
    <t>岡部
/葉物野菜</t>
  </si>
  <si>
    <t>岡部
/イチゴ</t>
  </si>
  <si>
    <t>三和
/葉物野菜</t>
  </si>
  <si>
    <t>三和
/根菜</t>
  </si>
  <si>
    <t>三和
/イチゴ</t>
  </si>
  <si>
    <t>慈誠会
/葉物野菜</t>
  </si>
  <si>
    <t>慈誠会
/根菜</t>
  </si>
  <si>
    <t>慈誠会
/イチゴ</t>
  </si>
  <si>
    <t>富士機械
/葉物野菜</t>
  </si>
  <si>
    <t>富士機械
/根菜</t>
  </si>
  <si>
    <t>富士機械
/イチゴ</t>
  </si>
  <si>
    <t>サンテレホン
/葉物野菜</t>
  </si>
  <si>
    <t>IDAJ
/葉物野菜</t>
  </si>
  <si>
    <t>日建/葉物野菜</t>
  </si>
  <si>
    <t>■加工用　企業・月別生産量集計表</t>
  </si>
  <si>
    <t>牧野フライス
/加工BL</t>
  </si>
  <si>
    <t>日本ファブテック
/加工BL</t>
  </si>
  <si>
    <t>東レ
/加工BL</t>
  </si>
  <si>
    <t>東レ
/加工イチゴ</t>
  </si>
  <si>
    <t>サンセイ
/加工BL</t>
  </si>
  <si>
    <t>サンセイ
/加工トマト</t>
  </si>
  <si>
    <t>昭和
/加工BL</t>
  </si>
  <si>
    <t>昭和
/加工イチゴ</t>
  </si>
  <si>
    <t>QB
/加工BL</t>
  </si>
  <si>
    <t>QB
/加工イチゴ</t>
  </si>
  <si>
    <t>バリュ
/加工BL</t>
  </si>
  <si>
    <t>バリュ
/加工イチゴ</t>
  </si>
  <si>
    <t>Adobe
/加工BL</t>
  </si>
  <si>
    <t>Adobe
/加工イチゴ</t>
  </si>
  <si>
    <t>富士機材
/加工イチゴ</t>
  </si>
  <si>
    <t>富士機材
/加工BL</t>
  </si>
  <si>
    <t>NaITO
/加工BL</t>
  </si>
  <si>
    <t>NaITO
/加工イチゴ</t>
  </si>
  <si>
    <t>マルテー
加工BL</t>
  </si>
  <si>
    <t>マルテー
/加工イチゴ</t>
  </si>
  <si>
    <t>ソリトン
/加工BL</t>
  </si>
  <si>
    <t>ソリトン
/加工イチゴ</t>
  </si>
  <si>
    <t>ケイアイ
/加工BL</t>
  </si>
  <si>
    <t>ケイアイ
/加工イチゴ</t>
  </si>
  <si>
    <t>岡部
/加工BL</t>
  </si>
  <si>
    <t>岡部
/加工イチゴ</t>
  </si>
  <si>
    <t>三和
/加工BL</t>
  </si>
  <si>
    <t>三和
/加工イチゴ</t>
  </si>
  <si>
    <t>慈誠会
/加工BL</t>
  </si>
  <si>
    <t>慈誠会
/加工イチゴ</t>
  </si>
  <si>
    <t>富士機械
/加工BL</t>
  </si>
  <si>
    <t>富士機械
/加工イチゴ</t>
  </si>
  <si>
    <t>サンテレホン
/加工BL</t>
  </si>
  <si>
    <t>IDAJ
/加工BL</t>
  </si>
  <si>
    <t>日建/加工BL</t>
  </si>
  <si>
    <t>日建/加工イチゴ</t>
  </si>
  <si>
    <t>日建/ミニトマト</t>
    <phoneticPr fontId="1"/>
  </si>
  <si>
    <t>日本ロレアル
/加工BL</t>
    <rPh sb="0" eb="2">
      <t>ニホン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</si>
</sst>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;[Red]\-#,##0.0"/>
  </numFmts>
  <fonts count="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0" fontId="0" fillId="3" borderId="4" xfId="0" applyNumberFormat="1" applyFill="1" applyBorder="1">
      <alignment vertical="center"/>
    </xf>
    <xf numFmtId="40" fontId="0" fillId="3" borderId="7" xfId="0" applyNumberFormat="1" applyFill="1" applyBorder="1">
      <alignment vertical="center"/>
    </xf>
    <xf numFmtId="40" fontId="0" fillId="3" borderId="12" xfId="0" applyNumberFormat="1" applyFill="1" applyBorder="1">
      <alignment vertical="center"/>
    </xf>
    <xf numFmtId="40" fontId="0" fillId="3" borderId="10" xfId="0" applyNumberFormat="1" applyFill="1" applyBorder="1">
      <alignment vertical="center"/>
    </xf>
    <xf numFmtId="40" fontId="0" fillId="0" borderId="1" xfId="0" applyNumberFormat="1" applyBorder="1">
      <alignment vertical="center"/>
    </xf>
    <xf numFmtId="40" fontId="0" fillId="0" borderId="6" xfId="0" applyNumberFormat="1" applyBorder="1">
      <alignment vertical="center"/>
    </xf>
    <xf numFmtId="40" fontId="0" fillId="0" borderId="13" xfId="0" applyNumberFormat="1" applyBorder="1">
      <alignment vertical="center"/>
    </xf>
    <xf numFmtId="40" fontId="0" fillId="0" borderId="9" xfId="0" applyNumberFormat="1" applyBorder="1">
      <alignment vertical="center"/>
    </xf>
    <xf numFmtId="0" fontId="0" fillId="0" borderId="15" xfId="0" applyBorder="1" applyAlignment="1">
      <alignment vertical="center" shrinkToFit="1"/>
    </xf>
    <xf numFmtId="0" fontId="0" fillId="0" borderId="16" xfId="0" applyBorder="1" applyAlignment="1">
      <alignment vertical="center" shrinkToFit="1"/>
    </xf>
    <xf numFmtId="0" fontId="0" fillId="0" borderId="17" xfId="0" applyBorder="1" applyAlignment="1">
      <alignment vertical="center" shrinkToFit="1"/>
    </xf>
    <xf numFmtId="0" fontId="4" fillId="0" borderId="0" xfId="0" applyFont="1" applyAlignment="1">
      <alignment horizontal="center" vertical="center" shrinkToFit="1"/>
    </xf>
    <xf numFmtId="40" fontId="0" fillId="0" borderId="5" xfId="0" applyNumberFormat="1" applyBorder="1">
      <alignment vertical="center"/>
    </xf>
    <xf numFmtId="40" fontId="0" fillId="0" borderId="14" xfId="0" applyNumberFormat="1" applyBorder="1">
      <alignment vertical="center"/>
    </xf>
    <xf numFmtId="40" fontId="0" fillId="0" borderId="11" xfId="0" applyNumberFormat="1" applyBorder="1">
      <alignment vertical="center"/>
    </xf>
    <xf numFmtId="0" fontId="0" fillId="2" borderId="1" xfId="0" applyFill="1" applyBorder="1" applyAlignment="1">
      <alignment horizontal="center" vertical="center"/>
    </xf>
    <xf numFmtId="40" fontId="0" fillId="2" borderId="1" xfId="0" applyNumberFormat="1" applyFill="1" applyBorder="1">
      <alignment vertical="center"/>
    </xf>
    <xf numFmtId="0" fontId="0" fillId="0" borderId="5" xfId="0" applyBorder="1" applyAlignment="1">
      <alignment horizontal="center" vertical="center" shrinkToFit="1"/>
    </xf>
    <xf numFmtId="0" fontId="0" fillId="0" borderId="18" xfId="0" applyBorder="1">
      <alignment vertical="center"/>
    </xf>
    <xf numFmtId="40" fontId="0" fillId="2" borderId="6" xfId="0" applyNumberFormat="1" applyFill="1" applyBorder="1">
      <alignment vertical="center"/>
    </xf>
    <xf numFmtId="40" fontId="0" fillId="0" borderId="8" xfId="0" applyNumberFormat="1" applyBorder="1">
      <alignment vertical="center"/>
    </xf>
    <xf numFmtId="40" fontId="0" fillId="2" borderId="9" xfId="0" applyNumberFormat="1" applyFill="1" applyBorder="1">
      <alignment vertical="center"/>
    </xf>
    <xf numFmtId="40" fontId="0" fillId="2" borderId="13" xfId="0" applyNumberFormat="1" applyFill="1" applyBorder="1">
      <alignment vertical="center"/>
    </xf>
    <xf numFmtId="0" fontId="0" fillId="3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0" fillId="0" borderId="4" xfId="0" applyNumberFormat="1" applyBorder="1">
      <alignment vertical="center"/>
    </xf>
    <xf numFmtId="176" fontId="0" fillId="0" borderId="7" xfId="0" applyNumberFormat="1" applyBorder="1">
      <alignment vertical="center"/>
    </xf>
    <xf numFmtId="40" fontId="0" fillId="0" borderId="12" xfId="0" applyNumberFormat="1" applyBorder="1">
      <alignment vertical="center"/>
    </xf>
    <xf numFmtId="40" fontId="0" fillId="0" borderId="10" xfId="0" applyNumberFormat="1" applyBorder="1">
      <alignment vertical="center"/>
    </xf>
    <xf numFmtId="40" fontId="0" fillId="0" borderId="4" xfId="0" applyNumberFormat="1" applyBorder="1">
      <alignment vertical="center"/>
    </xf>
    <xf numFmtId="40" fontId="0" fillId="0" borderId="7" xfId="0" applyNumberFormat="1" applyBorder="1">
      <alignment vertical="center"/>
    </xf>
    <xf numFmtId="0" fontId="0" fillId="0" borderId="0" xfId="0" applyAlignment="1">
      <alignment horizontal="right" vertical="center"/>
    </xf>
    <xf numFmtId="0" fontId="0" fillId="0" borderId="11" xfId="0" applyBorder="1">
      <alignment vertical="center"/>
    </xf>
    <xf numFmtId="40" fontId="0" fillId="3" borderId="1" xfId="0" applyNumberFormat="1" applyFill="1" applyBorder="1">
      <alignment vertical="center"/>
    </xf>
    <xf numFmtId="40" fontId="0" fillId="4" borderId="1" xfId="0" applyNumberFormat="1" applyFill="1" applyBorder="1">
      <alignment vertical="center"/>
    </xf>
    <xf numFmtId="40" fontId="0" fillId="4" borderId="4" xfId="0" applyNumberFormat="1" applyFill="1" applyBorder="1">
      <alignment vertical="center"/>
    </xf>
    <xf numFmtId="40" fontId="0" fillId="4" borderId="13" xfId="0" applyNumberFormat="1" applyFill="1" applyBorder="1">
      <alignment vertical="center"/>
    </xf>
    <xf numFmtId="40" fontId="0" fillId="4" borderId="10" xfId="0" applyNumberFormat="1" applyFill="1" applyBorder="1">
      <alignment vertical="center"/>
    </xf>
    <xf numFmtId="0" fontId="0" fillId="2" borderId="1" xfId="0" applyFill="1" applyBorder="1">
      <alignment vertical="center"/>
    </xf>
    <xf numFmtId="0" fontId="0" fillId="0" borderId="0" xfId="0" applyAlignment="1"/>
    <xf numFmtId="0" fontId="0" fillId="0" borderId="4" xfId="0" applyBorder="1" applyAlignment="1">
      <alignment horizontal="center" vertical="center" wrapText="1" shrinkToFit="1"/>
    </xf>
    <xf numFmtId="0" fontId="0" fillId="0" borderId="24" xfId="0" applyBorder="1" applyAlignment="1"/>
    <xf numFmtId="0" fontId="0" fillId="0" borderId="28" xfId="0" applyBorder="1" applyAlignment="1"/>
    <xf numFmtId="0" fontId="0" fillId="0" borderId="3" xfId="0" applyBorder="1" applyAlignment="1">
      <alignment horizontal="center" vertical="center"/>
    </xf>
    <xf numFmtId="0" fontId="0" fillId="0" borderId="23" xfId="0" applyBorder="1" applyAlignment="1"/>
    <xf numFmtId="0" fontId="0" fillId="0" borderId="27" xfId="0" applyBorder="1" applyAlignment="1"/>
    <xf numFmtId="0" fontId="3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 shrinkToFit="1"/>
    </xf>
    <xf numFmtId="0" fontId="0" fillId="0" borderId="18" xfId="0" applyBorder="1" applyAlignment="1">
      <alignment horizontal="center" vertical="center"/>
    </xf>
    <xf numFmtId="0" fontId="0" fillId="0" borderId="26" xfId="0" applyBorder="1" applyAlignment="1"/>
    <xf numFmtId="0" fontId="0" fillId="0" borderId="19" xfId="0" applyBorder="1" applyAlignment="1">
      <alignment horizontal="center" vertical="center" wrapText="1" shrinkToFit="1"/>
    </xf>
    <xf numFmtId="0" fontId="0" fillId="0" borderId="25" xfId="0" applyBorder="1" applyAlignment="1"/>
    <xf numFmtId="0" fontId="5" fillId="0" borderId="19" xfId="0" applyFont="1" applyBorder="1" applyAlignment="1">
      <alignment horizontal="center" vertical="center" wrapText="1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20"/>
  <sheetViews>
    <sheetView tabSelected="1" zoomScale="54" zoomScaleNormal="100" workbookViewId="0">
      <pane xSplit="3" ySplit="8" topLeftCell="D99" activePane="bottomRight" state="frozen"/>
      <selection pane="topRight" activeCell="C1" sqref="C1"/>
      <selection pane="bottomLeft" activeCell="A5" sqref="A5"/>
      <selection pane="bottomRight" activeCell="S120" sqref="C120:S120"/>
    </sheetView>
  </sheetViews>
  <sheetFormatPr defaultRowHeight="13" x14ac:dyDescent="0.2"/>
  <cols>
    <col min="1" max="1" width="5.26953125" style="47" customWidth="1"/>
    <col min="2" max="2" width="21" style="47" customWidth="1"/>
    <col min="3" max="3" width="9" style="47" bestFit="1" customWidth="1"/>
    <col min="18" max="18" width="10.08984375" style="47" bestFit="1" customWidth="1"/>
    <col min="19" max="19" width="35.7265625" style="47" bestFit="1" customWidth="1"/>
  </cols>
  <sheetData>
    <row r="1" spans="1:19" ht="16.5" customHeight="1" x14ac:dyDescent="0.2">
      <c r="A1" s="1" t="s">
        <v>0</v>
      </c>
      <c r="G1" s="1" t="s">
        <v>1</v>
      </c>
      <c r="S1" s="39" t="s">
        <v>2</v>
      </c>
    </row>
    <row r="2" spans="1:19" ht="17" customHeight="1" thickBot="1" x14ac:dyDescent="0.25">
      <c r="A2" s="1"/>
      <c r="G2" s="1"/>
      <c r="S2" s="39"/>
    </row>
    <row r="3" spans="1:19" ht="18" customHeight="1" x14ac:dyDescent="0.2">
      <c r="A3" s="51"/>
      <c r="B3" s="54" t="s">
        <v>3</v>
      </c>
      <c r="C3" s="32" t="s">
        <v>4</v>
      </c>
      <c r="D3" s="33"/>
      <c r="E3" s="33"/>
      <c r="F3" s="33"/>
      <c r="G3" s="33"/>
      <c r="H3" s="33"/>
      <c r="I3" s="34"/>
      <c r="J3" s="35">
        <f>SUM(D3:I3)</f>
        <v>0</v>
      </c>
      <c r="K3" s="36"/>
      <c r="L3" s="37"/>
      <c r="M3" s="37"/>
      <c r="N3" s="37"/>
      <c r="O3" s="37"/>
      <c r="P3" s="38"/>
      <c r="Q3" s="35">
        <f>SUM(K3:P3)</f>
        <v>0</v>
      </c>
      <c r="R3" s="35">
        <f>J3+Q3</f>
        <v>0</v>
      </c>
      <c r="S3" s="16"/>
    </row>
    <row r="4" spans="1:19" ht="18" customHeight="1" x14ac:dyDescent="0.2">
      <c r="A4" s="52"/>
      <c r="B4" s="49"/>
      <c r="C4" s="7" t="s">
        <v>5</v>
      </c>
      <c r="D4" s="12" t="e">
        <f t="shared" ref="D4:I4" si="0">D110/D112</f>
        <v>#DIV/0!</v>
      </c>
      <c r="E4" s="12" t="e">
        <f t="shared" si="0"/>
        <v>#DIV/0!</v>
      </c>
      <c r="F4" s="12" t="e">
        <f t="shared" si="0"/>
        <v>#DIV/0!</v>
      </c>
      <c r="G4" s="12" t="e">
        <f t="shared" si="0"/>
        <v>#DIV/0!</v>
      </c>
      <c r="H4" s="12" t="e">
        <f t="shared" si="0"/>
        <v>#DIV/0!</v>
      </c>
      <c r="I4" s="13" t="e">
        <f t="shared" si="0"/>
        <v>#DIV/0!</v>
      </c>
      <c r="J4" s="14" t="e">
        <f>SUM(D4:I4)</f>
        <v>#DIV/0!</v>
      </c>
      <c r="K4" s="15" t="e">
        <f t="shared" ref="K4:P4" si="1">K110/K112</f>
        <v>#DIV/0!</v>
      </c>
      <c r="L4" s="12" t="e">
        <f t="shared" si="1"/>
        <v>#DIV/0!</v>
      </c>
      <c r="M4" s="12" t="e">
        <f t="shared" si="1"/>
        <v>#DIV/0!</v>
      </c>
      <c r="N4" s="12" t="e">
        <f t="shared" si="1"/>
        <v>#DIV/0!</v>
      </c>
      <c r="O4" s="12" t="e">
        <f t="shared" si="1"/>
        <v>#DIV/0!</v>
      </c>
      <c r="P4" s="13" t="e">
        <f t="shared" si="1"/>
        <v>#DIV/0!</v>
      </c>
      <c r="Q4" s="14" t="e">
        <f>SUM(K4:P4)</f>
        <v>#DIV/0!</v>
      </c>
      <c r="R4" s="14" t="e">
        <f>J4+Q4</f>
        <v>#DIV/0!</v>
      </c>
      <c r="S4" s="17"/>
    </row>
    <row r="5" spans="1:19" ht="18" customHeight="1" thickBot="1" x14ac:dyDescent="0.25">
      <c r="A5" s="53"/>
      <c r="B5" s="50"/>
      <c r="C5" s="25" t="s">
        <v>6</v>
      </c>
      <c r="D5" s="20" t="e">
        <f t="shared" ref="D5:R5" si="2">D4-D3</f>
        <v>#DIV/0!</v>
      </c>
      <c r="E5" s="20" t="e">
        <f t="shared" si="2"/>
        <v>#DIV/0!</v>
      </c>
      <c r="F5" s="20" t="e">
        <f t="shared" si="2"/>
        <v>#DIV/0!</v>
      </c>
      <c r="G5" s="20" t="e">
        <f t="shared" si="2"/>
        <v>#DIV/0!</v>
      </c>
      <c r="H5" s="20" t="e">
        <f t="shared" si="2"/>
        <v>#DIV/0!</v>
      </c>
      <c r="I5" s="28" t="e">
        <f t="shared" si="2"/>
        <v>#DIV/0!</v>
      </c>
      <c r="J5" s="21" t="e">
        <f t="shared" si="2"/>
        <v>#DIV/0!</v>
      </c>
      <c r="K5" s="40" t="e">
        <f t="shared" si="2"/>
        <v>#DIV/0!</v>
      </c>
      <c r="L5" s="20" t="e">
        <f t="shared" si="2"/>
        <v>#DIV/0!</v>
      </c>
      <c r="M5" s="20" t="e">
        <f t="shared" si="2"/>
        <v>#DIV/0!</v>
      </c>
      <c r="N5" s="20" t="e">
        <f t="shared" si="2"/>
        <v>#DIV/0!</v>
      </c>
      <c r="O5" s="20" t="e">
        <f t="shared" si="2"/>
        <v>#DIV/0!</v>
      </c>
      <c r="P5" s="28" t="e">
        <f t="shared" si="2"/>
        <v>#DIV/0!</v>
      </c>
      <c r="Q5" s="21" t="e">
        <f t="shared" si="2"/>
        <v>#DIV/0!</v>
      </c>
      <c r="R5" s="21" t="e">
        <f t="shared" si="2"/>
        <v>#DIV/0!</v>
      </c>
      <c r="S5" s="18"/>
    </row>
    <row r="6" spans="1:19" ht="13.5" customHeight="1" x14ac:dyDescent="0.2">
      <c r="B6" s="1"/>
      <c r="G6" s="1"/>
      <c r="S6" s="39"/>
    </row>
    <row r="7" spans="1:19" ht="13.5" customHeight="1" thickBot="1" x14ac:dyDescent="0.25">
      <c r="K7" s="19"/>
      <c r="S7" s="39" t="s">
        <v>7</v>
      </c>
    </row>
    <row r="8" spans="1:19" ht="27" customHeight="1" thickBot="1" x14ac:dyDescent="0.25">
      <c r="A8" s="26"/>
      <c r="B8" s="2" t="s">
        <v>8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  <c r="H8" s="2" t="s">
        <v>14</v>
      </c>
      <c r="I8" s="3" t="s">
        <v>15</v>
      </c>
      <c r="J8" s="4" t="s">
        <v>16</v>
      </c>
      <c r="K8" s="5" t="s">
        <v>17</v>
      </c>
      <c r="L8" s="2" t="s">
        <v>18</v>
      </c>
      <c r="M8" s="2" t="s">
        <v>19</v>
      </c>
      <c r="N8" s="2" t="s">
        <v>20</v>
      </c>
      <c r="O8" s="2" t="s">
        <v>21</v>
      </c>
      <c r="P8" s="3" t="s">
        <v>22</v>
      </c>
      <c r="Q8" s="4" t="s">
        <v>23</v>
      </c>
      <c r="R8" s="4" t="s">
        <v>24</v>
      </c>
      <c r="S8" s="6" t="s">
        <v>25</v>
      </c>
    </row>
    <row r="9" spans="1:19" ht="18" customHeight="1" x14ac:dyDescent="0.2">
      <c r="A9" s="51">
        <v>1</v>
      </c>
      <c r="B9" s="48" t="s">
        <v>26</v>
      </c>
      <c r="C9" s="31" t="s">
        <v>27</v>
      </c>
      <c r="D9" s="8">
        <v>4</v>
      </c>
      <c r="E9" s="8">
        <v>8.58</v>
      </c>
      <c r="F9" s="8">
        <v>13.3</v>
      </c>
      <c r="G9" s="8">
        <v>10.42</v>
      </c>
      <c r="H9" s="8">
        <v>6.92</v>
      </c>
      <c r="I9" s="9">
        <v>6.18</v>
      </c>
      <c r="J9" s="10">
        <f>SUM(D9:I9)</f>
        <v>49.400000000000006</v>
      </c>
      <c r="K9" s="11">
        <v>2.2200000000000002</v>
      </c>
      <c r="L9" s="8">
        <v>2.96</v>
      </c>
      <c r="M9" s="8">
        <v>2.64</v>
      </c>
      <c r="N9" s="8">
        <v>4.08</v>
      </c>
      <c r="O9" s="8">
        <v>2.44</v>
      </c>
      <c r="P9" s="9">
        <v>2.680000000000001</v>
      </c>
      <c r="Q9" s="10">
        <f>SUM(K9:P9)</f>
        <v>17.02</v>
      </c>
      <c r="R9" s="10">
        <f>J9+Q9</f>
        <v>66.42</v>
      </c>
      <c r="S9" s="16"/>
    </row>
    <row r="10" spans="1:19" ht="18" customHeight="1" x14ac:dyDescent="0.2">
      <c r="A10" s="52"/>
      <c r="B10" s="49"/>
      <c r="C10" s="7" t="s">
        <v>28</v>
      </c>
      <c r="D10" s="12">
        <v>2.16</v>
      </c>
      <c r="E10" s="12">
        <v>0.90000000000000013</v>
      </c>
      <c r="F10" s="12">
        <v>2.48</v>
      </c>
      <c r="G10" s="12">
        <v>3.640000000000001</v>
      </c>
      <c r="H10" s="12"/>
      <c r="I10" s="13"/>
      <c r="J10" s="14">
        <f>SUM(D10:I10)</f>
        <v>9.1800000000000015</v>
      </c>
      <c r="K10" s="15"/>
      <c r="L10" s="12"/>
      <c r="M10" s="12"/>
      <c r="N10" s="12"/>
      <c r="O10" s="12"/>
      <c r="P10" s="13"/>
      <c r="Q10" s="14">
        <f>SUM(K10:P10)</f>
        <v>0</v>
      </c>
      <c r="R10" s="14">
        <f>J10+Q10</f>
        <v>9.1800000000000015</v>
      </c>
      <c r="S10" s="17"/>
    </row>
    <row r="11" spans="1:19" ht="18" customHeight="1" x14ac:dyDescent="0.2">
      <c r="A11" s="52"/>
      <c r="B11" s="49"/>
      <c r="C11" s="23" t="s">
        <v>29</v>
      </c>
      <c r="D11" s="24">
        <f t="shared" ref="D11:I11" si="3">D10-D9</f>
        <v>-1.8399999999999999</v>
      </c>
      <c r="E11" s="24">
        <f t="shared" si="3"/>
        <v>-7.68</v>
      </c>
      <c r="F11" s="24">
        <f t="shared" si="3"/>
        <v>-10.82</v>
      </c>
      <c r="G11" s="24">
        <f t="shared" si="3"/>
        <v>-6.7799999999999994</v>
      </c>
      <c r="H11" s="24">
        <f t="shared" si="3"/>
        <v>-6.92</v>
      </c>
      <c r="I11" s="27">
        <f t="shared" si="3"/>
        <v>-6.18</v>
      </c>
      <c r="J11" s="30">
        <f>SUM(D11:I11)</f>
        <v>-40.22</v>
      </c>
      <c r="K11" s="29">
        <f t="shared" ref="K11:P11" si="4">K10-K9</f>
        <v>-2.2200000000000002</v>
      </c>
      <c r="L11" s="24">
        <f t="shared" si="4"/>
        <v>-2.96</v>
      </c>
      <c r="M11" s="24">
        <f t="shared" si="4"/>
        <v>-2.64</v>
      </c>
      <c r="N11" s="24">
        <f t="shared" si="4"/>
        <v>-4.08</v>
      </c>
      <c r="O11" s="24">
        <f t="shared" si="4"/>
        <v>-2.44</v>
      </c>
      <c r="P11" s="27">
        <f t="shared" si="4"/>
        <v>-2.680000000000001</v>
      </c>
      <c r="Q11" s="30">
        <f>SUM(K11:P11)</f>
        <v>-17.02</v>
      </c>
      <c r="R11" s="30">
        <f>J11+Q11</f>
        <v>-57.239999999999995</v>
      </c>
      <c r="S11" s="17"/>
    </row>
    <row r="12" spans="1:19" ht="18" customHeight="1" thickBot="1" x14ac:dyDescent="0.25">
      <c r="A12" s="53"/>
      <c r="B12" s="50"/>
      <c r="C12" s="25" t="s">
        <v>30</v>
      </c>
      <c r="D12" s="20"/>
      <c r="E12" s="20"/>
      <c r="F12" s="20"/>
      <c r="G12" s="20"/>
      <c r="H12" s="20"/>
      <c r="I12" s="28"/>
      <c r="J12" s="21">
        <f>I12</f>
        <v>0</v>
      </c>
      <c r="K12" s="22"/>
      <c r="L12" s="20"/>
      <c r="M12" s="20"/>
      <c r="N12" s="20"/>
      <c r="O12" s="20"/>
      <c r="P12" s="28"/>
      <c r="Q12" s="21">
        <f>P12</f>
        <v>0</v>
      </c>
      <c r="R12" s="21">
        <f>Q12</f>
        <v>0</v>
      </c>
      <c r="S12" s="18"/>
    </row>
    <row r="13" spans="1:19" ht="18" customHeight="1" x14ac:dyDescent="0.2">
      <c r="A13" s="51">
        <v>2</v>
      </c>
      <c r="B13" s="48" t="s">
        <v>31</v>
      </c>
      <c r="C13" s="31" t="s">
        <v>27</v>
      </c>
      <c r="D13" s="8">
        <v>2.2999999999999998</v>
      </c>
      <c r="E13" s="8">
        <v>5.16</v>
      </c>
      <c r="F13" s="8">
        <v>5.71</v>
      </c>
      <c r="G13" s="8">
        <v>5.18</v>
      </c>
      <c r="H13" s="8">
        <v>2.1800000000000002</v>
      </c>
      <c r="I13" s="9">
        <v>3.68</v>
      </c>
      <c r="J13" s="10">
        <f>SUM(D13:I13)</f>
        <v>24.21</v>
      </c>
      <c r="K13" s="11">
        <v>2.36</v>
      </c>
      <c r="L13" s="8">
        <v>2.42</v>
      </c>
      <c r="M13" s="8">
        <v>1.82</v>
      </c>
      <c r="N13" s="8">
        <v>4.4400000000000004</v>
      </c>
      <c r="O13" s="8">
        <v>2.3199999999999998</v>
      </c>
      <c r="P13" s="9">
        <v>2.2999999999999998</v>
      </c>
      <c r="Q13" s="10">
        <f>SUM(K13:P13)</f>
        <v>15.66</v>
      </c>
      <c r="R13" s="10">
        <f>J13+Q13</f>
        <v>39.870000000000005</v>
      </c>
      <c r="S13" s="16"/>
    </row>
    <row r="14" spans="1:19" ht="18" customHeight="1" x14ac:dyDescent="0.2">
      <c r="A14" s="52"/>
      <c r="B14" s="49"/>
      <c r="C14" s="7" t="s">
        <v>28</v>
      </c>
      <c r="D14" s="12">
        <v>0.90000000000000013</v>
      </c>
      <c r="E14" s="12">
        <v>0.8600000000000001</v>
      </c>
      <c r="F14" s="12">
        <v>2.06</v>
      </c>
      <c r="G14" s="12">
        <v>3.0200000000000009</v>
      </c>
      <c r="H14" s="12"/>
      <c r="I14" s="13"/>
      <c r="J14" s="14">
        <f>SUM(D14:I14)</f>
        <v>6.8400000000000016</v>
      </c>
      <c r="K14" s="15"/>
      <c r="L14" s="12"/>
      <c r="M14" s="12"/>
      <c r="N14" s="12"/>
      <c r="O14" s="12"/>
      <c r="P14" s="13"/>
      <c r="Q14" s="14">
        <f>SUM(K14:P14)</f>
        <v>0</v>
      </c>
      <c r="R14" s="14">
        <f>J14+Q14</f>
        <v>6.8400000000000016</v>
      </c>
      <c r="S14" s="17"/>
    </row>
    <row r="15" spans="1:19" ht="18" customHeight="1" x14ac:dyDescent="0.2">
      <c r="A15" s="52"/>
      <c r="B15" s="49"/>
      <c r="C15" s="23" t="s">
        <v>29</v>
      </c>
      <c r="D15" s="24">
        <f t="shared" ref="D15:I15" si="5">D14-D13</f>
        <v>-1.3999999999999997</v>
      </c>
      <c r="E15" s="24">
        <f t="shared" si="5"/>
        <v>-4.3</v>
      </c>
      <c r="F15" s="24">
        <f t="shared" si="5"/>
        <v>-3.65</v>
      </c>
      <c r="G15" s="24">
        <f t="shared" si="5"/>
        <v>-2.1599999999999988</v>
      </c>
      <c r="H15" s="24">
        <f t="shared" si="5"/>
        <v>-2.1800000000000002</v>
      </c>
      <c r="I15" s="27">
        <f t="shared" si="5"/>
        <v>-3.68</v>
      </c>
      <c r="J15" s="30">
        <f>SUM(D15:I15)</f>
        <v>-17.369999999999997</v>
      </c>
      <c r="K15" s="29">
        <f t="shared" ref="K15:P15" si="6">K14-K13</f>
        <v>-2.36</v>
      </c>
      <c r="L15" s="24">
        <f t="shared" si="6"/>
        <v>-2.42</v>
      </c>
      <c r="M15" s="24">
        <f t="shared" si="6"/>
        <v>-1.82</v>
      </c>
      <c r="N15" s="24">
        <f t="shared" si="6"/>
        <v>-4.4400000000000004</v>
      </c>
      <c r="O15" s="24">
        <f t="shared" si="6"/>
        <v>-2.3199999999999998</v>
      </c>
      <c r="P15" s="27">
        <f t="shared" si="6"/>
        <v>-2.2999999999999998</v>
      </c>
      <c r="Q15" s="30">
        <f>SUM(K15:P15)</f>
        <v>-15.66</v>
      </c>
      <c r="R15" s="30">
        <f>J15+Q15</f>
        <v>-33.03</v>
      </c>
      <c r="S15" s="17"/>
    </row>
    <row r="16" spans="1:19" ht="18" customHeight="1" thickBot="1" x14ac:dyDescent="0.25">
      <c r="A16" s="53"/>
      <c r="B16" s="50"/>
      <c r="C16" s="25" t="s">
        <v>30</v>
      </c>
      <c r="D16" s="20"/>
      <c r="E16" s="20"/>
      <c r="F16" s="20"/>
      <c r="G16" s="20"/>
      <c r="H16" s="20"/>
      <c r="I16" s="28"/>
      <c r="J16" s="21">
        <f>I16</f>
        <v>0</v>
      </c>
      <c r="K16" s="22"/>
      <c r="L16" s="20"/>
      <c r="M16" s="20"/>
      <c r="N16" s="20"/>
      <c r="O16" s="20"/>
      <c r="P16" s="28"/>
      <c r="Q16" s="21">
        <f>P16</f>
        <v>0</v>
      </c>
      <c r="R16" s="21">
        <f>Q16</f>
        <v>0</v>
      </c>
      <c r="S16" s="18"/>
    </row>
    <row r="17" spans="1:19" ht="18" customHeight="1" x14ac:dyDescent="0.2">
      <c r="A17" s="51">
        <v>3</v>
      </c>
      <c r="B17" s="48" t="s">
        <v>32</v>
      </c>
      <c r="C17" s="31" t="s">
        <v>27</v>
      </c>
      <c r="D17" s="8">
        <v>11.7</v>
      </c>
      <c r="E17" s="8">
        <v>22.6</v>
      </c>
      <c r="F17" s="8">
        <v>22.6</v>
      </c>
      <c r="G17" s="8">
        <v>32.82</v>
      </c>
      <c r="H17" s="8">
        <v>18.260000000000002</v>
      </c>
      <c r="I17" s="9">
        <v>15.5</v>
      </c>
      <c r="J17" s="10">
        <f>SUM(D17:I17)</f>
        <v>123.48</v>
      </c>
      <c r="K17" s="11">
        <v>20.3</v>
      </c>
      <c r="L17" s="8">
        <v>14.34</v>
      </c>
      <c r="M17" s="8">
        <v>10.11</v>
      </c>
      <c r="N17" s="8">
        <v>17.190000000000001</v>
      </c>
      <c r="O17" s="8">
        <v>13.38</v>
      </c>
      <c r="P17" s="9">
        <v>13.08</v>
      </c>
      <c r="Q17" s="10">
        <f>SUM(K17:P17)</f>
        <v>88.399999999999991</v>
      </c>
      <c r="R17" s="10">
        <f>J17+Q17</f>
        <v>211.88</v>
      </c>
      <c r="S17" s="16"/>
    </row>
    <row r="18" spans="1:19" ht="18" customHeight="1" x14ac:dyDescent="0.2">
      <c r="A18" s="52"/>
      <c r="B18" s="49"/>
      <c r="C18" s="7" t="s">
        <v>28</v>
      </c>
      <c r="D18" s="12">
        <v>16.260000000000002</v>
      </c>
      <c r="E18" s="12">
        <v>7.9200000000000008</v>
      </c>
      <c r="F18" s="12">
        <v>18.88</v>
      </c>
      <c r="G18" s="12">
        <v>33.460000000000008</v>
      </c>
      <c r="H18" s="12"/>
      <c r="I18" s="13"/>
      <c r="J18" s="14">
        <f>SUM(D18:I18)</f>
        <v>76.52000000000001</v>
      </c>
      <c r="K18" s="15"/>
      <c r="L18" s="12"/>
      <c r="M18" s="12"/>
      <c r="N18" s="12"/>
      <c r="O18" s="12"/>
      <c r="P18" s="13"/>
      <c r="Q18" s="14">
        <f>SUM(K18:P18)</f>
        <v>0</v>
      </c>
      <c r="R18" s="14">
        <f>J18+Q18</f>
        <v>76.52000000000001</v>
      </c>
      <c r="S18" s="17"/>
    </row>
    <row r="19" spans="1:19" ht="18" customHeight="1" x14ac:dyDescent="0.2">
      <c r="A19" s="52"/>
      <c r="B19" s="49"/>
      <c r="C19" s="23" t="s">
        <v>29</v>
      </c>
      <c r="D19" s="24">
        <f t="shared" ref="D19:I19" si="7">D18-D17</f>
        <v>4.5600000000000023</v>
      </c>
      <c r="E19" s="24">
        <f t="shared" si="7"/>
        <v>-14.68</v>
      </c>
      <c r="F19" s="24">
        <f t="shared" si="7"/>
        <v>-3.7200000000000024</v>
      </c>
      <c r="G19" s="24">
        <f t="shared" si="7"/>
        <v>0.64000000000000767</v>
      </c>
      <c r="H19" s="24">
        <f t="shared" si="7"/>
        <v>-18.260000000000002</v>
      </c>
      <c r="I19" s="27">
        <f t="shared" si="7"/>
        <v>-15.5</v>
      </c>
      <c r="J19" s="30">
        <f>SUM(D19:I19)</f>
        <v>-46.959999999999994</v>
      </c>
      <c r="K19" s="29">
        <f t="shared" ref="K19:P19" si="8">K18-K17</f>
        <v>-20.3</v>
      </c>
      <c r="L19" s="24">
        <f t="shared" si="8"/>
        <v>-14.34</v>
      </c>
      <c r="M19" s="24">
        <f t="shared" si="8"/>
        <v>-10.11</v>
      </c>
      <c r="N19" s="24">
        <f t="shared" si="8"/>
        <v>-17.190000000000001</v>
      </c>
      <c r="O19" s="24">
        <f t="shared" si="8"/>
        <v>-13.38</v>
      </c>
      <c r="P19" s="27">
        <f t="shared" si="8"/>
        <v>-13.08</v>
      </c>
      <c r="Q19" s="30">
        <f>SUM(K19:P19)</f>
        <v>-88.399999999999991</v>
      </c>
      <c r="R19" s="30">
        <f>J19+Q19</f>
        <v>-135.35999999999999</v>
      </c>
      <c r="S19" s="17"/>
    </row>
    <row r="20" spans="1:19" ht="18" customHeight="1" thickBot="1" x14ac:dyDescent="0.25">
      <c r="A20" s="53"/>
      <c r="B20" s="50"/>
      <c r="C20" s="25" t="s">
        <v>30</v>
      </c>
      <c r="D20" s="20"/>
      <c r="E20" s="20"/>
      <c r="F20" s="20"/>
      <c r="G20" s="20"/>
      <c r="H20" s="20"/>
      <c r="I20" s="28"/>
      <c r="J20" s="21">
        <f>I20</f>
        <v>0</v>
      </c>
      <c r="K20" s="22"/>
      <c r="L20" s="20"/>
      <c r="M20" s="20"/>
      <c r="N20" s="20"/>
      <c r="O20" s="20"/>
      <c r="P20" s="28"/>
      <c r="Q20" s="21">
        <f>P20</f>
        <v>0</v>
      </c>
      <c r="R20" s="21">
        <f>Q20</f>
        <v>0</v>
      </c>
      <c r="S20" s="18"/>
    </row>
    <row r="21" spans="1:19" ht="18" customHeight="1" x14ac:dyDescent="0.2">
      <c r="A21" s="51">
        <v>4</v>
      </c>
      <c r="B21" s="55" t="s">
        <v>33</v>
      </c>
      <c r="C21" s="31" t="s">
        <v>27</v>
      </c>
      <c r="D21" s="8">
        <v>2.5</v>
      </c>
      <c r="E21" s="8">
        <v>0.7</v>
      </c>
      <c r="F21" s="8">
        <v>4.5</v>
      </c>
      <c r="G21" s="8">
        <v>4.62</v>
      </c>
      <c r="H21" s="8">
        <v>5.24</v>
      </c>
      <c r="I21" s="9">
        <v>3.08</v>
      </c>
      <c r="J21" s="10">
        <f>SUM(D21:I21)</f>
        <v>20.64</v>
      </c>
      <c r="K21" s="11">
        <v>0.98</v>
      </c>
      <c r="L21" s="8">
        <v>3.3</v>
      </c>
      <c r="M21" s="8">
        <v>2.1800000000000002</v>
      </c>
      <c r="N21" s="8">
        <v>4.54</v>
      </c>
      <c r="O21" s="8">
        <v>1.82</v>
      </c>
      <c r="P21" s="9">
        <v>2.2200000000000002</v>
      </c>
      <c r="Q21" s="10">
        <f>SUM(K21:P21)</f>
        <v>15.040000000000001</v>
      </c>
      <c r="R21" s="10">
        <f>J21+Q21</f>
        <v>35.68</v>
      </c>
      <c r="S21" s="16"/>
    </row>
    <row r="22" spans="1:19" ht="18" customHeight="1" x14ac:dyDescent="0.2">
      <c r="A22" s="52"/>
      <c r="B22" s="49"/>
      <c r="C22" s="7" t="s">
        <v>28</v>
      </c>
      <c r="D22" s="12">
        <v>3.9200000000000008</v>
      </c>
      <c r="E22" s="12">
        <v>1.62</v>
      </c>
      <c r="F22" s="12">
        <v>3.2200000000000011</v>
      </c>
      <c r="G22" s="12">
        <v>4.9800000000000013</v>
      </c>
      <c r="H22" s="12"/>
      <c r="I22" s="13"/>
      <c r="J22" s="14">
        <f>SUM(D22:I22)</f>
        <v>13.740000000000002</v>
      </c>
      <c r="K22" s="15"/>
      <c r="L22" s="12"/>
      <c r="M22" s="12"/>
      <c r="N22" s="12"/>
      <c r="O22" s="12"/>
      <c r="P22" s="13"/>
      <c r="Q22" s="14">
        <f>SUM(K22:P22)</f>
        <v>0</v>
      </c>
      <c r="R22" s="14">
        <f>J22+Q22</f>
        <v>13.740000000000002</v>
      </c>
      <c r="S22" s="17"/>
    </row>
    <row r="23" spans="1:19" ht="18" customHeight="1" x14ac:dyDescent="0.2">
      <c r="A23" s="52"/>
      <c r="B23" s="49"/>
      <c r="C23" s="23" t="s">
        <v>29</v>
      </c>
      <c r="D23" s="24">
        <f t="shared" ref="D23:I23" si="9">D22-D21</f>
        <v>1.4200000000000008</v>
      </c>
      <c r="E23" s="24">
        <f t="shared" si="9"/>
        <v>0.92000000000000015</v>
      </c>
      <c r="F23" s="24">
        <f t="shared" si="9"/>
        <v>-1.2799999999999989</v>
      </c>
      <c r="G23" s="24">
        <f t="shared" si="9"/>
        <v>0.36000000000000121</v>
      </c>
      <c r="H23" s="24">
        <f t="shared" si="9"/>
        <v>-5.24</v>
      </c>
      <c r="I23" s="27">
        <f t="shared" si="9"/>
        <v>-3.08</v>
      </c>
      <c r="J23" s="30">
        <f>SUM(D23:I23)</f>
        <v>-6.8999999999999968</v>
      </c>
      <c r="K23" s="29">
        <f t="shared" ref="K23:P23" si="10">K22-K21</f>
        <v>-0.98</v>
      </c>
      <c r="L23" s="24">
        <f t="shared" si="10"/>
        <v>-3.3</v>
      </c>
      <c r="M23" s="24">
        <f t="shared" si="10"/>
        <v>-2.1800000000000002</v>
      </c>
      <c r="N23" s="24">
        <f t="shared" si="10"/>
        <v>-4.54</v>
      </c>
      <c r="O23" s="24">
        <f t="shared" si="10"/>
        <v>-1.82</v>
      </c>
      <c r="P23" s="27">
        <f t="shared" si="10"/>
        <v>-2.2200000000000002</v>
      </c>
      <c r="Q23" s="30">
        <f>SUM(K23:P23)</f>
        <v>-15.040000000000001</v>
      </c>
      <c r="R23" s="30">
        <f>J23+Q23</f>
        <v>-21.939999999999998</v>
      </c>
      <c r="S23" s="17"/>
    </row>
    <row r="24" spans="1:19" ht="18" customHeight="1" thickBot="1" x14ac:dyDescent="0.25">
      <c r="A24" s="53"/>
      <c r="B24" s="50"/>
      <c r="C24" s="25" t="s">
        <v>30</v>
      </c>
      <c r="D24" s="20"/>
      <c r="E24" s="20"/>
      <c r="F24" s="20"/>
      <c r="G24" s="20"/>
      <c r="H24" s="20"/>
      <c r="I24" s="28"/>
      <c r="J24" s="21">
        <f>I24</f>
        <v>0</v>
      </c>
      <c r="K24" s="22"/>
      <c r="L24" s="20"/>
      <c r="M24" s="20"/>
      <c r="N24" s="20"/>
      <c r="O24" s="20"/>
      <c r="P24" s="28"/>
      <c r="Q24" s="21">
        <f>P24</f>
        <v>0</v>
      </c>
      <c r="R24" s="21">
        <f>Q24</f>
        <v>0</v>
      </c>
      <c r="S24" s="18"/>
    </row>
    <row r="25" spans="1:19" ht="18" customHeight="1" x14ac:dyDescent="0.2">
      <c r="A25" s="51">
        <v>5</v>
      </c>
      <c r="B25" s="55" t="s">
        <v>34</v>
      </c>
      <c r="C25" s="31" t="s">
        <v>27</v>
      </c>
      <c r="D25" s="8">
        <v>3.2</v>
      </c>
      <c r="E25" s="8">
        <v>3.96</v>
      </c>
      <c r="F25" s="8">
        <v>8.64</v>
      </c>
      <c r="G25" s="8">
        <v>7.23</v>
      </c>
      <c r="H25" s="8">
        <v>2.2999999999999998</v>
      </c>
      <c r="I25" s="9">
        <v>5.68</v>
      </c>
      <c r="J25" s="10">
        <f>SUM(D25:I25)</f>
        <v>31.01</v>
      </c>
      <c r="K25" s="11">
        <v>1.44</v>
      </c>
      <c r="L25" s="8">
        <v>4.32</v>
      </c>
      <c r="M25" s="8">
        <v>2.16</v>
      </c>
      <c r="N25" s="8">
        <v>5.0199999999999996</v>
      </c>
      <c r="O25" s="8">
        <v>1.46</v>
      </c>
      <c r="P25" s="9">
        <v>3.38</v>
      </c>
      <c r="Q25" s="10">
        <f>SUM(K25:P25)</f>
        <v>17.779999999999998</v>
      </c>
      <c r="R25" s="10">
        <f>J25+Q25</f>
        <v>48.79</v>
      </c>
      <c r="S25" s="16"/>
    </row>
    <row r="26" spans="1:19" ht="18" customHeight="1" x14ac:dyDescent="0.2">
      <c r="A26" s="52"/>
      <c r="B26" s="49"/>
      <c r="C26" s="7" t="s">
        <v>28</v>
      </c>
      <c r="D26" s="12">
        <v>1.92</v>
      </c>
      <c r="E26" s="12">
        <v>1.32</v>
      </c>
      <c r="F26" s="12">
        <v>1.1000000000000001</v>
      </c>
      <c r="G26" s="12">
        <v>3.28</v>
      </c>
      <c r="H26" s="12"/>
      <c r="I26" s="13"/>
      <c r="J26" s="14">
        <f>SUM(D26:I26)</f>
        <v>7.6199999999999992</v>
      </c>
      <c r="K26" s="15"/>
      <c r="L26" s="12"/>
      <c r="M26" s="12"/>
      <c r="N26" s="12"/>
      <c r="O26" s="12"/>
      <c r="P26" s="13"/>
      <c r="Q26" s="14">
        <f>SUM(K26:P26)</f>
        <v>0</v>
      </c>
      <c r="R26" s="14">
        <f>J26+Q26</f>
        <v>7.6199999999999992</v>
      </c>
      <c r="S26" s="17"/>
    </row>
    <row r="27" spans="1:19" ht="18" customHeight="1" x14ac:dyDescent="0.2">
      <c r="A27" s="52"/>
      <c r="B27" s="49"/>
      <c r="C27" s="23" t="s">
        <v>29</v>
      </c>
      <c r="D27" s="24">
        <f t="shared" ref="D27:I27" si="11">D26-D25</f>
        <v>-1.2800000000000002</v>
      </c>
      <c r="E27" s="24">
        <f t="shared" si="11"/>
        <v>-2.6399999999999997</v>
      </c>
      <c r="F27" s="24">
        <f t="shared" si="11"/>
        <v>-7.5400000000000009</v>
      </c>
      <c r="G27" s="24">
        <f t="shared" si="11"/>
        <v>-3.9500000000000006</v>
      </c>
      <c r="H27" s="24">
        <f t="shared" si="11"/>
        <v>-2.2999999999999998</v>
      </c>
      <c r="I27" s="27">
        <f t="shared" si="11"/>
        <v>-5.68</v>
      </c>
      <c r="J27" s="30">
        <f>SUM(D27:I27)</f>
        <v>-23.39</v>
      </c>
      <c r="K27" s="29">
        <f t="shared" ref="K27:P27" si="12">K26-K25</f>
        <v>-1.44</v>
      </c>
      <c r="L27" s="24">
        <f t="shared" si="12"/>
        <v>-4.32</v>
      </c>
      <c r="M27" s="24">
        <f t="shared" si="12"/>
        <v>-2.16</v>
      </c>
      <c r="N27" s="24">
        <f t="shared" si="12"/>
        <v>-5.0199999999999996</v>
      </c>
      <c r="O27" s="24">
        <f t="shared" si="12"/>
        <v>-1.46</v>
      </c>
      <c r="P27" s="27">
        <f t="shared" si="12"/>
        <v>-3.38</v>
      </c>
      <c r="Q27" s="30">
        <f>SUM(K27:P27)</f>
        <v>-17.779999999999998</v>
      </c>
      <c r="R27" s="30">
        <f>J27+Q27</f>
        <v>-41.17</v>
      </c>
      <c r="S27" s="17"/>
    </row>
    <row r="28" spans="1:19" ht="18" customHeight="1" thickBot="1" x14ac:dyDescent="0.25">
      <c r="A28" s="53"/>
      <c r="B28" s="50"/>
      <c r="C28" s="25" t="s">
        <v>30</v>
      </c>
      <c r="D28" s="20"/>
      <c r="E28" s="20"/>
      <c r="F28" s="20"/>
      <c r="G28" s="20"/>
      <c r="H28" s="20"/>
      <c r="I28" s="28"/>
      <c r="J28" s="21">
        <f>I28</f>
        <v>0</v>
      </c>
      <c r="K28" s="22"/>
      <c r="L28" s="20"/>
      <c r="M28" s="20"/>
      <c r="N28" s="20"/>
      <c r="O28" s="20"/>
      <c r="P28" s="28"/>
      <c r="Q28" s="21">
        <f>P28</f>
        <v>0</v>
      </c>
      <c r="R28" s="21">
        <f>Q28</f>
        <v>0</v>
      </c>
      <c r="S28" s="18"/>
    </row>
    <row r="29" spans="1:19" ht="18" customHeight="1" x14ac:dyDescent="0.2">
      <c r="A29" s="51">
        <v>6</v>
      </c>
      <c r="B29" s="48" t="s">
        <v>35</v>
      </c>
      <c r="C29" s="31" t="s">
        <v>27</v>
      </c>
      <c r="D29" s="8">
        <v>4.7</v>
      </c>
      <c r="E29" s="8">
        <v>14.04</v>
      </c>
      <c r="F29" s="8">
        <v>15.64</v>
      </c>
      <c r="G29" s="8">
        <v>24.12</v>
      </c>
      <c r="H29" s="8">
        <v>12.86</v>
      </c>
      <c r="I29" s="9">
        <v>7.84</v>
      </c>
      <c r="J29" s="10">
        <f>SUM(D29:I29)</f>
        <v>79.2</v>
      </c>
      <c r="K29" s="11">
        <v>5.26</v>
      </c>
      <c r="L29" s="8">
        <v>11.48</v>
      </c>
      <c r="M29" s="8">
        <v>11.56</v>
      </c>
      <c r="N29" s="8">
        <v>8.26</v>
      </c>
      <c r="O29" s="8">
        <v>6.5700000000000012</v>
      </c>
      <c r="P29" s="9">
        <v>15.68</v>
      </c>
      <c r="Q29" s="10">
        <f>SUM(K29:P29)</f>
        <v>58.81</v>
      </c>
      <c r="R29" s="10">
        <f>J29+Q29</f>
        <v>138.01</v>
      </c>
      <c r="S29" s="16"/>
    </row>
    <row r="30" spans="1:19" ht="18" customHeight="1" x14ac:dyDescent="0.2">
      <c r="A30" s="52"/>
      <c r="B30" s="49"/>
      <c r="C30" s="7" t="s">
        <v>28</v>
      </c>
      <c r="D30" s="12">
        <v>15.66</v>
      </c>
      <c r="E30" s="12">
        <v>4.9400000000000013</v>
      </c>
      <c r="F30" s="12">
        <v>13.28</v>
      </c>
      <c r="G30" s="12">
        <v>8.06</v>
      </c>
      <c r="H30" s="12"/>
      <c r="I30" s="13"/>
      <c r="J30" s="14">
        <f>SUM(D30:I30)</f>
        <v>41.940000000000005</v>
      </c>
      <c r="K30" s="15"/>
      <c r="L30" s="12"/>
      <c r="M30" s="12"/>
      <c r="N30" s="12"/>
      <c r="O30" s="12"/>
      <c r="P30" s="13"/>
      <c r="Q30" s="14">
        <f>SUM(K30:P30)</f>
        <v>0</v>
      </c>
      <c r="R30" s="14">
        <f>J30+Q30</f>
        <v>41.940000000000005</v>
      </c>
      <c r="S30" s="17"/>
    </row>
    <row r="31" spans="1:19" ht="18" customHeight="1" x14ac:dyDescent="0.2">
      <c r="A31" s="52"/>
      <c r="B31" s="49"/>
      <c r="C31" s="23" t="s">
        <v>29</v>
      </c>
      <c r="D31" s="24">
        <f t="shared" ref="D31:I31" si="13">D30-D29</f>
        <v>10.96</v>
      </c>
      <c r="E31" s="24">
        <f t="shared" si="13"/>
        <v>-9.0999999999999979</v>
      </c>
      <c r="F31" s="24">
        <f t="shared" si="13"/>
        <v>-2.3600000000000012</v>
      </c>
      <c r="G31" s="24">
        <f t="shared" si="13"/>
        <v>-16.060000000000002</v>
      </c>
      <c r="H31" s="24">
        <f t="shared" si="13"/>
        <v>-12.86</v>
      </c>
      <c r="I31" s="27">
        <f t="shared" si="13"/>
        <v>-7.84</v>
      </c>
      <c r="J31" s="30">
        <f>SUM(D31:I31)</f>
        <v>-37.260000000000005</v>
      </c>
      <c r="K31" s="29">
        <f t="shared" ref="K31:P31" si="14">K30-K29</f>
        <v>-5.26</v>
      </c>
      <c r="L31" s="24">
        <f t="shared" si="14"/>
        <v>-11.48</v>
      </c>
      <c r="M31" s="24">
        <f t="shared" si="14"/>
        <v>-11.56</v>
      </c>
      <c r="N31" s="24">
        <f t="shared" si="14"/>
        <v>-8.26</v>
      </c>
      <c r="O31" s="24">
        <f t="shared" si="14"/>
        <v>-6.5700000000000012</v>
      </c>
      <c r="P31" s="27">
        <f t="shared" si="14"/>
        <v>-15.68</v>
      </c>
      <c r="Q31" s="30">
        <f>SUM(K31:P31)</f>
        <v>-58.81</v>
      </c>
      <c r="R31" s="30">
        <f>J31+Q31</f>
        <v>-96.070000000000007</v>
      </c>
      <c r="S31" s="17"/>
    </row>
    <row r="32" spans="1:19" ht="18" customHeight="1" thickBot="1" x14ac:dyDescent="0.25">
      <c r="A32" s="53"/>
      <c r="B32" s="50"/>
      <c r="C32" s="25" t="s">
        <v>30</v>
      </c>
      <c r="D32" s="20"/>
      <c r="E32" s="20"/>
      <c r="F32" s="20"/>
      <c r="G32" s="20"/>
      <c r="H32" s="20"/>
      <c r="I32" s="28"/>
      <c r="J32" s="21">
        <f>I32</f>
        <v>0</v>
      </c>
      <c r="K32" s="22"/>
      <c r="L32" s="20"/>
      <c r="M32" s="20"/>
      <c r="N32" s="20"/>
      <c r="O32" s="20"/>
      <c r="P32" s="28"/>
      <c r="Q32" s="21">
        <f>P32</f>
        <v>0</v>
      </c>
      <c r="R32" s="21">
        <f>Q32</f>
        <v>0</v>
      </c>
      <c r="S32" s="18"/>
    </row>
    <row r="33" spans="1:19" ht="18" customHeight="1" x14ac:dyDescent="0.2">
      <c r="A33" s="51">
        <v>7</v>
      </c>
      <c r="B33" s="48" t="s">
        <v>36</v>
      </c>
      <c r="C33" s="31" t="s">
        <v>27</v>
      </c>
      <c r="D33" s="8">
        <v>12.6</v>
      </c>
      <c r="E33" s="8">
        <v>13.58</v>
      </c>
      <c r="F33" s="8">
        <v>17.420000000000002</v>
      </c>
      <c r="G33" s="8">
        <v>41.38</v>
      </c>
      <c r="H33" s="8">
        <v>27.07</v>
      </c>
      <c r="I33" s="9">
        <v>27.84</v>
      </c>
      <c r="J33" s="10">
        <f>SUM(D33:I33)</f>
        <v>139.89000000000001</v>
      </c>
      <c r="K33" s="11">
        <v>19.7</v>
      </c>
      <c r="L33" s="8">
        <v>22.93</v>
      </c>
      <c r="M33" s="8">
        <v>11.98</v>
      </c>
      <c r="N33" s="8">
        <v>7.38</v>
      </c>
      <c r="O33" s="8">
        <v>9.01</v>
      </c>
      <c r="P33" s="9">
        <v>10.23</v>
      </c>
      <c r="Q33" s="10">
        <f>SUM(K33:P33)</f>
        <v>81.23</v>
      </c>
      <c r="R33" s="10">
        <f>J33+Q33</f>
        <v>221.12</v>
      </c>
      <c r="S33" s="16"/>
    </row>
    <row r="34" spans="1:19" ht="18" customHeight="1" x14ac:dyDescent="0.2">
      <c r="A34" s="52"/>
      <c r="B34" s="49"/>
      <c r="C34" s="7" t="s">
        <v>28</v>
      </c>
      <c r="D34" s="12">
        <v>14.69999999999999</v>
      </c>
      <c r="E34" s="12">
        <v>8.7299999999999986</v>
      </c>
      <c r="F34" s="12">
        <v>8.0800000000000018</v>
      </c>
      <c r="G34" s="12">
        <v>8.4700000000000006</v>
      </c>
      <c r="H34" s="12"/>
      <c r="I34" s="13"/>
      <c r="J34" s="14">
        <f>SUM(D34:I34)</f>
        <v>39.97999999999999</v>
      </c>
      <c r="K34" s="15"/>
      <c r="L34" s="12"/>
      <c r="M34" s="12"/>
      <c r="N34" s="12"/>
      <c r="O34" s="12"/>
      <c r="P34" s="13"/>
      <c r="Q34" s="14">
        <f>SUM(K34:P34)</f>
        <v>0</v>
      </c>
      <c r="R34" s="14">
        <f>J34+Q34</f>
        <v>39.97999999999999</v>
      </c>
      <c r="S34" s="17"/>
    </row>
    <row r="35" spans="1:19" ht="18" customHeight="1" x14ac:dyDescent="0.2">
      <c r="A35" s="52"/>
      <c r="B35" s="49"/>
      <c r="C35" s="23" t="s">
        <v>29</v>
      </c>
      <c r="D35" s="24">
        <f t="shared" ref="D35:I35" si="15">D34-D33</f>
        <v>2.0999999999999908</v>
      </c>
      <c r="E35" s="24">
        <f t="shared" si="15"/>
        <v>-4.8500000000000014</v>
      </c>
      <c r="F35" s="24">
        <f t="shared" si="15"/>
        <v>-9.34</v>
      </c>
      <c r="G35" s="24">
        <f t="shared" si="15"/>
        <v>-32.910000000000004</v>
      </c>
      <c r="H35" s="24">
        <f t="shared" si="15"/>
        <v>-27.07</v>
      </c>
      <c r="I35" s="27">
        <f t="shared" si="15"/>
        <v>-27.84</v>
      </c>
      <c r="J35" s="30">
        <f>SUM(D35:I35)</f>
        <v>-99.910000000000025</v>
      </c>
      <c r="K35" s="29">
        <f t="shared" ref="K35:P35" si="16">K34-K33</f>
        <v>-19.7</v>
      </c>
      <c r="L35" s="24">
        <f t="shared" si="16"/>
        <v>-22.93</v>
      </c>
      <c r="M35" s="24">
        <f t="shared" si="16"/>
        <v>-11.98</v>
      </c>
      <c r="N35" s="24">
        <f t="shared" si="16"/>
        <v>-7.38</v>
      </c>
      <c r="O35" s="24">
        <f t="shared" si="16"/>
        <v>-9.01</v>
      </c>
      <c r="P35" s="27">
        <f t="shared" si="16"/>
        <v>-10.23</v>
      </c>
      <c r="Q35" s="30">
        <f>SUM(K35:P35)</f>
        <v>-81.23</v>
      </c>
      <c r="R35" s="30">
        <f>J35+Q35</f>
        <v>-181.14000000000004</v>
      </c>
      <c r="S35" s="17"/>
    </row>
    <row r="36" spans="1:19" ht="18" customHeight="1" thickBot="1" x14ac:dyDescent="0.25">
      <c r="A36" s="53"/>
      <c r="B36" s="50"/>
      <c r="C36" s="25" t="s">
        <v>30</v>
      </c>
      <c r="D36" s="20"/>
      <c r="E36" s="20"/>
      <c r="F36" s="20"/>
      <c r="G36" s="20"/>
      <c r="H36" s="20"/>
      <c r="I36" s="28"/>
      <c r="J36" s="21">
        <f>I36</f>
        <v>0</v>
      </c>
      <c r="K36" s="22"/>
      <c r="L36" s="20"/>
      <c r="M36" s="20"/>
      <c r="N36" s="20"/>
      <c r="O36" s="20"/>
      <c r="P36" s="28"/>
      <c r="Q36" s="21">
        <f>P36</f>
        <v>0</v>
      </c>
      <c r="R36" s="21">
        <f>Q36</f>
        <v>0</v>
      </c>
      <c r="S36" s="18"/>
    </row>
    <row r="37" spans="1:19" ht="18" customHeight="1" x14ac:dyDescent="0.2">
      <c r="A37" s="51">
        <v>8</v>
      </c>
      <c r="B37" s="48" t="s">
        <v>37</v>
      </c>
      <c r="C37" s="31" t="s">
        <v>27</v>
      </c>
      <c r="D37" s="8"/>
      <c r="E37" s="8">
        <v>2.44</v>
      </c>
      <c r="F37" s="8">
        <v>2.2599999999999998</v>
      </c>
      <c r="G37" s="8">
        <v>7.44</v>
      </c>
      <c r="H37" s="8">
        <v>5.64</v>
      </c>
      <c r="I37" s="9">
        <v>5.12</v>
      </c>
      <c r="J37" s="10">
        <f>SUM(D37:I37)</f>
        <v>22.900000000000002</v>
      </c>
      <c r="K37" s="11">
        <v>2.9</v>
      </c>
      <c r="L37" s="8">
        <v>1.44</v>
      </c>
      <c r="M37" s="8">
        <v>2.14</v>
      </c>
      <c r="N37" s="8">
        <v>0.35</v>
      </c>
      <c r="O37" s="8">
        <v>2.1800000000000002</v>
      </c>
      <c r="P37" s="9">
        <v>3.9800000000000009</v>
      </c>
      <c r="Q37" s="10">
        <f>SUM(K37:P37)</f>
        <v>12.99</v>
      </c>
      <c r="R37" s="10">
        <f>J37+Q37</f>
        <v>35.89</v>
      </c>
      <c r="S37" s="16"/>
    </row>
    <row r="38" spans="1:19" ht="18" customHeight="1" x14ac:dyDescent="0.2">
      <c r="A38" s="52"/>
      <c r="B38" s="49"/>
      <c r="C38" s="7" t="s">
        <v>28</v>
      </c>
      <c r="D38" s="12">
        <v>1.24</v>
      </c>
      <c r="E38" s="12">
        <v>3.2</v>
      </c>
      <c r="F38" s="12">
        <v>2.52</v>
      </c>
      <c r="G38" s="12">
        <v>4.62</v>
      </c>
      <c r="H38" s="12"/>
      <c r="I38" s="13"/>
      <c r="J38" s="14">
        <f>SUM(D38:I38)</f>
        <v>11.580000000000002</v>
      </c>
      <c r="K38" s="15"/>
      <c r="L38" s="12"/>
      <c r="M38" s="12"/>
      <c r="N38" s="12"/>
      <c r="O38" s="12"/>
      <c r="P38" s="13"/>
      <c r="Q38" s="14">
        <f>SUM(K38:P38)</f>
        <v>0</v>
      </c>
      <c r="R38" s="14">
        <f>J38+Q38</f>
        <v>11.580000000000002</v>
      </c>
      <c r="S38" s="17"/>
    </row>
    <row r="39" spans="1:19" ht="18" customHeight="1" x14ac:dyDescent="0.2">
      <c r="A39" s="52"/>
      <c r="B39" s="49"/>
      <c r="C39" s="23" t="s">
        <v>29</v>
      </c>
      <c r="D39" s="24">
        <f t="shared" ref="D39:I39" si="17">D38-D37</f>
        <v>1.24</v>
      </c>
      <c r="E39" s="24">
        <f t="shared" si="17"/>
        <v>0.76000000000000023</v>
      </c>
      <c r="F39" s="24">
        <f t="shared" si="17"/>
        <v>0.26000000000000023</v>
      </c>
      <c r="G39" s="24">
        <f t="shared" si="17"/>
        <v>-2.8200000000000003</v>
      </c>
      <c r="H39" s="24">
        <f t="shared" si="17"/>
        <v>-5.64</v>
      </c>
      <c r="I39" s="27">
        <f t="shared" si="17"/>
        <v>-5.12</v>
      </c>
      <c r="J39" s="30">
        <f>SUM(D39:I39)</f>
        <v>-11.32</v>
      </c>
      <c r="K39" s="29">
        <f t="shared" ref="K39:P39" si="18">K38-K37</f>
        <v>-2.9</v>
      </c>
      <c r="L39" s="24">
        <f t="shared" si="18"/>
        <v>-1.44</v>
      </c>
      <c r="M39" s="24">
        <f t="shared" si="18"/>
        <v>-2.14</v>
      </c>
      <c r="N39" s="24">
        <f t="shared" si="18"/>
        <v>-0.35</v>
      </c>
      <c r="O39" s="24">
        <f t="shared" si="18"/>
        <v>-2.1800000000000002</v>
      </c>
      <c r="P39" s="27">
        <f t="shared" si="18"/>
        <v>-3.9800000000000009</v>
      </c>
      <c r="Q39" s="30">
        <f>SUM(K39:P39)</f>
        <v>-12.99</v>
      </c>
      <c r="R39" s="30">
        <f>J39+Q39</f>
        <v>-24.310000000000002</v>
      </c>
      <c r="S39" s="17"/>
    </row>
    <row r="40" spans="1:19" ht="18" customHeight="1" thickBot="1" x14ac:dyDescent="0.25">
      <c r="A40" s="53"/>
      <c r="B40" s="50"/>
      <c r="C40" s="25" t="s">
        <v>30</v>
      </c>
      <c r="D40" s="20"/>
      <c r="E40" s="20"/>
      <c r="F40" s="20"/>
      <c r="G40" s="20"/>
      <c r="H40" s="20"/>
      <c r="I40" s="28"/>
      <c r="J40" s="21">
        <f>I40</f>
        <v>0</v>
      </c>
      <c r="K40" s="22"/>
      <c r="L40" s="20"/>
      <c r="M40" s="20"/>
      <c r="N40" s="20"/>
      <c r="O40" s="20"/>
      <c r="P40" s="28"/>
      <c r="Q40" s="21">
        <f>P40</f>
        <v>0</v>
      </c>
      <c r="R40" s="21">
        <f>Q40</f>
        <v>0</v>
      </c>
      <c r="S40" s="18"/>
    </row>
    <row r="41" spans="1:19" ht="18" customHeight="1" x14ac:dyDescent="0.2">
      <c r="A41" s="51">
        <v>9</v>
      </c>
      <c r="B41" s="48" t="s">
        <v>38</v>
      </c>
      <c r="C41" s="31" t="s">
        <v>27</v>
      </c>
      <c r="D41" s="8">
        <v>14.9</v>
      </c>
      <c r="E41" s="8">
        <v>8.74</v>
      </c>
      <c r="F41" s="8">
        <v>8.18</v>
      </c>
      <c r="G41" s="8">
        <v>8.92</v>
      </c>
      <c r="H41" s="8">
        <v>9.5399999999999991</v>
      </c>
      <c r="I41" s="9">
        <v>9.8800000000000008</v>
      </c>
      <c r="J41" s="10">
        <f>SUM(D41:I41)</f>
        <v>60.160000000000004</v>
      </c>
      <c r="K41" s="11">
        <v>14.54</v>
      </c>
      <c r="L41" s="8">
        <v>21.6</v>
      </c>
      <c r="M41" s="8">
        <v>26.9</v>
      </c>
      <c r="N41" s="8">
        <v>6.84</v>
      </c>
      <c r="O41" s="8">
        <v>13.11999999999999</v>
      </c>
      <c r="P41" s="9">
        <v>9.8299999999999983</v>
      </c>
      <c r="Q41" s="10">
        <f>SUM(K41:P41)</f>
        <v>92.829999999999984</v>
      </c>
      <c r="R41" s="10">
        <f>J41+Q41</f>
        <v>152.98999999999998</v>
      </c>
      <c r="S41" s="16"/>
    </row>
    <row r="42" spans="1:19" ht="18" customHeight="1" x14ac:dyDescent="0.2">
      <c r="A42" s="52"/>
      <c r="B42" s="49"/>
      <c r="C42" s="7" t="s">
        <v>28</v>
      </c>
      <c r="D42" s="12">
        <v>20.13999999999999</v>
      </c>
      <c r="E42" s="12">
        <v>12.920000000000011</v>
      </c>
      <c r="F42" s="12">
        <v>10.96</v>
      </c>
      <c r="G42" s="12">
        <v>14.84</v>
      </c>
      <c r="H42" s="12"/>
      <c r="I42" s="13"/>
      <c r="J42" s="14">
        <f>SUM(D42:I42)</f>
        <v>58.86</v>
      </c>
      <c r="K42" s="15"/>
      <c r="L42" s="12"/>
      <c r="M42" s="12"/>
      <c r="N42" s="12"/>
      <c r="O42" s="12"/>
      <c r="P42" s="13"/>
      <c r="Q42" s="14">
        <f>SUM(K42:P42)</f>
        <v>0</v>
      </c>
      <c r="R42" s="14">
        <f>J42+Q42</f>
        <v>58.86</v>
      </c>
      <c r="S42" s="17"/>
    </row>
    <row r="43" spans="1:19" ht="18" customHeight="1" x14ac:dyDescent="0.2">
      <c r="A43" s="52"/>
      <c r="B43" s="49"/>
      <c r="C43" s="23" t="s">
        <v>29</v>
      </c>
      <c r="D43" s="24">
        <f t="shared" ref="D43:I43" si="19">D42-D41</f>
        <v>5.2399999999999896</v>
      </c>
      <c r="E43" s="24">
        <f t="shared" si="19"/>
        <v>4.1800000000000104</v>
      </c>
      <c r="F43" s="24">
        <f t="shared" si="19"/>
        <v>2.7800000000000011</v>
      </c>
      <c r="G43" s="24">
        <f t="shared" si="19"/>
        <v>5.92</v>
      </c>
      <c r="H43" s="24">
        <f t="shared" si="19"/>
        <v>-9.5399999999999991</v>
      </c>
      <c r="I43" s="27">
        <f t="shared" si="19"/>
        <v>-9.8800000000000008</v>
      </c>
      <c r="J43" s="30">
        <f>SUM(D43:I43)</f>
        <v>-1.2999999999999989</v>
      </c>
      <c r="K43" s="29">
        <f t="shared" ref="K43:P43" si="20">K42-K41</f>
        <v>-14.54</v>
      </c>
      <c r="L43" s="24">
        <f t="shared" si="20"/>
        <v>-21.6</v>
      </c>
      <c r="M43" s="24">
        <f t="shared" si="20"/>
        <v>-26.9</v>
      </c>
      <c r="N43" s="24">
        <f t="shared" si="20"/>
        <v>-6.84</v>
      </c>
      <c r="O43" s="24">
        <f t="shared" si="20"/>
        <v>-13.11999999999999</v>
      </c>
      <c r="P43" s="27">
        <f t="shared" si="20"/>
        <v>-9.8299999999999983</v>
      </c>
      <c r="Q43" s="30">
        <f>SUM(K43:P43)</f>
        <v>-92.829999999999984</v>
      </c>
      <c r="R43" s="30">
        <f>J43+Q43</f>
        <v>-94.129999999999981</v>
      </c>
      <c r="S43" s="17"/>
    </row>
    <row r="44" spans="1:19" ht="18" customHeight="1" thickBot="1" x14ac:dyDescent="0.25">
      <c r="A44" s="53"/>
      <c r="B44" s="50"/>
      <c r="C44" s="25" t="s">
        <v>30</v>
      </c>
      <c r="D44" s="20"/>
      <c r="E44" s="20"/>
      <c r="F44" s="20"/>
      <c r="G44" s="20"/>
      <c r="H44" s="20"/>
      <c r="I44" s="28"/>
      <c r="J44" s="21">
        <f>I44</f>
        <v>0</v>
      </c>
      <c r="K44" s="22"/>
      <c r="L44" s="20"/>
      <c r="M44" s="20"/>
      <c r="N44" s="20"/>
      <c r="O44" s="20"/>
      <c r="P44" s="28"/>
      <c r="Q44" s="21">
        <f>P44</f>
        <v>0</v>
      </c>
      <c r="R44" s="21">
        <f>Q44</f>
        <v>0</v>
      </c>
      <c r="S44" s="18"/>
    </row>
    <row r="45" spans="1:19" ht="18" customHeight="1" x14ac:dyDescent="0.2">
      <c r="A45" s="51">
        <v>10</v>
      </c>
      <c r="B45" s="48" t="s">
        <v>39</v>
      </c>
      <c r="C45" s="31" t="s">
        <v>27</v>
      </c>
      <c r="D45" s="8">
        <v>2.7</v>
      </c>
      <c r="E45" s="8">
        <v>1.98</v>
      </c>
      <c r="F45" s="8">
        <v>2.5950000000000002</v>
      </c>
      <c r="G45" s="8">
        <v>5.36</v>
      </c>
      <c r="H45" s="8">
        <v>3.96</v>
      </c>
      <c r="I45" s="9">
        <v>2.76</v>
      </c>
      <c r="J45" s="10">
        <f>SUM(D45:I45)</f>
        <v>19.355000000000004</v>
      </c>
      <c r="K45" s="11">
        <v>3.8</v>
      </c>
      <c r="L45" s="8">
        <v>9.86</v>
      </c>
      <c r="M45" s="8">
        <v>13.58</v>
      </c>
      <c r="N45" s="8">
        <v>4.0999999999999996</v>
      </c>
      <c r="O45" s="8">
        <v>5.07</v>
      </c>
      <c r="P45" s="9">
        <v>6.5999999999999988</v>
      </c>
      <c r="Q45" s="10">
        <f>SUM(K45:P45)</f>
        <v>43.010000000000005</v>
      </c>
      <c r="R45" s="10">
        <f>J45+Q45</f>
        <v>62.365000000000009</v>
      </c>
      <c r="S45" s="16"/>
    </row>
    <row r="46" spans="1:19" ht="18" customHeight="1" x14ac:dyDescent="0.2">
      <c r="A46" s="52"/>
      <c r="B46" s="49"/>
      <c r="C46" s="7" t="s">
        <v>28</v>
      </c>
      <c r="D46" s="12">
        <v>12.62</v>
      </c>
      <c r="E46" s="12">
        <v>11.32</v>
      </c>
      <c r="F46" s="12">
        <v>9.4400000000000013</v>
      </c>
      <c r="G46" s="12">
        <v>23.78</v>
      </c>
      <c r="H46" s="12"/>
      <c r="I46" s="13"/>
      <c r="J46" s="14">
        <f>SUM(D46:I46)</f>
        <v>57.16</v>
      </c>
      <c r="K46" s="15"/>
      <c r="L46" s="12"/>
      <c r="M46" s="12"/>
      <c r="N46" s="12"/>
      <c r="O46" s="12"/>
      <c r="P46" s="13"/>
      <c r="Q46" s="14">
        <f>SUM(K46:P46)</f>
        <v>0</v>
      </c>
      <c r="R46" s="14">
        <f>J46+Q46</f>
        <v>57.16</v>
      </c>
      <c r="S46" s="17"/>
    </row>
    <row r="47" spans="1:19" ht="18" customHeight="1" x14ac:dyDescent="0.2">
      <c r="A47" s="52"/>
      <c r="B47" s="49"/>
      <c r="C47" s="23" t="s">
        <v>29</v>
      </c>
      <c r="D47" s="24">
        <f t="shared" ref="D47:I47" si="21">D46-D45</f>
        <v>9.9199999999999982</v>
      </c>
      <c r="E47" s="24">
        <f t="shared" si="21"/>
        <v>9.34</v>
      </c>
      <c r="F47" s="24">
        <f t="shared" si="21"/>
        <v>6.8450000000000006</v>
      </c>
      <c r="G47" s="24">
        <f t="shared" si="21"/>
        <v>18.420000000000002</v>
      </c>
      <c r="H47" s="24">
        <f t="shared" si="21"/>
        <v>-3.96</v>
      </c>
      <c r="I47" s="27">
        <f t="shared" si="21"/>
        <v>-2.76</v>
      </c>
      <c r="J47" s="30">
        <f>SUM(D47:I47)</f>
        <v>37.805</v>
      </c>
      <c r="K47" s="29">
        <f t="shared" ref="K47:P47" si="22">K46-K45</f>
        <v>-3.8</v>
      </c>
      <c r="L47" s="24">
        <f t="shared" si="22"/>
        <v>-9.86</v>
      </c>
      <c r="M47" s="24">
        <f t="shared" si="22"/>
        <v>-13.58</v>
      </c>
      <c r="N47" s="24">
        <f t="shared" si="22"/>
        <v>-4.0999999999999996</v>
      </c>
      <c r="O47" s="24">
        <f t="shared" si="22"/>
        <v>-5.07</v>
      </c>
      <c r="P47" s="27">
        <f t="shared" si="22"/>
        <v>-6.5999999999999988</v>
      </c>
      <c r="Q47" s="30">
        <f>SUM(K47:P47)</f>
        <v>-43.010000000000005</v>
      </c>
      <c r="R47" s="30">
        <f>J47+Q47</f>
        <v>-5.2050000000000054</v>
      </c>
      <c r="S47" s="17"/>
    </row>
    <row r="48" spans="1:19" ht="18" customHeight="1" thickBot="1" x14ac:dyDescent="0.25">
      <c r="A48" s="53"/>
      <c r="B48" s="50"/>
      <c r="C48" s="25" t="s">
        <v>30</v>
      </c>
      <c r="D48" s="20"/>
      <c r="E48" s="20"/>
      <c r="F48" s="20"/>
      <c r="G48" s="20"/>
      <c r="H48" s="20"/>
      <c r="I48" s="28"/>
      <c r="J48" s="21">
        <f>I48</f>
        <v>0</v>
      </c>
      <c r="K48" s="22"/>
      <c r="L48" s="20"/>
      <c r="M48" s="20"/>
      <c r="N48" s="20"/>
      <c r="O48" s="20"/>
      <c r="P48" s="28"/>
      <c r="Q48" s="21">
        <f>P48</f>
        <v>0</v>
      </c>
      <c r="R48" s="21">
        <f>Q48</f>
        <v>0</v>
      </c>
      <c r="S48" s="18"/>
    </row>
    <row r="49" spans="1:19" ht="18" customHeight="1" x14ac:dyDescent="0.2">
      <c r="A49" s="51">
        <v>11</v>
      </c>
      <c r="B49" s="48" t="s">
        <v>40</v>
      </c>
      <c r="C49" s="31" t="s">
        <v>27</v>
      </c>
      <c r="D49" s="8">
        <v>0.7</v>
      </c>
      <c r="E49" s="8">
        <v>4.26</v>
      </c>
      <c r="F49" s="8">
        <v>4.12</v>
      </c>
      <c r="G49" s="8">
        <v>4.28</v>
      </c>
      <c r="H49" s="8">
        <v>2.52</v>
      </c>
      <c r="I49" s="9">
        <v>4.0199999999999996</v>
      </c>
      <c r="J49" s="10">
        <f>SUM(D49:I49)</f>
        <v>19.899999999999999</v>
      </c>
      <c r="K49" s="11">
        <v>2.86</v>
      </c>
      <c r="L49" s="8">
        <v>10.82</v>
      </c>
      <c r="M49" s="8">
        <v>10.26</v>
      </c>
      <c r="N49" s="8">
        <v>5.6</v>
      </c>
      <c r="O49" s="8">
        <v>3.1</v>
      </c>
      <c r="P49" s="9">
        <v>6.8999999999999986</v>
      </c>
      <c r="Q49" s="10">
        <f>SUM(K49:P49)</f>
        <v>39.54</v>
      </c>
      <c r="R49" s="10">
        <f>J49+Q49</f>
        <v>59.44</v>
      </c>
      <c r="S49" s="16"/>
    </row>
    <row r="50" spans="1:19" ht="18" customHeight="1" x14ac:dyDescent="0.2">
      <c r="A50" s="52"/>
      <c r="B50" s="49"/>
      <c r="C50" s="7" t="s">
        <v>28</v>
      </c>
      <c r="D50" s="12">
        <v>9.26</v>
      </c>
      <c r="E50" s="12">
        <v>11.3</v>
      </c>
      <c r="F50" s="12">
        <v>8.6600000000000019</v>
      </c>
      <c r="G50" s="12">
        <v>13.81</v>
      </c>
      <c r="H50" s="12"/>
      <c r="I50" s="13"/>
      <c r="J50" s="14">
        <f>SUM(D50:I50)</f>
        <v>43.030000000000008</v>
      </c>
      <c r="K50" s="15"/>
      <c r="L50" s="12"/>
      <c r="M50" s="12"/>
      <c r="N50" s="12"/>
      <c r="O50" s="12"/>
      <c r="P50" s="13"/>
      <c r="Q50" s="14">
        <f>SUM(K50:P50)</f>
        <v>0</v>
      </c>
      <c r="R50" s="14">
        <f>J50+Q50</f>
        <v>43.030000000000008</v>
      </c>
      <c r="S50" s="17"/>
    </row>
    <row r="51" spans="1:19" ht="18" customHeight="1" x14ac:dyDescent="0.2">
      <c r="A51" s="52"/>
      <c r="B51" s="49"/>
      <c r="C51" s="23" t="s">
        <v>29</v>
      </c>
      <c r="D51" s="24">
        <f t="shared" ref="D51:I51" si="23">D50-D49</f>
        <v>8.56</v>
      </c>
      <c r="E51" s="24">
        <f t="shared" si="23"/>
        <v>7.0400000000000009</v>
      </c>
      <c r="F51" s="24">
        <f t="shared" si="23"/>
        <v>4.5400000000000018</v>
      </c>
      <c r="G51" s="24">
        <f t="shared" si="23"/>
        <v>9.5300000000000011</v>
      </c>
      <c r="H51" s="24">
        <f t="shared" si="23"/>
        <v>-2.52</v>
      </c>
      <c r="I51" s="27">
        <f t="shared" si="23"/>
        <v>-4.0199999999999996</v>
      </c>
      <c r="J51" s="30">
        <f>SUM(D51:I51)</f>
        <v>23.130000000000006</v>
      </c>
      <c r="K51" s="29">
        <f t="shared" ref="K51:P51" si="24">K50-K49</f>
        <v>-2.86</v>
      </c>
      <c r="L51" s="24">
        <f t="shared" si="24"/>
        <v>-10.82</v>
      </c>
      <c r="M51" s="24">
        <f t="shared" si="24"/>
        <v>-10.26</v>
      </c>
      <c r="N51" s="24">
        <f t="shared" si="24"/>
        <v>-5.6</v>
      </c>
      <c r="O51" s="24">
        <f t="shared" si="24"/>
        <v>-3.1</v>
      </c>
      <c r="P51" s="27">
        <f t="shared" si="24"/>
        <v>-6.8999999999999986</v>
      </c>
      <c r="Q51" s="30">
        <f>SUM(K51:P51)</f>
        <v>-39.54</v>
      </c>
      <c r="R51" s="30">
        <f>J51+Q51</f>
        <v>-16.409999999999993</v>
      </c>
      <c r="S51" s="17"/>
    </row>
    <row r="52" spans="1:19" ht="18" customHeight="1" thickBot="1" x14ac:dyDescent="0.25">
      <c r="A52" s="53"/>
      <c r="B52" s="50"/>
      <c r="C52" s="25" t="s">
        <v>30</v>
      </c>
      <c r="D52" s="20"/>
      <c r="E52" s="20"/>
      <c r="F52" s="20"/>
      <c r="G52" s="20"/>
      <c r="H52" s="20"/>
      <c r="I52" s="28"/>
      <c r="J52" s="21">
        <f>I52</f>
        <v>0</v>
      </c>
      <c r="K52" s="22"/>
      <c r="L52" s="20"/>
      <c r="M52" s="20"/>
      <c r="N52" s="20"/>
      <c r="O52" s="20"/>
      <c r="P52" s="28"/>
      <c r="Q52" s="21">
        <f>P52</f>
        <v>0</v>
      </c>
      <c r="R52" s="21">
        <f>Q52</f>
        <v>0</v>
      </c>
      <c r="S52" s="18"/>
    </row>
    <row r="53" spans="1:19" ht="18" customHeight="1" x14ac:dyDescent="0.2">
      <c r="A53" s="51">
        <v>12</v>
      </c>
      <c r="B53" s="48" t="s">
        <v>41</v>
      </c>
      <c r="C53" s="31" t="s">
        <v>27</v>
      </c>
      <c r="D53" s="8">
        <v>3.6</v>
      </c>
      <c r="E53" s="8">
        <v>10.58</v>
      </c>
      <c r="F53" s="8">
        <v>5.46</v>
      </c>
      <c r="G53" s="8">
        <v>12.34</v>
      </c>
      <c r="H53" s="8">
        <v>18.73</v>
      </c>
      <c r="I53" s="9">
        <v>7.4</v>
      </c>
      <c r="J53" s="10">
        <f>SUM(D53:I53)</f>
        <v>58.11</v>
      </c>
      <c r="K53" s="11">
        <v>5.32</v>
      </c>
      <c r="L53" s="8">
        <v>4.76</v>
      </c>
      <c r="M53" s="8">
        <v>8.92</v>
      </c>
      <c r="N53" s="8">
        <v>7.8</v>
      </c>
      <c r="O53" s="8">
        <v>1.6</v>
      </c>
      <c r="P53" s="9">
        <v>3.33</v>
      </c>
      <c r="Q53" s="10">
        <f>SUM(K53:P53)</f>
        <v>31.730000000000004</v>
      </c>
      <c r="R53" s="10">
        <f>J53+Q53</f>
        <v>89.84</v>
      </c>
      <c r="S53" s="16"/>
    </row>
    <row r="54" spans="1:19" ht="18" customHeight="1" x14ac:dyDescent="0.2">
      <c r="A54" s="52"/>
      <c r="B54" s="49"/>
      <c r="C54" s="7" t="s">
        <v>28</v>
      </c>
      <c r="D54" s="12">
        <v>3.74</v>
      </c>
      <c r="E54" s="12">
        <v>8.18</v>
      </c>
      <c r="F54" s="12">
        <v>7.3400000000000007</v>
      </c>
      <c r="G54" s="12">
        <v>18.78</v>
      </c>
      <c r="H54" s="12"/>
      <c r="I54" s="13"/>
      <c r="J54" s="14">
        <f>SUM(D54:I54)</f>
        <v>38.040000000000006</v>
      </c>
      <c r="K54" s="15"/>
      <c r="L54" s="12"/>
      <c r="M54" s="12"/>
      <c r="N54" s="12"/>
      <c r="O54" s="12"/>
      <c r="P54" s="13"/>
      <c r="Q54" s="14">
        <f>SUM(K54:P54)</f>
        <v>0</v>
      </c>
      <c r="R54" s="14">
        <f>J54+Q54</f>
        <v>38.040000000000006</v>
      </c>
      <c r="S54" s="17"/>
    </row>
    <row r="55" spans="1:19" ht="18" customHeight="1" x14ac:dyDescent="0.2">
      <c r="A55" s="52"/>
      <c r="B55" s="49"/>
      <c r="C55" s="23" t="s">
        <v>29</v>
      </c>
      <c r="D55" s="24">
        <f t="shared" ref="D55:I55" si="25">D54-D53</f>
        <v>0.14000000000000012</v>
      </c>
      <c r="E55" s="24">
        <f t="shared" si="25"/>
        <v>-2.4000000000000004</v>
      </c>
      <c r="F55" s="24">
        <f t="shared" si="25"/>
        <v>1.8800000000000008</v>
      </c>
      <c r="G55" s="24">
        <f t="shared" si="25"/>
        <v>6.4400000000000013</v>
      </c>
      <c r="H55" s="24">
        <f t="shared" si="25"/>
        <v>-18.73</v>
      </c>
      <c r="I55" s="27">
        <f t="shared" si="25"/>
        <v>-7.4</v>
      </c>
      <c r="J55" s="30">
        <f>SUM(D55:I55)</f>
        <v>-20.07</v>
      </c>
      <c r="K55" s="29">
        <f t="shared" ref="K55:P55" si="26">K54-K53</f>
        <v>-5.32</v>
      </c>
      <c r="L55" s="24">
        <f t="shared" si="26"/>
        <v>-4.76</v>
      </c>
      <c r="M55" s="24">
        <f t="shared" si="26"/>
        <v>-8.92</v>
      </c>
      <c r="N55" s="24">
        <f t="shared" si="26"/>
        <v>-7.8</v>
      </c>
      <c r="O55" s="24">
        <f t="shared" si="26"/>
        <v>-1.6</v>
      </c>
      <c r="P55" s="27">
        <f t="shared" si="26"/>
        <v>-3.33</v>
      </c>
      <c r="Q55" s="30">
        <f>SUM(K55:P55)</f>
        <v>-31.730000000000004</v>
      </c>
      <c r="R55" s="30">
        <f>J55+Q55</f>
        <v>-51.800000000000004</v>
      </c>
      <c r="S55" s="17"/>
    </row>
    <row r="56" spans="1:19" ht="18" customHeight="1" thickBot="1" x14ac:dyDescent="0.25">
      <c r="A56" s="53"/>
      <c r="B56" s="50"/>
      <c r="C56" s="25" t="s">
        <v>30</v>
      </c>
      <c r="D56" s="20"/>
      <c r="E56" s="20"/>
      <c r="F56" s="20"/>
      <c r="G56" s="20"/>
      <c r="H56" s="20"/>
      <c r="I56" s="28"/>
      <c r="J56" s="21">
        <f>I56</f>
        <v>0</v>
      </c>
      <c r="K56" s="22"/>
      <c r="L56" s="20"/>
      <c r="M56" s="20"/>
      <c r="N56" s="20"/>
      <c r="O56" s="20"/>
      <c r="P56" s="28"/>
      <c r="Q56" s="21">
        <f>P56</f>
        <v>0</v>
      </c>
      <c r="R56" s="21">
        <f>Q56</f>
        <v>0</v>
      </c>
      <c r="S56" s="18"/>
    </row>
    <row r="57" spans="1:19" ht="18" customHeight="1" x14ac:dyDescent="0.2">
      <c r="A57" s="51">
        <v>13</v>
      </c>
      <c r="B57" s="48" t="s">
        <v>42</v>
      </c>
      <c r="C57" s="31" t="s">
        <v>27</v>
      </c>
      <c r="D57" s="8">
        <v>4.3</v>
      </c>
      <c r="E57" s="8">
        <v>3.68</v>
      </c>
      <c r="F57" s="8">
        <v>2.48</v>
      </c>
      <c r="G57" s="8">
        <v>11.88</v>
      </c>
      <c r="H57" s="8">
        <v>13.3</v>
      </c>
      <c r="I57" s="9">
        <v>3.65</v>
      </c>
      <c r="J57" s="10">
        <f>SUM(D57:I57)</f>
        <v>39.29</v>
      </c>
      <c r="K57" s="11">
        <v>6.34</v>
      </c>
      <c r="L57" s="8">
        <v>13.64</v>
      </c>
      <c r="M57" s="8">
        <v>13.85</v>
      </c>
      <c r="N57" s="8">
        <v>4.78</v>
      </c>
      <c r="O57" s="8">
        <v>3.32</v>
      </c>
      <c r="P57" s="9">
        <v>8.74</v>
      </c>
      <c r="Q57" s="10">
        <f>SUM(K57:P57)</f>
        <v>50.67</v>
      </c>
      <c r="R57" s="10">
        <f>J57+Q57</f>
        <v>89.960000000000008</v>
      </c>
      <c r="S57" s="16"/>
    </row>
    <row r="58" spans="1:19" ht="18" customHeight="1" x14ac:dyDescent="0.2">
      <c r="A58" s="52"/>
      <c r="B58" s="49"/>
      <c r="C58" s="7" t="s">
        <v>28</v>
      </c>
      <c r="D58" s="12">
        <v>11.8</v>
      </c>
      <c r="E58" s="12">
        <v>13.48</v>
      </c>
      <c r="F58" s="12">
        <v>13.48</v>
      </c>
      <c r="G58" s="12">
        <v>7.8599999999999994</v>
      </c>
      <c r="H58" s="12"/>
      <c r="I58" s="13"/>
      <c r="J58" s="14">
        <f>SUM(D58:I58)</f>
        <v>46.620000000000005</v>
      </c>
      <c r="K58" s="15"/>
      <c r="L58" s="12"/>
      <c r="M58" s="12"/>
      <c r="N58" s="12"/>
      <c r="O58" s="12"/>
      <c r="P58" s="13"/>
      <c r="Q58" s="14">
        <f>SUM(K58:P58)</f>
        <v>0</v>
      </c>
      <c r="R58" s="14">
        <f>J58+Q58</f>
        <v>46.620000000000005</v>
      </c>
      <c r="S58" s="17"/>
    </row>
    <row r="59" spans="1:19" ht="18" customHeight="1" x14ac:dyDescent="0.2">
      <c r="A59" s="52"/>
      <c r="B59" s="49"/>
      <c r="C59" s="23" t="s">
        <v>29</v>
      </c>
      <c r="D59" s="24">
        <f t="shared" ref="D59:I59" si="27">D58-D57</f>
        <v>7.5000000000000009</v>
      </c>
      <c r="E59" s="24">
        <f t="shared" si="27"/>
        <v>9.8000000000000007</v>
      </c>
      <c r="F59" s="24">
        <f t="shared" si="27"/>
        <v>11</v>
      </c>
      <c r="G59" s="24">
        <f t="shared" si="27"/>
        <v>-4.0200000000000014</v>
      </c>
      <c r="H59" s="24">
        <f t="shared" si="27"/>
        <v>-13.3</v>
      </c>
      <c r="I59" s="27">
        <f t="shared" si="27"/>
        <v>-3.65</v>
      </c>
      <c r="J59" s="30">
        <f>SUM(D59:I59)</f>
        <v>7.33</v>
      </c>
      <c r="K59" s="29">
        <f t="shared" ref="K59:P59" si="28">K58-K57</f>
        <v>-6.34</v>
      </c>
      <c r="L59" s="24">
        <f t="shared" si="28"/>
        <v>-13.64</v>
      </c>
      <c r="M59" s="24">
        <f t="shared" si="28"/>
        <v>-13.85</v>
      </c>
      <c r="N59" s="24">
        <f t="shared" si="28"/>
        <v>-4.78</v>
      </c>
      <c r="O59" s="24">
        <f t="shared" si="28"/>
        <v>-3.32</v>
      </c>
      <c r="P59" s="27">
        <f t="shared" si="28"/>
        <v>-8.74</v>
      </c>
      <c r="Q59" s="30">
        <f>SUM(K59:P59)</f>
        <v>-50.67</v>
      </c>
      <c r="R59" s="30">
        <f>J59+Q59</f>
        <v>-43.34</v>
      </c>
      <c r="S59" s="17"/>
    </row>
    <row r="60" spans="1:19" ht="18" customHeight="1" thickBot="1" x14ac:dyDescent="0.25">
      <c r="A60" s="53"/>
      <c r="B60" s="50"/>
      <c r="C60" s="25" t="s">
        <v>30</v>
      </c>
      <c r="D60" s="20"/>
      <c r="E60" s="20"/>
      <c r="F60" s="20"/>
      <c r="G60" s="20"/>
      <c r="H60" s="20"/>
      <c r="I60" s="28"/>
      <c r="J60" s="21">
        <f>I60</f>
        <v>0</v>
      </c>
      <c r="K60" s="22"/>
      <c r="L60" s="20"/>
      <c r="M60" s="20"/>
      <c r="N60" s="20"/>
      <c r="O60" s="20"/>
      <c r="P60" s="28"/>
      <c r="Q60" s="21">
        <f>P60</f>
        <v>0</v>
      </c>
      <c r="R60" s="21">
        <f>Q60</f>
        <v>0</v>
      </c>
      <c r="S60" s="18"/>
    </row>
    <row r="61" spans="1:19" ht="18" customHeight="1" x14ac:dyDescent="0.2">
      <c r="A61" s="51">
        <v>14</v>
      </c>
      <c r="B61" s="48" t="s">
        <v>43</v>
      </c>
      <c r="C61" s="31" t="s">
        <v>27</v>
      </c>
      <c r="D61" s="8">
        <v>9.4</v>
      </c>
      <c r="E61" s="8">
        <v>5.0199999999999996</v>
      </c>
      <c r="F61" s="8">
        <v>8.14</v>
      </c>
      <c r="G61" s="8">
        <v>21.2</v>
      </c>
      <c r="H61" s="8">
        <v>15.52</v>
      </c>
      <c r="I61" s="9">
        <v>16.46</v>
      </c>
      <c r="J61" s="10">
        <f>SUM(D61:I61)</f>
        <v>75.740000000000009</v>
      </c>
      <c r="K61" s="11">
        <v>14.68</v>
      </c>
      <c r="L61" s="8">
        <v>13.2</v>
      </c>
      <c r="M61" s="8">
        <v>8.9700000000000006</v>
      </c>
      <c r="N61" s="8">
        <v>10.34</v>
      </c>
      <c r="O61" s="8">
        <v>5.7399999999999993</v>
      </c>
      <c r="P61" s="9">
        <v>8.66</v>
      </c>
      <c r="Q61" s="10">
        <f>SUM(K61:P61)</f>
        <v>61.59</v>
      </c>
      <c r="R61" s="10">
        <f>J61+Q61</f>
        <v>137.33000000000001</v>
      </c>
      <c r="S61" s="16"/>
    </row>
    <row r="62" spans="1:19" ht="18" customHeight="1" x14ac:dyDescent="0.2">
      <c r="A62" s="52"/>
      <c r="B62" s="49"/>
      <c r="C62" s="7" t="s">
        <v>28</v>
      </c>
      <c r="D62" s="12">
        <v>12.66</v>
      </c>
      <c r="E62" s="12">
        <v>10.78</v>
      </c>
      <c r="F62" s="12">
        <v>9.6999999999999993</v>
      </c>
      <c r="G62" s="12">
        <v>22.24</v>
      </c>
      <c r="H62" s="12"/>
      <c r="I62" s="13"/>
      <c r="J62" s="14">
        <f>SUM(D62:I62)</f>
        <v>55.379999999999995</v>
      </c>
      <c r="K62" s="15"/>
      <c r="L62" s="12"/>
      <c r="M62" s="12"/>
      <c r="N62" s="12"/>
      <c r="O62" s="12"/>
      <c r="P62" s="13"/>
      <c r="Q62" s="14">
        <f>SUM(K62:P62)</f>
        <v>0</v>
      </c>
      <c r="R62" s="14">
        <f>J62+Q62</f>
        <v>55.379999999999995</v>
      </c>
      <c r="S62" s="17"/>
    </row>
    <row r="63" spans="1:19" ht="18" customHeight="1" x14ac:dyDescent="0.2">
      <c r="A63" s="52"/>
      <c r="B63" s="49"/>
      <c r="C63" s="23" t="s">
        <v>29</v>
      </c>
      <c r="D63" s="24">
        <f t="shared" ref="D63:I63" si="29">D62-D61</f>
        <v>3.26</v>
      </c>
      <c r="E63" s="24">
        <f t="shared" si="29"/>
        <v>5.76</v>
      </c>
      <c r="F63" s="24">
        <f t="shared" si="29"/>
        <v>1.5599999999999987</v>
      </c>
      <c r="G63" s="24">
        <f t="shared" si="29"/>
        <v>1.0399999999999991</v>
      </c>
      <c r="H63" s="24">
        <f t="shared" si="29"/>
        <v>-15.52</v>
      </c>
      <c r="I63" s="27">
        <f t="shared" si="29"/>
        <v>-16.46</v>
      </c>
      <c r="J63" s="30">
        <f>SUM(D63:I63)</f>
        <v>-20.360000000000003</v>
      </c>
      <c r="K63" s="29">
        <f t="shared" ref="K63:P63" si="30">K62-K61</f>
        <v>-14.68</v>
      </c>
      <c r="L63" s="24">
        <f t="shared" si="30"/>
        <v>-13.2</v>
      </c>
      <c r="M63" s="24">
        <f t="shared" si="30"/>
        <v>-8.9700000000000006</v>
      </c>
      <c r="N63" s="24">
        <f t="shared" si="30"/>
        <v>-10.34</v>
      </c>
      <c r="O63" s="24">
        <f t="shared" si="30"/>
        <v>-5.7399999999999993</v>
      </c>
      <c r="P63" s="27">
        <f t="shared" si="30"/>
        <v>-8.66</v>
      </c>
      <c r="Q63" s="30">
        <f>SUM(K63:P63)</f>
        <v>-61.59</v>
      </c>
      <c r="R63" s="30">
        <f>J63+Q63</f>
        <v>-81.95</v>
      </c>
      <c r="S63" s="17"/>
    </row>
    <row r="64" spans="1:19" ht="18" customHeight="1" thickBot="1" x14ac:dyDescent="0.25">
      <c r="A64" s="53"/>
      <c r="B64" s="50"/>
      <c r="C64" s="25" t="s">
        <v>30</v>
      </c>
      <c r="D64" s="20"/>
      <c r="E64" s="20"/>
      <c r="F64" s="20"/>
      <c r="G64" s="20"/>
      <c r="H64" s="20"/>
      <c r="I64" s="28"/>
      <c r="J64" s="21">
        <f>I64</f>
        <v>0</v>
      </c>
      <c r="K64" s="22"/>
      <c r="L64" s="20"/>
      <c r="M64" s="20"/>
      <c r="N64" s="20"/>
      <c r="O64" s="20"/>
      <c r="P64" s="28"/>
      <c r="Q64" s="21">
        <f>P64</f>
        <v>0</v>
      </c>
      <c r="R64" s="21">
        <f>Q64</f>
        <v>0</v>
      </c>
      <c r="S64" s="18"/>
    </row>
    <row r="65" spans="1:19" ht="18" customHeight="1" x14ac:dyDescent="0.2">
      <c r="A65" s="51">
        <v>15</v>
      </c>
      <c r="B65" s="48" t="s">
        <v>44</v>
      </c>
      <c r="C65" s="31" t="s">
        <v>27</v>
      </c>
      <c r="D65" s="8">
        <v>7.5</v>
      </c>
      <c r="E65" s="8">
        <v>7.85</v>
      </c>
      <c r="F65" s="8">
        <v>5.28</v>
      </c>
      <c r="G65" s="8">
        <v>5.9</v>
      </c>
      <c r="H65" s="8">
        <v>5.32</v>
      </c>
      <c r="I65" s="9">
        <v>11.34</v>
      </c>
      <c r="J65" s="10">
        <f>SUM(D65:I65)</f>
        <v>43.19</v>
      </c>
      <c r="K65" s="11">
        <v>10.28</v>
      </c>
      <c r="L65" s="8">
        <v>13.47</v>
      </c>
      <c r="M65" s="8">
        <v>11.04</v>
      </c>
      <c r="N65" s="8">
        <v>14.36</v>
      </c>
      <c r="O65" s="8">
        <v>6.16</v>
      </c>
      <c r="P65" s="9">
        <v>10.99</v>
      </c>
      <c r="Q65" s="10">
        <f>SUM(K65:P65)</f>
        <v>66.3</v>
      </c>
      <c r="R65" s="10">
        <f>J65+Q65</f>
        <v>109.49</v>
      </c>
      <c r="S65" s="16"/>
    </row>
    <row r="66" spans="1:19" ht="18" customHeight="1" x14ac:dyDescent="0.2">
      <c r="A66" s="52"/>
      <c r="B66" s="49"/>
      <c r="C66" s="7" t="s">
        <v>28</v>
      </c>
      <c r="D66" s="12">
        <v>10.62</v>
      </c>
      <c r="E66" s="12">
        <v>12.12</v>
      </c>
      <c r="F66" s="12">
        <v>21.070000000000011</v>
      </c>
      <c r="G66" s="12">
        <v>34.459999999999987</v>
      </c>
      <c r="H66" s="12"/>
      <c r="I66" s="13"/>
      <c r="J66" s="14">
        <f>SUM(D66:I66)</f>
        <v>78.27</v>
      </c>
      <c r="K66" s="15"/>
      <c r="L66" s="12"/>
      <c r="M66" s="12"/>
      <c r="N66" s="12"/>
      <c r="O66" s="12"/>
      <c r="P66" s="13"/>
      <c r="Q66" s="14">
        <f>SUM(K66:P66)</f>
        <v>0</v>
      </c>
      <c r="R66" s="14">
        <f>J66+Q66</f>
        <v>78.27</v>
      </c>
      <c r="S66" s="17"/>
    </row>
    <row r="67" spans="1:19" ht="18" customHeight="1" x14ac:dyDescent="0.2">
      <c r="A67" s="52"/>
      <c r="B67" s="49"/>
      <c r="C67" s="23" t="s">
        <v>29</v>
      </c>
      <c r="D67" s="24">
        <f t="shared" ref="D67:I67" si="31">D66-D65</f>
        <v>3.1199999999999992</v>
      </c>
      <c r="E67" s="24">
        <f t="shared" si="31"/>
        <v>4.2699999999999996</v>
      </c>
      <c r="F67" s="24">
        <f t="shared" si="31"/>
        <v>15.79000000000001</v>
      </c>
      <c r="G67" s="24">
        <f t="shared" si="31"/>
        <v>28.559999999999988</v>
      </c>
      <c r="H67" s="24">
        <f t="shared" si="31"/>
        <v>-5.32</v>
      </c>
      <c r="I67" s="27">
        <f t="shared" si="31"/>
        <v>-11.34</v>
      </c>
      <c r="J67" s="30">
        <f>SUM(D67:I67)</f>
        <v>35.08</v>
      </c>
      <c r="K67" s="29">
        <f t="shared" ref="K67:P67" si="32">K66-K65</f>
        <v>-10.28</v>
      </c>
      <c r="L67" s="24">
        <f t="shared" si="32"/>
        <v>-13.47</v>
      </c>
      <c r="M67" s="24">
        <f t="shared" si="32"/>
        <v>-11.04</v>
      </c>
      <c r="N67" s="24">
        <f t="shared" si="32"/>
        <v>-14.36</v>
      </c>
      <c r="O67" s="24">
        <f t="shared" si="32"/>
        <v>-6.16</v>
      </c>
      <c r="P67" s="27">
        <f t="shared" si="32"/>
        <v>-10.99</v>
      </c>
      <c r="Q67" s="30">
        <f>SUM(K67:P67)</f>
        <v>-66.3</v>
      </c>
      <c r="R67" s="30">
        <f>J67+Q67</f>
        <v>-31.22</v>
      </c>
      <c r="S67" s="17"/>
    </row>
    <row r="68" spans="1:19" ht="18" customHeight="1" thickBot="1" x14ac:dyDescent="0.25">
      <c r="A68" s="53"/>
      <c r="B68" s="50"/>
      <c r="C68" s="25" t="s">
        <v>30</v>
      </c>
      <c r="D68" s="20"/>
      <c r="E68" s="20"/>
      <c r="F68" s="20"/>
      <c r="G68" s="20"/>
      <c r="H68" s="20"/>
      <c r="I68" s="28"/>
      <c r="J68" s="21">
        <f>I68</f>
        <v>0</v>
      </c>
      <c r="K68" s="22"/>
      <c r="L68" s="20"/>
      <c r="M68" s="20"/>
      <c r="N68" s="20"/>
      <c r="O68" s="20"/>
      <c r="P68" s="28"/>
      <c r="Q68" s="21">
        <f>P68</f>
        <v>0</v>
      </c>
      <c r="R68" s="21">
        <f>Q68</f>
        <v>0</v>
      </c>
      <c r="S68" s="18"/>
    </row>
    <row r="69" spans="1:19" ht="18" customHeight="1" x14ac:dyDescent="0.2">
      <c r="A69" s="51">
        <v>16</v>
      </c>
      <c r="B69" s="48" t="s">
        <v>45</v>
      </c>
      <c r="C69" s="31" t="s">
        <v>27</v>
      </c>
      <c r="D69" s="8">
        <v>3.3</v>
      </c>
      <c r="E69" s="8">
        <v>2.1800000000000002</v>
      </c>
      <c r="F69" s="8">
        <v>0.2</v>
      </c>
      <c r="G69" s="8"/>
      <c r="H69" s="8">
        <v>8.08</v>
      </c>
      <c r="I69" s="9">
        <v>9.6199999999999992</v>
      </c>
      <c r="J69" s="10">
        <f>SUM(D69:I69)</f>
        <v>23.380000000000003</v>
      </c>
      <c r="K69" s="11">
        <v>9.44</v>
      </c>
      <c r="L69" s="8">
        <v>15.55</v>
      </c>
      <c r="M69" s="8">
        <v>11.09</v>
      </c>
      <c r="N69" s="8">
        <v>15.96</v>
      </c>
      <c r="O69" s="8">
        <v>7.6599999999999993</v>
      </c>
      <c r="P69" s="9">
        <v>20.52</v>
      </c>
      <c r="Q69" s="10">
        <f>SUM(K69:P69)</f>
        <v>80.22</v>
      </c>
      <c r="R69" s="10">
        <f>J69+Q69</f>
        <v>103.6</v>
      </c>
      <c r="S69" s="16"/>
    </row>
    <row r="70" spans="1:19" ht="18" customHeight="1" x14ac:dyDescent="0.2">
      <c r="A70" s="52"/>
      <c r="B70" s="49"/>
      <c r="C70" s="7" t="s">
        <v>28</v>
      </c>
      <c r="D70" s="12">
        <v>20.12</v>
      </c>
      <c r="E70" s="12">
        <v>13.7</v>
      </c>
      <c r="F70" s="12">
        <v>20.04000000000001</v>
      </c>
      <c r="G70" s="12">
        <v>16.68</v>
      </c>
      <c r="H70" s="12"/>
      <c r="I70" s="13"/>
      <c r="J70" s="14">
        <f>SUM(D70:I70)</f>
        <v>70.54000000000002</v>
      </c>
      <c r="K70" s="15"/>
      <c r="L70" s="12"/>
      <c r="M70" s="12"/>
      <c r="N70" s="12"/>
      <c r="O70" s="12"/>
      <c r="P70" s="13"/>
      <c r="Q70" s="14">
        <f>SUM(K70:P70)</f>
        <v>0</v>
      </c>
      <c r="R70" s="14">
        <f>J70+Q70</f>
        <v>70.54000000000002</v>
      </c>
      <c r="S70" s="17"/>
    </row>
    <row r="71" spans="1:19" ht="18" customHeight="1" x14ac:dyDescent="0.2">
      <c r="A71" s="52"/>
      <c r="B71" s="49"/>
      <c r="C71" s="23" t="s">
        <v>29</v>
      </c>
      <c r="D71" s="24">
        <f t="shared" ref="D71:I71" si="33">D70-D69</f>
        <v>16.82</v>
      </c>
      <c r="E71" s="24">
        <f t="shared" si="33"/>
        <v>11.52</v>
      </c>
      <c r="F71" s="24">
        <f t="shared" si="33"/>
        <v>19.840000000000011</v>
      </c>
      <c r="G71" s="24">
        <f t="shared" si="33"/>
        <v>16.68</v>
      </c>
      <c r="H71" s="24">
        <f t="shared" si="33"/>
        <v>-8.08</v>
      </c>
      <c r="I71" s="27">
        <f t="shared" si="33"/>
        <v>-9.6199999999999992</v>
      </c>
      <c r="J71" s="30">
        <f>SUM(D71:I71)</f>
        <v>47.160000000000018</v>
      </c>
      <c r="K71" s="29">
        <f t="shared" ref="K71:P71" si="34">K70-K69</f>
        <v>-9.44</v>
      </c>
      <c r="L71" s="24">
        <f t="shared" si="34"/>
        <v>-15.55</v>
      </c>
      <c r="M71" s="24">
        <f t="shared" si="34"/>
        <v>-11.09</v>
      </c>
      <c r="N71" s="24">
        <f t="shared" si="34"/>
        <v>-15.96</v>
      </c>
      <c r="O71" s="24">
        <f t="shared" si="34"/>
        <v>-7.6599999999999993</v>
      </c>
      <c r="P71" s="27">
        <f t="shared" si="34"/>
        <v>-20.52</v>
      </c>
      <c r="Q71" s="30">
        <f>SUM(K71:P71)</f>
        <v>-80.22</v>
      </c>
      <c r="R71" s="30">
        <f>J71+Q71</f>
        <v>-33.059999999999981</v>
      </c>
      <c r="S71" s="17"/>
    </row>
    <row r="72" spans="1:19" ht="18" customHeight="1" thickBot="1" x14ac:dyDescent="0.25">
      <c r="A72" s="53"/>
      <c r="B72" s="50"/>
      <c r="C72" s="25" t="s">
        <v>30</v>
      </c>
      <c r="D72" s="20"/>
      <c r="E72" s="20"/>
      <c r="F72" s="20"/>
      <c r="G72" s="20"/>
      <c r="H72" s="20"/>
      <c r="I72" s="28"/>
      <c r="J72" s="21">
        <f>I72</f>
        <v>0</v>
      </c>
      <c r="K72" s="22"/>
      <c r="L72" s="20"/>
      <c r="M72" s="20"/>
      <c r="N72" s="20"/>
      <c r="O72" s="20"/>
      <c r="P72" s="28"/>
      <c r="Q72" s="21">
        <f>P72</f>
        <v>0</v>
      </c>
      <c r="R72" s="21">
        <f>Q72</f>
        <v>0</v>
      </c>
      <c r="S72" s="18"/>
    </row>
    <row r="73" spans="1:19" ht="18" customHeight="1" x14ac:dyDescent="0.2">
      <c r="A73" s="51">
        <v>17</v>
      </c>
      <c r="B73" s="48" t="s">
        <v>46</v>
      </c>
      <c r="C73" s="31" t="s">
        <v>27</v>
      </c>
      <c r="D73" s="8">
        <v>4.2</v>
      </c>
      <c r="E73" s="8">
        <v>4.4400000000000004</v>
      </c>
      <c r="F73" s="8">
        <v>5.7</v>
      </c>
      <c r="G73" s="8">
        <v>9.4</v>
      </c>
      <c r="H73" s="8">
        <v>11.24</v>
      </c>
      <c r="I73" s="9">
        <v>13.4</v>
      </c>
      <c r="J73" s="10">
        <f>SUM(D73:I73)</f>
        <v>48.38</v>
      </c>
      <c r="K73" s="11">
        <v>13.1</v>
      </c>
      <c r="L73" s="8">
        <v>45.12</v>
      </c>
      <c r="M73" s="8">
        <v>35.49</v>
      </c>
      <c r="N73" s="8">
        <v>5.56</v>
      </c>
      <c r="O73" s="8">
        <v>2.62</v>
      </c>
      <c r="P73" s="9">
        <v>25.84</v>
      </c>
      <c r="Q73" s="10">
        <f>SUM(K73:P73)</f>
        <v>127.73000000000002</v>
      </c>
      <c r="R73" s="10">
        <f>J73+Q73</f>
        <v>176.11</v>
      </c>
      <c r="S73" s="16"/>
    </row>
    <row r="74" spans="1:19" ht="18" customHeight="1" x14ac:dyDescent="0.2">
      <c r="A74" s="52"/>
      <c r="B74" s="49"/>
      <c r="C74" s="7" t="s">
        <v>28</v>
      </c>
      <c r="D74" s="12">
        <v>26.19</v>
      </c>
      <c r="E74" s="12">
        <v>17.099999999999991</v>
      </c>
      <c r="F74" s="12">
        <v>17.399999999999999</v>
      </c>
      <c r="G74" s="12">
        <v>14.54</v>
      </c>
      <c r="H74" s="12"/>
      <c r="I74" s="13"/>
      <c r="J74" s="14">
        <f>SUM(D74:I74)</f>
        <v>75.22999999999999</v>
      </c>
      <c r="K74" s="15"/>
      <c r="L74" s="12"/>
      <c r="M74" s="12"/>
      <c r="N74" s="12"/>
      <c r="O74" s="12"/>
      <c r="P74" s="13"/>
      <c r="Q74" s="14">
        <f>SUM(K74:P74)</f>
        <v>0</v>
      </c>
      <c r="R74" s="14">
        <f>J74+Q74</f>
        <v>75.22999999999999</v>
      </c>
      <c r="S74" s="17"/>
    </row>
    <row r="75" spans="1:19" ht="18" customHeight="1" x14ac:dyDescent="0.2">
      <c r="A75" s="52"/>
      <c r="B75" s="49"/>
      <c r="C75" s="23" t="s">
        <v>29</v>
      </c>
      <c r="D75" s="24">
        <f t="shared" ref="D75:I75" si="35">D74-D73</f>
        <v>21.990000000000002</v>
      </c>
      <c r="E75" s="24">
        <f t="shared" si="35"/>
        <v>12.659999999999989</v>
      </c>
      <c r="F75" s="24">
        <f t="shared" si="35"/>
        <v>11.7</v>
      </c>
      <c r="G75" s="24">
        <f t="shared" si="35"/>
        <v>5.1399999999999988</v>
      </c>
      <c r="H75" s="24">
        <f t="shared" si="35"/>
        <v>-11.24</v>
      </c>
      <c r="I75" s="27">
        <f t="shared" si="35"/>
        <v>-13.4</v>
      </c>
      <c r="J75" s="30">
        <f>SUM(D75:I75)</f>
        <v>26.849999999999994</v>
      </c>
      <c r="K75" s="29">
        <f t="shared" ref="K75:P75" si="36">K74-K73</f>
        <v>-13.1</v>
      </c>
      <c r="L75" s="24">
        <f t="shared" si="36"/>
        <v>-45.12</v>
      </c>
      <c r="M75" s="24">
        <f t="shared" si="36"/>
        <v>-35.49</v>
      </c>
      <c r="N75" s="24">
        <f t="shared" si="36"/>
        <v>-5.56</v>
      </c>
      <c r="O75" s="24">
        <f t="shared" si="36"/>
        <v>-2.62</v>
      </c>
      <c r="P75" s="27">
        <f t="shared" si="36"/>
        <v>-25.84</v>
      </c>
      <c r="Q75" s="30">
        <f>SUM(K75:P75)</f>
        <v>-127.73000000000002</v>
      </c>
      <c r="R75" s="30">
        <f>J75+Q75</f>
        <v>-100.88000000000002</v>
      </c>
      <c r="S75" s="17"/>
    </row>
    <row r="76" spans="1:19" ht="18" customHeight="1" thickBot="1" x14ac:dyDescent="0.25">
      <c r="A76" s="53"/>
      <c r="B76" s="50"/>
      <c r="C76" s="25" t="s">
        <v>30</v>
      </c>
      <c r="D76" s="20"/>
      <c r="E76" s="20"/>
      <c r="F76" s="20"/>
      <c r="G76" s="20"/>
      <c r="H76" s="20"/>
      <c r="I76" s="28"/>
      <c r="J76" s="21">
        <f>I76</f>
        <v>0</v>
      </c>
      <c r="K76" s="22"/>
      <c r="L76" s="20"/>
      <c r="M76" s="20"/>
      <c r="N76" s="20"/>
      <c r="O76" s="20"/>
      <c r="P76" s="28"/>
      <c r="Q76" s="21">
        <f>P76</f>
        <v>0</v>
      </c>
      <c r="R76" s="21">
        <f>Q76</f>
        <v>0</v>
      </c>
      <c r="S76" s="18"/>
    </row>
    <row r="77" spans="1:19" ht="18" customHeight="1" x14ac:dyDescent="0.2">
      <c r="A77" s="51">
        <v>18</v>
      </c>
      <c r="B77" s="48" t="s">
        <v>47</v>
      </c>
      <c r="C77" s="31" t="s">
        <v>27</v>
      </c>
      <c r="D77" s="8">
        <v>6.2</v>
      </c>
      <c r="E77" s="8">
        <v>8.44</v>
      </c>
      <c r="F77" s="8">
        <v>9.56</v>
      </c>
      <c r="G77" s="8">
        <v>14.36</v>
      </c>
      <c r="H77" s="8">
        <v>16.14</v>
      </c>
      <c r="I77" s="9">
        <v>19.48</v>
      </c>
      <c r="J77" s="10">
        <f>SUM(D77:I77)</f>
        <v>74.180000000000007</v>
      </c>
      <c r="K77" s="11">
        <v>15.33</v>
      </c>
      <c r="L77" s="8">
        <v>38.93</v>
      </c>
      <c r="M77" s="8">
        <v>24.26</v>
      </c>
      <c r="N77" s="8">
        <v>13.95</v>
      </c>
      <c r="O77" s="8">
        <v>6.3</v>
      </c>
      <c r="P77" s="9">
        <v>30.91</v>
      </c>
      <c r="Q77" s="10">
        <f>SUM(K77:P77)</f>
        <v>129.68</v>
      </c>
      <c r="R77" s="10">
        <f>J77+Q77</f>
        <v>203.86</v>
      </c>
      <c r="S77" s="16"/>
    </row>
    <row r="78" spans="1:19" ht="18" customHeight="1" x14ac:dyDescent="0.2">
      <c r="A78" s="52"/>
      <c r="B78" s="49"/>
      <c r="C78" s="7" t="s">
        <v>28</v>
      </c>
      <c r="D78" s="12">
        <v>24.82</v>
      </c>
      <c r="E78" s="12">
        <v>21.78</v>
      </c>
      <c r="F78" s="12">
        <v>14.3</v>
      </c>
      <c r="G78" s="12">
        <v>27.32</v>
      </c>
      <c r="H78" s="12"/>
      <c r="I78" s="13"/>
      <c r="J78" s="14">
        <f>SUM(D78:I78)</f>
        <v>88.22</v>
      </c>
      <c r="K78" s="15"/>
      <c r="L78" s="12"/>
      <c r="M78" s="12"/>
      <c r="N78" s="12"/>
      <c r="O78" s="12"/>
      <c r="P78" s="13"/>
      <c r="Q78" s="14">
        <f>SUM(K78:P78)</f>
        <v>0</v>
      </c>
      <c r="R78" s="14">
        <f>J78+Q78</f>
        <v>88.22</v>
      </c>
      <c r="S78" s="17"/>
    </row>
    <row r="79" spans="1:19" ht="18" customHeight="1" x14ac:dyDescent="0.2">
      <c r="A79" s="52"/>
      <c r="B79" s="49"/>
      <c r="C79" s="23" t="s">
        <v>29</v>
      </c>
      <c r="D79" s="24">
        <f t="shared" ref="D79:I79" si="37">D78-D77</f>
        <v>18.62</v>
      </c>
      <c r="E79" s="24">
        <f t="shared" si="37"/>
        <v>13.340000000000002</v>
      </c>
      <c r="F79" s="24">
        <f t="shared" si="37"/>
        <v>4.74</v>
      </c>
      <c r="G79" s="24">
        <f t="shared" si="37"/>
        <v>12.96</v>
      </c>
      <c r="H79" s="24">
        <f t="shared" si="37"/>
        <v>-16.14</v>
      </c>
      <c r="I79" s="27">
        <f t="shared" si="37"/>
        <v>-19.48</v>
      </c>
      <c r="J79" s="30">
        <f>SUM(D79:I79)</f>
        <v>14.040000000000003</v>
      </c>
      <c r="K79" s="29">
        <f t="shared" ref="K79:P79" si="38">K78-K77</f>
        <v>-15.33</v>
      </c>
      <c r="L79" s="24">
        <f t="shared" si="38"/>
        <v>-38.93</v>
      </c>
      <c r="M79" s="24">
        <f t="shared" si="38"/>
        <v>-24.26</v>
      </c>
      <c r="N79" s="24">
        <f t="shared" si="38"/>
        <v>-13.95</v>
      </c>
      <c r="O79" s="24">
        <f t="shared" si="38"/>
        <v>-6.3</v>
      </c>
      <c r="P79" s="27">
        <f t="shared" si="38"/>
        <v>-30.91</v>
      </c>
      <c r="Q79" s="30">
        <f>SUM(K79:P79)</f>
        <v>-129.68</v>
      </c>
      <c r="R79" s="30">
        <f>J79+Q79</f>
        <v>-115.64</v>
      </c>
      <c r="S79" s="17"/>
    </row>
    <row r="80" spans="1:19" ht="18" customHeight="1" thickBot="1" x14ac:dyDescent="0.25">
      <c r="A80" s="53"/>
      <c r="B80" s="50"/>
      <c r="C80" s="25" t="s">
        <v>30</v>
      </c>
      <c r="D80" s="20"/>
      <c r="E80" s="20"/>
      <c r="F80" s="20"/>
      <c r="G80" s="20"/>
      <c r="H80" s="20"/>
      <c r="I80" s="28"/>
      <c r="J80" s="21">
        <f>I80</f>
        <v>0</v>
      </c>
      <c r="K80" s="22"/>
      <c r="L80" s="20"/>
      <c r="M80" s="20"/>
      <c r="N80" s="20"/>
      <c r="O80" s="20"/>
      <c r="P80" s="28"/>
      <c r="Q80" s="21">
        <f>P80</f>
        <v>0</v>
      </c>
      <c r="R80" s="21">
        <f>Q80</f>
        <v>0</v>
      </c>
      <c r="S80" s="18"/>
    </row>
    <row r="81" spans="1:19" ht="18" customHeight="1" x14ac:dyDescent="0.2">
      <c r="A81" s="51">
        <v>19</v>
      </c>
      <c r="B81" s="48" t="s">
        <v>48</v>
      </c>
      <c r="C81" s="31" t="s">
        <v>27</v>
      </c>
      <c r="D81" s="8">
        <v>0.2</v>
      </c>
      <c r="E81" s="8">
        <v>6.51</v>
      </c>
      <c r="F81" s="8">
        <v>15.81</v>
      </c>
      <c r="G81" s="8">
        <v>14.02</v>
      </c>
      <c r="H81" s="8">
        <v>12.04</v>
      </c>
      <c r="I81" s="9">
        <v>12.6</v>
      </c>
      <c r="J81" s="10">
        <f>SUM(D81:I81)</f>
        <v>61.18</v>
      </c>
      <c r="K81" s="11">
        <v>6</v>
      </c>
      <c r="L81" s="8">
        <v>10.39</v>
      </c>
      <c r="M81" s="8">
        <v>17.559999999999999</v>
      </c>
      <c r="N81" s="8">
        <v>9.8800000000000008</v>
      </c>
      <c r="O81" s="8">
        <v>9.76</v>
      </c>
      <c r="P81" s="9">
        <v>19.7</v>
      </c>
      <c r="Q81" s="10">
        <f>SUM(K81:P81)</f>
        <v>73.290000000000006</v>
      </c>
      <c r="R81" s="10">
        <f>J81+Q81</f>
        <v>134.47</v>
      </c>
      <c r="S81" s="16"/>
    </row>
    <row r="82" spans="1:19" ht="18" customHeight="1" x14ac:dyDescent="0.2">
      <c r="A82" s="52"/>
      <c r="B82" s="49"/>
      <c r="C82" s="7" t="s">
        <v>28</v>
      </c>
      <c r="D82" s="12">
        <v>18.14</v>
      </c>
      <c r="E82" s="12">
        <v>8.76</v>
      </c>
      <c r="F82" s="12">
        <v>5.9</v>
      </c>
      <c r="G82" s="12">
        <v>3.6</v>
      </c>
      <c r="H82" s="12"/>
      <c r="I82" s="13"/>
      <c r="J82" s="14">
        <f>SUM(D82:I82)</f>
        <v>36.4</v>
      </c>
      <c r="K82" s="15"/>
      <c r="L82" s="12"/>
      <c r="M82" s="12"/>
      <c r="N82" s="12"/>
      <c r="O82" s="12"/>
      <c r="P82" s="13"/>
      <c r="Q82" s="14">
        <f>SUM(K82:P82)</f>
        <v>0</v>
      </c>
      <c r="R82" s="14">
        <f>J82+Q82</f>
        <v>36.4</v>
      </c>
      <c r="S82" s="17"/>
    </row>
    <row r="83" spans="1:19" ht="18" customHeight="1" x14ac:dyDescent="0.2">
      <c r="A83" s="52"/>
      <c r="B83" s="49"/>
      <c r="C83" s="23" t="s">
        <v>29</v>
      </c>
      <c r="D83" s="24">
        <f t="shared" ref="D83:I83" si="39">D82-D81</f>
        <v>17.940000000000001</v>
      </c>
      <c r="E83" s="24">
        <f t="shared" si="39"/>
        <v>2.25</v>
      </c>
      <c r="F83" s="24">
        <f t="shared" si="39"/>
        <v>-9.91</v>
      </c>
      <c r="G83" s="24">
        <f t="shared" si="39"/>
        <v>-10.42</v>
      </c>
      <c r="H83" s="24">
        <f t="shared" si="39"/>
        <v>-12.04</v>
      </c>
      <c r="I83" s="27">
        <f t="shared" si="39"/>
        <v>-12.6</v>
      </c>
      <c r="J83" s="30">
        <f>SUM(D83:I83)</f>
        <v>-24.779999999999998</v>
      </c>
      <c r="K83" s="29">
        <f t="shared" ref="K83:P83" si="40">K82-K81</f>
        <v>-6</v>
      </c>
      <c r="L83" s="24">
        <f t="shared" si="40"/>
        <v>-10.39</v>
      </c>
      <c r="M83" s="24">
        <f t="shared" si="40"/>
        <v>-17.559999999999999</v>
      </c>
      <c r="N83" s="24">
        <f t="shared" si="40"/>
        <v>-9.8800000000000008</v>
      </c>
      <c r="O83" s="24">
        <f t="shared" si="40"/>
        <v>-9.76</v>
      </c>
      <c r="P83" s="27">
        <f t="shared" si="40"/>
        <v>-19.7</v>
      </c>
      <c r="Q83" s="30">
        <f>SUM(K83:P83)</f>
        <v>-73.290000000000006</v>
      </c>
      <c r="R83" s="30">
        <f>J83+Q83</f>
        <v>-98.070000000000007</v>
      </c>
      <c r="S83" s="17"/>
    </row>
    <row r="84" spans="1:19" ht="18" customHeight="1" thickBot="1" x14ac:dyDescent="0.25">
      <c r="A84" s="53"/>
      <c r="B84" s="50"/>
      <c r="C84" s="25" t="s">
        <v>30</v>
      </c>
      <c r="D84" s="20"/>
      <c r="E84" s="20"/>
      <c r="F84" s="20"/>
      <c r="G84" s="20"/>
      <c r="H84" s="20"/>
      <c r="I84" s="28"/>
      <c r="J84" s="21">
        <f>I84</f>
        <v>0</v>
      </c>
      <c r="K84" s="22"/>
      <c r="L84" s="20"/>
      <c r="M84" s="20"/>
      <c r="N84" s="20"/>
      <c r="O84" s="20"/>
      <c r="P84" s="28"/>
      <c r="Q84" s="21">
        <f>P84</f>
        <v>0</v>
      </c>
      <c r="R84" s="21">
        <f>Q84</f>
        <v>0</v>
      </c>
      <c r="S84" s="18"/>
    </row>
    <row r="85" spans="1:19" ht="18" customHeight="1" x14ac:dyDescent="0.2">
      <c r="A85" s="51">
        <v>20</v>
      </c>
      <c r="B85" s="48"/>
      <c r="C85" s="31" t="s">
        <v>27</v>
      </c>
      <c r="D85" s="8"/>
      <c r="E85" s="8"/>
      <c r="F85" s="8"/>
      <c r="G85" s="8"/>
      <c r="H85" s="8"/>
      <c r="I85" s="9"/>
      <c r="J85" s="10">
        <f>SUM(D85:I85)</f>
        <v>0</v>
      </c>
      <c r="K85" s="11"/>
      <c r="L85" s="8"/>
      <c r="M85" s="8"/>
      <c r="N85" s="8"/>
      <c r="O85" s="8"/>
      <c r="P85" s="9"/>
      <c r="Q85" s="10">
        <f>SUM(K85:P85)</f>
        <v>0</v>
      </c>
      <c r="R85" s="10">
        <f>J85+Q85</f>
        <v>0</v>
      </c>
      <c r="S85" s="16"/>
    </row>
    <row r="86" spans="1:19" ht="18" customHeight="1" x14ac:dyDescent="0.2">
      <c r="A86" s="52"/>
      <c r="B86" s="49"/>
      <c r="C86" s="7" t="s">
        <v>28</v>
      </c>
      <c r="D86" s="12"/>
      <c r="E86" s="12"/>
      <c r="F86" s="12"/>
      <c r="G86" s="12"/>
      <c r="H86" s="12"/>
      <c r="I86" s="13"/>
      <c r="J86" s="14">
        <f>SUM(D86:I86)</f>
        <v>0</v>
      </c>
      <c r="K86" s="15"/>
      <c r="L86" s="12"/>
      <c r="M86" s="12"/>
      <c r="N86" s="12"/>
      <c r="O86" s="12"/>
      <c r="P86" s="13"/>
      <c r="Q86" s="14">
        <f>SUM(K86:P86)</f>
        <v>0</v>
      </c>
      <c r="R86" s="14">
        <f>J86+Q86</f>
        <v>0</v>
      </c>
      <c r="S86" s="17"/>
    </row>
    <row r="87" spans="1:19" ht="18" customHeight="1" x14ac:dyDescent="0.2">
      <c r="A87" s="52"/>
      <c r="B87" s="49"/>
      <c r="C87" s="23" t="s">
        <v>29</v>
      </c>
      <c r="D87" s="24">
        <f t="shared" ref="D87:I87" si="41">D86-D85</f>
        <v>0</v>
      </c>
      <c r="E87" s="24">
        <f t="shared" si="41"/>
        <v>0</v>
      </c>
      <c r="F87" s="24">
        <f t="shared" si="41"/>
        <v>0</v>
      </c>
      <c r="G87" s="24">
        <f t="shared" si="41"/>
        <v>0</v>
      </c>
      <c r="H87" s="24">
        <f t="shared" si="41"/>
        <v>0</v>
      </c>
      <c r="I87" s="27">
        <f t="shared" si="41"/>
        <v>0</v>
      </c>
      <c r="J87" s="30">
        <f>SUM(D87:I87)</f>
        <v>0</v>
      </c>
      <c r="K87" s="29">
        <f t="shared" ref="K87:P87" si="42">K86-K85</f>
        <v>0</v>
      </c>
      <c r="L87" s="24">
        <f t="shared" si="42"/>
        <v>0</v>
      </c>
      <c r="M87" s="24">
        <f t="shared" si="42"/>
        <v>0</v>
      </c>
      <c r="N87" s="24">
        <f t="shared" si="42"/>
        <v>0</v>
      </c>
      <c r="O87" s="24">
        <f t="shared" si="42"/>
        <v>0</v>
      </c>
      <c r="P87" s="27">
        <f t="shared" si="42"/>
        <v>0</v>
      </c>
      <c r="Q87" s="30">
        <f>SUM(K87:P87)</f>
        <v>0</v>
      </c>
      <c r="R87" s="30">
        <f>J87+Q87</f>
        <v>0</v>
      </c>
      <c r="S87" s="17"/>
    </row>
    <row r="88" spans="1:19" ht="18" customHeight="1" thickBot="1" x14ac:dyDescent="0.25">
      <c r="A88" s="53"/>
      <c r="B88" s="50"/>
      <c r="C88" s="25" t="s">
        <v>30</v>
      </c>
      <c r="D88" s="20"/>
      <c r="E88" s="20"/>
      <c r="F88" s="20"/>
      <c r="G88" s="20"/>
      <c r="H88" s="20"/>
      <c r="I88" s="28"/>
      <c r="J88" s="21">
        <f>I88</f>
        <v>0</v>
      </c>
      <c r="K88" s="22"/>
      <c r="L88" s="20"/>
      <c r="M88" s="20"/>
      <c r="N88" s="20"/>
      <c r="O88" s="20"/>
      <c r="P88" s="28"/>
      <c r="Q88" s="21">
        <f>P88</f>
        <v>0</v>
      </c>
      <c r="R88" s="21">
        <f>Q88</f>
        <v>0</v>
      </c>
      <c r="S88" s="18"/>
    </row>
    <row r="89" spans="1:19" ht="18" customHeight="1" x14ac:dyDescent="0.2">
      <c r="A89" s="51">
        <v>21</v>
      </c>
      <c r="B89" s="48"/>
      <c r="C89" s="31" t="s">
        <v>27</v>
      </c>
      <c r="D89" s="8"/>
      <c r="E89" s="8"/>
      <c r="F89" s="8"/>
      <c r="G89" s="8"/>
      <c r="H89" s="8"/>
      <c r="I89" s="9"/>
      <c r="J89" s="10">
        <f>SUM(D89:I89)</f>
        <v>0</v>
      </c>
      <c r="K89" s="11"/>
      <c r="L89" s="8"/>
      <c r="M89" s="8"/>
      <c r="N89" s="8"/>
      <c r="O89" s="8"/>
      <c r="P89" s="9"/>
      <c r="Q89" s="10">
        <f>SUM(K89:P89)</f>
        <v>0</v>
      </c>
      <c r="R89" s="10">
        <f>J89+Q89</f>
        <v>0</v>
      </c>
      <c r="S89" s="16"/>
    </row>
    <row r="90" spans="1:19" ht="18" customHeight="1" x14ac:dyDescent="0.2">
      <c r="A90" s="52"/>
      <c r="B90" s="49"/>
      <c r="C90" s="7" t="s">
        <v>28</v>
      </c>
      <c r="D90" s="12"/>
      <c r="E90" s="12"/>
      <c r="F90" s="12"/>
      <c r="G90" s="12"/>
      <c r="H90" s="12"/>
      <c r="I90" s="13"/>
      <c r="J90" s="14">
        <f>SUM(D90:I90)</f>
        <v>0</v>
      </c>
      <c r="K90" s="15"/>
      <c r="L90" s="12"/>
      <c r="M90" s="12"/>
      <c r="N90" s="12"/>
      <c r="O90" s="12"/>
      <c r="P90" s="13"/>
      <c r="Q90" s="14">
        <f>SUM(K90:P90)</f>
        <v>0</v>
      </c>
      <c r="R90" s="14">
        <f>J90+Q90</f>
        <v>0</v>
      </c>
      <c r="S90" s="17"/>
    </row>
    <row r="91" spans="1:19" ht="18" customHeight="1" x14ac:dyDescent="0.2">
      <c r="A91" s="52"/>
      <c r="B91" s="49"/>
      <c r="C91" s="23" t="s">
        <v>29</v>
      </c>
      <c r="D91" s="24">
        <f t="shared" ref="D91:I91" si="43">D90-D89</f>
        <v>0</v>
      </c>
      <c r="E91" s="24">
        <f t="shared" si="43"/>
        <v>0</v>
      </c>
      <c r="F91" s="24">
        <f t="shared" si="43"/>
        <v>0</v>
      </c>
      <c r="G91" s="24">
        <f t="shared" si="43"/>
        <v>0</v>
      </c>
      <c r="H91" s="24">
        <f t="shared" si="43"/>
        <v>0</v>
      </c>
      <c r="I91" s="27">
        <f t="shared" si="43"/>
        <v>0</v>
      </c>
      <c r="J91" s="30">
        <f>SUM(D91:I91)</f>
        <v>0</v>
      </c>
      <c r="K91" s="29">
        <f>K90-K89</f>
        <v>0</v>
      </c>
      <c r="L91" s="24">
        <f>L90-L89</f>
        <v>0</v>
      </c>
      <c r="M91" s="24"/>
      <c r="N91" s="24">
        <f>N90-N89</f>
        <v>0</v>
      </c>
      <c r="O91" s="24">
        <f>O90-O89</f>
        <v>0</v>
      </c>
      <c r="P91" s="27">
        <f>P90-P89</f>
        <v>0</v>
      </c>
      <c r="Q91" s="30">
        <f>SUM(K91:P91)</f>
        <v>0</v>
      </c>
      <c r="R91" s="30">
        <f>J91+Q91</f>
        <v>0</v>
      </c>
      <c r="S91" s="17"/>
    </row>
    <row r="92" spans="1:19" ht="18" customHeight="1" thickBot="1" x14ac:dyDescent="0.25">
      <c r="A92" s="53"/>
      <c r="B92" s="50"/>
      <c r="C92" s="25" t="s">
        <v>30</v>
      </c>
      <c r="D92" s="20"/>
      <c r="E92" s="20"/>
      <c r="F92" s="20"/>
      <c r="G92" s="20"/>
      <c r="H92" s="20"/>
      <c r="I92" s="28"/>
      <c r="J92" s="21">
        <f>I92</f>
        <v>0</v>
      </c>
      <c r="K92" s="22"/>
      <c r="L92" s="20"/>
      <c r="M92" s="20"/>
      <c r="N92" s="20"/>
      <c r="O92" s="20"/>
      <c r="P92" s="28"/>
      <c r="Q92" s="21">
        <f>P92</f>
        <v>0</v>
      </c>
      <c r="R92" s="21">
        <f>Q92</f>
        <v>0</v>
      </c>
      <c r="S92" s="18"/>
    </row>
    <row r="93" spans="1:19" ht="18" customHeight="1" x14ac:dyDescent="0.2">
      <c r="A93" s="51">
        <v>22</v>
      </c>
      <c r="B93" s="48"/>
      <c r="C93" s="31" t="s">
        <v>27</v>
      </c>
      <c r="D93" s="8"/>
      <c r="E93" s="8"/>
      <c r="F93" s="8"/>
      <c r="G93" s="8"/>
      <c r="H93" s="8"/>
      <c r="I93" s="9"/>
      <c r="J93" s="10">
        <f>SUM(D93:I93)</f>
        <v>0</v>
      </c>
      <c r="K93" s="11"/>
      <c r="L93" s="8"/>
      <c r="M93" s="8"/>
      <c r="N93" s="8"/>
      <c r="O93" s="8"/>
      <c r="P93" s="9"/>
      <c r="Q93" s="10">
        <f>SUM(K93:P93)</f>
        <v>0</v>
      </c>
      <c r="R93" s="10">
        <f>J93+Q93</f>
        <v>0</v>
      </c>
      <c r="S93" s="16"/>
    </row>
    <row r="94" spans="1:19" ht="18" customHeight="1" x14ac:dyDescent="0.2">
      <c r="A94" s="52"/>
      <c r="B94" s="49"/>
      <c r="C94" s="7" t="s">
        <v>28</v>
      </c>
      <c r="D94" s="12"/>
      <c r="E94" s="12"/>
      <c r="F94" s="12"/>
      <c r="G94" s="12"/>
      <c r="H94" s="12"/>
      <c r="I94" s="13"/>
      <c r="J94" s="14">
        <f>SUM(D94:I94)</f>
        <v>0</v>
      </c>
      <c r="K94" s="15"/>
      <c r="L94" s="12"/>
      <c r="M94" s="12"/>
      <c r="N94" s="12"/>
      <c r="O94" s="12"/>
      <c r="P94" s="13"/>
      <c r="Q94" s="14">
        <f>SUM(K94:P94)</f>
        <v>0</v>
      </c>
      <c r="R94" s="14">
        <f>J94+Q94</f>
        <v>0</v>
      </c>
      <c r="S94" s="17"/>
    </row>
    <row r="95" spans="1:19" ht="18" customHeight="1" x14ac:dyDescent="0.2">
      <c r="A95" s="52"/>
      <c r="B95" s="49"/>
      <c r="C95" s="23" t="s">
        <v>29</v>
      </c>
      <c r="D95" s="24">
        <f t="shared" ref="D95:I95" si="44">D94-D93</f>
        <v>0</v>
      </c>
      <c r="E95" s="24">
        <f t="shared" si="44"/>
        <v>0</v>
      </c>
      <c r="F95" s="24">
        <f t="shared" si="44"/>
        <v>0</v>
      </c>
      <c r="G95" s="24">
        <f t="shared" si="44"/>
        <v>0</v>
      </c>
      <c r="H95" s="24">
        <f t="shared" si="44"/>
        <v>0</v>
      </c>
      <c r="I95" s="27">
        <f t="shared" si="44"/>
        <v>0</v>
      </c>
      <c r="J95" s="30">
        <f>SUM(D95:I95)</f>
        <v>0</v>
      </c>
      <c r="K95" s="29">
        <f t="shared" ref="K95:P95" si="45">K94-K93</f>
        <v>0</v>
      </c>
      <c r="L95" s="24">
        <f t="shared" si="45"/>
        <v>0</v>
      </c>
      <c r="M95" s="24">
        <f t="shared" si="45"/>
        <v>0</v>
      </c>
      <c r="N95" s="24">
        <f t="shared" si="45"/>
        <v>0</v>
      </c>
      <c r="O95" s="24">
        <f t="shared" si="45"/>
        <v>0</v>
      </c>
      <c r="P95" s="27">
        <f t="shared" si="45"/>
        <v>0</v>
      </c>
      <c r="Q95" s="30">
        <f>SUM(K95:P95)</f>
        <v>0</v>
      </c>
      <c r="R95" s="30">
        <f>J95+Q95</f>
        <v>0</v>
      </c>
      <c r="S95" s="17"/>
    </row>
    <row r="96" spans="1:19" ht="18" customHeight="1" thickBot="1" x14ac:dyDescent="0.25">
      <c r="A96" s="53"/>
      <c r="B96" s="50"/>
      <c r="C96" s="25" t="s">
        <v>30</v>
      </c>
      <c r="D96" s="20"/>
      <c r="E96" s="20"/>
      <c r="F96" s="20"/>
      <c r="G96" s="20"/>
      <c r="H96" s="20"/>
      <c r="I96" s="28"/>
      <c r="J96" s="21">
        <f>I96</f>
        <v>0</v>
      </c>
      <c r="K96" s="22"/>
      <c r="L96" s="20"/>
      <c r="M96" s="20"/>
      <c r="N96" s="20"/>
      <c r="O96" s="20"/>
      <c r="P96" s="28"/>
      <c r="Q96" s="21">
        <f>P96</f>
        <v>0</v>
      </c>
      <c r="R96" s="21">
        <f>Q96</f>
        <v>0</v>
      </c>
      <c r="S96" s="18"/>
    </row>
    <row r="97" spans="1:19" ht="18" customHeight="1" x14ac:dyDescent="0.2">
      <c r="A97" s="51">
        <v>23</v>
      </c>
      <c r="B97" s="48"/>
      <c r="C97" s="31" t="s">
        <v>27</v>
      </c>
      <c r="D97" s="8"/>
      <c r="E97" s="8"/>
      <c r="F97" s="8"/>
      <c r="G97" s="8"/>
      <c r="H97" s="8"/>
      <c r="I97" s="9"/>
      <c r="J97" s="10">
        <f>SUM(D97:I97)</f>
        <v>0</v>
      </c>
      <c r="K97" s="11"/>
      <c r="L97" s="8"/>
      <c r="M97" s="8"/>
      <c r="N97" s="8"/>
      <c r="O97" s="8"/>
      <c r="P97" s="9"/>
      <c r="Q97" s="10">
        <f>SUM(K97:P97)</f>
        <v>0</v>
      </c>
      <c r="R97" s="10">
        <f>J97+Q97</f>
        <v>0</v>
      </c>
      <c r="S97" s="16"/>
    </row>
    <row r="98" spans="1:19" ht="18" customHeight="1" x14ac:dyDescent="0.2">
      <c r="A98" s="52"/>
      <c r="B98" s="49"/>
      <c r="C98" s="7" t="s">
        <v>28</v>
      </c>
      <c r="D98" s="12"/>
      <c r="E98" s="12"/>
      <c r="F98" s="12"/>
      <c r="G98" s="12"/>
      <c r="H98" s="12"/>
      <c r="I98" s="13"/>
      <c r="J98" s="14">
        <f>SUM(D98:I98)</f>
        <v>0</v>
      </c>
      <c r="K98" s="15"/>
      <c r="L98" s="12"/>
      <c r="M98" s="12"/>
      <c r="N98" s="12"/>
      <c r="O98" s="12"/>
      <c r="P98" s="13"/>
      <c r="Q98" s="14">
        <f>SUM(K98:P98)</f>
        <v>0</v>
      </c>
      <c r="R98" s="14">
        <f>J98+Q98</f>
        <v>0</v>
      </c>
      <c r="S98" s="17"/>
    </row>
    <row r="99" spans="1:19" ht="18" customHeight="1" x14ac:dyDescent="0.2">
      <c r="A99" s="52"/>
      <c r="B99" s="49"/>
      <c r="C99" s="23" t="s">
        <v>29</v>
      </c>
      <c r="D99" s="24">
        <f t="shared" ref="D99:I99" si="46">D98-D97</f>
        <v>0</v>
      </c>
      <c r="E99" s="24">
        <f t="shared" si="46"/>
        <v>0</v>
      </c>
      <c r="F99" s="24">
        <f t="shared" si="46"/>
        <v>0</v>
      </c>
      <c r="G99" s="24">
        <f t="shared" si="46"/>
        <v>0</v>
      </c>
      <c r="H99" s="24">
        <f t="shared" si="46"/>
        <v>0</v>
      </c>
      <c r="I99" s="27">
        <f t="shared" si="46"/>
        <v>0</v>
      </c>
      <c r="J99" s="30">
        <f>SUM(D99:I99)</f>
        <v>0</v>
      </c>
      <c r="K99" s="29">
        <f t="shared" ref="K99:P99" si="47">K98-K97</f>
        <v>0</v>
      </c>
      <c r="L99" s="24">
        <f t="shared" si="47"/>
        <v>0</v>
      </c>
      <c r="M99" s="24">
        <f t="shared" si="47"/>
        <v>0</v>
      </c>
      <c r="N99" s="24">
        <f t="shared" si="47"/>
        <v>0</v>
      </c>
      <c r="O99" s="24">
        <f t="shared" si="47"/>
        <v>0</v>
      </c>
      <c r="P99" s="27">
        <f t="shared" si="47"/>
        <v>0</v>
      </c>
      <c r="Q99" s="30">
        <f>SUM(K99:P99)</f>
        <v>0</v>
      </c>
      <c r="R99" s="30">
        <f>J99+Q99</f>
        <v>0</v>
      </c>
      <c r="S99" s="17"/>
    </row>
    <row r="100" spans="1:19" ht="18" customHeight="1" thickBot="1" x14ac:dyDescent="0.25">
      <c r="A100" s="53"/>
      <c r="B100" s="50"/>
      <c r="C100" s="25" t="s">
        <v>30</v>
      </c>
      <c r="D100" s="20"/>
      <c r="E100" s="20"/>
      <c r="F100" s="20"/>
      <c r="G100" s="20"/>
      <c r="H100" s="20"/>
      <c r="I100" s="28"/>
      <c r="J100" s="21">
        <f>I100</f>
        <v>0</v>
      </c>
      <c r="K100" s="22"/>
      <c r="L100" s="20"/>
      <c r="M100" s="20"/>
      <c r="N100" s="20"/>
      <c r="O100" s="20"/>
      <c r="P100" s="28"/>
      <c r="Q100" s="21">
        <f>P100</f>
        <v>0</v>
      </c>
      <c r="R100" s="21">
        <f>Q100</f>
        <v>0</v>
      </c>
      <c r="S100" s="18"/>
    </row>
    <row r="101" spans="1:19" ht="18" customHeight="1" x14ac:dyDescent="0.2">
      <c r="A101" s="51">
        <v>24</v>
      </c>
      <c r="B101" s="48"/>
      <c r="C101" s="31" t="s">
        <v>27</v>
      </c>
      <c r="D101" s="8"/>
      <c r="E101" s="8"/>
      <c r="F101" s="8"/>
      <c r="G101" s="8"/>
      <c r="H101" s="8"/>
      <c r="I101" s="9"/>
      <c r="J101" s="10">
        <f>SUM(D101:I101)</f>
        <v>0</v>
      </c>
      <c r="K101" s="11"/>
      <c r="L101" s="8"/>
      <c r="M101" s="8"/>
      <c r="N101" s="8"/>
      <c r="O101" s="8"/>
      <c r="P101" s="9"/>
      <c r="Q101" s="10">
        <f>SUM(K101:P101)</f>
        <v>0</v>
      </c>
      <c r="R101" s="10">
        <f>J101+Q101</f>
        <v>0</v>
      </c>
      <c r="S101" s="16"/>
    </row>
    <row r="102" spans="1:19" ht="18" customHeight="1" x14ac:dyDescent="0.2">
      <c r="A102" s="52"/>
      <c r="B102" s="49"/>
      <c r="C102" s="7" t="s">
        <v>28</v>
      </c>
      <c r="D102" s="12"/>
      <c r="E102" s="12"/>
      <c r="F102" s="12"/>
      <c r="G102" s="12"/>
      <c r="H102" s="12"/>
      <c r="I102" s="13"/>
      <c r="J102" s="14">
        <f>SUM(D102:I102)</f>
        <v>0</v>
      </c>
      <c r="K102" s="15"/>
      <c r="L102" s="12"/>
      <c r="M102" s="12"/>
      <c r="N102" s="12"/>
      <c r="O102" s="12"/>
      <c r="P102" s="13"/>
      <c r="Q102" s="14">
        <f>SUM(K102:P102)</f>
        <v>0</v>
      </c>
      <c r="R102" s="14">
        <f>J102+Q102</f>
        <v>0</v>
      </c>
      <c r="S102" s="17"/>
    </row>
    <row r="103" spans="1:19" ht="18" customHeight="1" x14ac:dyDescent="0.2">
      <c r="A103" s="52"/>
      <c r="B103" s="49"/>
      <c r="C103" s="23" t="s">
        <v>29</v>
      </c>
      <c r="D103" s="24">
        <f t="shared" ref="D103:I103" si="48">D102-D101</f>
        <v>0</v>
      </c>
      <c r="E103" s="24">
        <f t="shared" si="48"/>
        <v>0</v>
      </c>
      <c r="F103" s="24">
        <f t="shared" si="48"/>
        <v>0</v>
      </c>
      <c r="G103" s="24">
        <f t="shared" si="48"/>
        <v>0</v>
      </c>
      <c r="H103" s="24">
        <f t="shared" si="48"/>
        <v>0</v>
      </c>
      <c r="I103" s="27">
        <f t="shared" si="48"/>
        <v>0</v>
      </c>
      <c r="J103" s="30">
        <f>SUM(D103:I103)</f>
        <v>0</v>
      </c>
      <c r="K103" s="29">
        <f t="shared" ref="K103:P103" si="49">K102-K101</f>
        <v>0</v>
      </c>
      <c r="L103" s="24">
        <f t="shared" si="49"/>
        <v>0</v>
      </c>
      <c r="M103" s="24">
        <f t="shared" si="49"/>
        <v>0</v>
      </c>
      <c r="N103" s="24">
        <f t="shared" si="49"/>
        <v>0</v>
      </c>
      <c r="O103" s="24">
        <f t="shared" si="49"/>
        <v>0</v>
      </c>
      <c r="P103" s="27">
        <f t="shared" si="49"/>
        <v>0</v>
      </c>
      <c r="Q103" s="30">
        <f>SUM(K103:P103)</f>
        <v>0</v>
      </c>
      <c r="R103" s="30">
        <f>J103+Q103</f>
        <v>0</v>
      </c>
      <c r="S103" s="17"/>
    </row>
    <row r="104" spans="1:19" ht="18" customHeight="1" thickBot="1" x14ac:dyDescent="0.25">
      <c r="A104" s="53"/>
      <c r="B104" s="50"/>
      <c r="C104" s="25" t="s">
        <v>30</v>
      </c>
      <c r="D104" s="20"/>
      <c r="E104" s="20"/>
      <c r="F104" s="20"/>
      <c r="G104" s="20"/>
      <c r="H104" s="20"/>
      <c r="I104" s="28"/>
      <c r="J104" s="21">
        <f>I104</f>
        <v>0</v>
      </c>
      <c r="K104" s="22"/>
      <c r="L104" s="20"/>
      <c r="M104" s="20"/>
      <c r="N104" s="20"/>
      <c r="O104" s="20"/>
      <c r="P104" s="28"/>
      <c r="Q104" s="21">
        <f>P104</f>
        <v>0</v>
      </c>
      <c r="R104" s="21">
        <f>Q104</f>
        <v>0</v>
      </c>
      <c r="S104" s="18"/>
    </row>
    <row r="105" spans="1:19" ht="18" customHeight="1" x14ac:dyDescent="0.2">
      <c r="A105" s="51">
        <v>25</v>
      </c>
      <c r="B105" s="48"/>
      <c r="C105" s="31" t="s">
        <v>27</v>
      </c>
      <c r="D105" s="8"/>
      <c r="E105" s="8"/>
      <c r="F105" s="8"/>
      <c r="G105" s="8"/>
      <c r="H105" s="8"/>
      <c r="I105" s="9"/>
      <c r="J105" s="10">
        <f>SUM(D105:I105)</f>
        <v>0</v>
      </c>
      <c r="K105" s="11"/>
      <c r="L105" s="8"/>
      <c r="M105" s="8"/>
      <c r="N105" s="8"/>
      <c r="O105" s="8"/>
      <c r="P105" s="9"/>
      <c r="Q105" s="10">
        <f>SUM(K105:P105)</f>
        <v>0</v>
      </c>
      <c r="R105" s="10">
        <f>J105+Q105</f>
        <v>0</v>
      </c>
      <c r="S105" s="16"/>
    </row>
    <row r="106" spans="1:19" ht="18" customHeight="1" x14ac:dyDescent="0.2">
      <c r="A106" s="52"/>
      <c r="B106" s="49"/>
      <c r="C106" s="7" t="s">
        <v>28</v>
      </c>
      <c r="D106" s="12"/>
      <c r="E106" s="12"/>
      <c r="F106" s="12"/>
      <c r="G106" s="12"/>
      <c r="H106" s="12"/>
      <c r="I106" s="13"/>
      <c r="J106" s="14">
        <f>SUM(D106:I106)</f>
        <v>0</v>
      </c>
      <c r="K106" s="15"/>
      <c r="L106" s="12"/>
      <c r="M106" s="12"/>
      <c r="N106" s="12"/>
      <c r="O106" s="12"/>
      <c r="P106" s="13"/>
      <c r="Q106" s="14">
        <f>SUM(K106:P106)</f>
        <v>0</v>
      </c>
      <c r="R106" s="14">
        <f>J106+Q106</f>
        <v>0</v>
      </c>
      <c r="S106" s="17"/>
    </row>
    <row r="107" spans="1:19" ht="18" customHeight="1" x14ac:dyDescent="0.2">
      <c r="A107" s="52"/>
      <c r="B107" s="49"/>
      <c r="C107" s="23" t="s">
        <v>29</v>
      </c>
      <c r="D107" s="24">
        <f t="shared" ref="D107:I107" si="50">D106-D105</f>
        <v>0</v>
      </c>
      <c r="E107" s="24">
        <f t="shared" si="50"/>
        <v>0</v>
      </c>
      <c r="F107" s="24">
        <f t="shared" si="50"/>
        <v>0</v>
      </c>
      <c r="G107" s="24">
        <f t="shared" si="50"/>
        <v>0</v>
      </c>
      <c r="H107" s="24">
        <f t="shared" si="50"/>
        <v>0</v>
      </c>
      <c r="I107" s="27">
        <f t="shared" si="50"/>
        <v>0</v>
      </c>
      <c r="J107" s="30">
        <f>SUM(D107:I107)</f>
        <v>0</v>
      </c>
      <c r="K107" s="29">
        <f t="shared" ref="K107:P107" si="51">K106-K105</f>
        <v>0</v>
      </c>
      <c r="L107" s="24">
        <f t="shared" si="51"/>
        <v>0</v>
      </c>
      <c r="M107" s="24">
        <f t="shared" si="51"/>
        <v>0</v>
      </c>
      <c r="N107" s="24">
        <f t="shared" si="51"/>
        <v>0</v>
      </c>
      <c r="O107" s="24">
        <f t="shared" si="51"/>
        <v>0</v>
      </c>
      <c r="P107" s="27">
        <f t="shared" si="51"/>
        <v>0</v>
      </c>
      <c r="Q107" s="30">
        <f>SUM(K107:P107)</f>
        <v>0</v>
      </c>
      <c r="R107" s="30">
        <f>J107+Q107</f>
        <v>0</v>
      </c>
      <c r="S107" s="17"/>
    </row>
    <row r="108" spans="1:19" ht="18" customHeight="1" thickBot="1" x14ac:dyDescent="0.25">
      <c r="A108" s="53"/>
      <c r="B108" s="50"/>
      <c r="C108" s="25" t="s">
        <v>30</v>
      </c>
      <c r="D108" s="20"/>
      <c r="E108" s="20"/>
      <c r="F108" s="20"/>
      <c r="G108" s="20"/>
      <c r="H108" s="20"/>
      <c r="I108" s="28"/>
      <c r="J108" s="21">
        <f>I108</f>
        <v>0</v>
      </c>
      <c r="K108" s="22"/>
      <c r="L108" s="20"/>
      <c r="M108" s="20"/>
      <c r="N108" s="20"/>
      <c r="O108" s="20"/>
      <c r="P108" s="28"/>
      <c r="Q108" s="21">
        <f>P108</f>
        <v>0</v>
      </c>
      <c r="R108" s="21">
        <f>Q108</f>
        <v>0</v>
      </c>
      <c r="S108" s="18"/>
    </row>
    <row r="109" spans="1:19" ht="18" customHeight="1" x14ac:dyDescent="0.2">
      <c r="A109" s="51"/>
      <c r="B109" s="54" t="s">
        <v>49</v>
      </c>
      <c r="C109" s="31" t="s">
        <v>27</v>
      </c>
      <c r="D109" s="8">
        <f t="shared" ref="D109:I110" si="52">D9+D13+D17+D21+D25+D29+D33+D37+D41+D45+D49+D53+D57+D61+D65+D69+D73+D77+D81+D85+D89+D93+D97+D101+D105</f>
        <v>98.000000000000014</v>
      </c>
      <c r="E109" s="8">
        <f t="shared" si="52"/>
        <v>134.74</v>
      </c>
      <c r="F109" s="8">
        <f t="shared" si="52"/>
        <v>157.595</v>
      </c>
      <c r="G109" s="8">
        <f t="shared" si="52"/>
        <v>240.87000000000003</v>
      </c>
      <c r="H109" s="8">
        <f t="shared" si="52"/>
        <v>196.85999999999999</v>
      </c>
      <c r="I109" s="9">
        <f t="shared" si="52"/>
        <v>185.53</v>
      </c>
      <c r="J109" s="10">
        <f>SUM(D109:I109)</f>
        <v>1013.595</v>
      </c>
      <c r="K109" s="11">
        <f t="shared" ref="K109:P110" si="53">K9+K13+K17+K21+K25+K29+K33+K37+K41+K45+K49+K53+K57+K61+K65+K69+K73+K77+K81+K85+K89+K93+K97+K101+K105</f>
        <v>156.85000000000002</v>
      </c>
      <c r="L109" s="8">
        <f t="shared" si="53"/>
        <v>260.53000000000003</v>
      </c>
      <c r="M109" s="8">
        <f t="shared" si="53"/>
        <v>226.51000000000002</v>
      </c>
      <c r="N109" s="8">
        <f t="shared" si="53"/>
        <v>150.42999999999998</v>
      </c>
      <c r="O109" s="8">
        <f t="shared" si="53"/>
        <v>103.62999999999998</v>
      </c>
      <c r="P109" s="9">
        <f t="shared" si="53"/>
        <v>205.56999999999996</v>
      </c>
      <c r="Q109" s="10">
        <f>SUM(K109:P109)</f>
        <v>1103.52</v>
      </c>
      <c r="R109" s="10">
        <f>J109+Q109</f>
        <v>2117.1149999999998</v>
      </c>
      <c r="S109" s="16"/>
    </row>
    <row r="110" spans="1:19" ht="18" customHeight="1" x14ac:dyDescent="0.2">
      <c r="A110" s="52"/>
      <c r="B110" s="49"/>
      <c r="C110" s="7" t="s">
        <v>28</v>
      </c>
      <c r="D110" s="12">
        <f t="shared" si="52"/>
        <v>226.87</v>
      </c>
      <c r="E110" s="12">
        <f t="shared" si="52"/>
        <v>170.93</v>
      </c>
      <c r="F110" s="12">
        <f t="shared" si="52"/>
        <v>189.91000000000008</v>
      </c>
      <c r="G110" s="12">
        <f t="shared" si="52"/>
        <v>267.44000000000005</v>
      </c>
      <c r="H110" s="12">
        <f t="shared" si="52"/>
        <v>0</v>
      </c>
      <c r="I110" s="13">
        <f t="shared" si="52"/>
        <v>0</v>
      </c>
      <c r="J110" s="14">
        <f>SUM(D110:I110)</f>
        <v>855.15000000000009</v>
      </c>
      <c r="K110" s="15">
        <f t="shared" si="53"/>
        <v>0</v>
      </c>
      <c r="L110" s="12">
        <f t="shared" si="53"/>
        <v>0</v>
      </c>
      <c r="M110" s="12">
        <f t="shared" si="53"/>
        <v>0</v>
      </c>
      <c r="N110" s="12">
        <f t="shared" si="53"/>
        <v>0</v>
      </c>
      <c r="O110" s="12">
        <f t="shared" si="53"/>
        <v>0</v>
      </c>
      <c r="P110" s="13">
        <f t="shared" si="53"/>
        <v>0</v>
      </c>
      <c r="Q110" s="14">
        <f>SUM(K110:P110)</f>
        <v>0</v>
      </c>
      <c r="R110" s="14">
        <f>J110+Q110</f>
        <v>855.15000000000009</v>
      </c>
      <c r="S110" s="17"/>
    </row>
    <row r="111" spans="1:19" ht="18" customHeight="1" x14ac:dyDescent="0.2">
      <c r="A111" s="52"/>
      <c r="B111" s="49"/>
      <c r="C111" s="23" t="s">
        <v>29</v>
      </c>
      <c r="D111" s="24">
        <f t="shared" ref="D111:I111" si="54">D110-D109</f>
        <v>128.87</v>
      </c>
      <c r="E111" s="24">
        <f t="shared" si="54"/>
        <v>36.19</v>
      </c>
      <c r="F111" s="24">
        <f t="shared" si="54"/>
        <v>32.315000000000083</v>
      </c>
      <c r="G111" s="24">
        <f t="shared" si="54"/>
        <v>26.570000000000022</v>
      </c>
      <c r="H111" s="24">
        <f t="shared" si="54"/>
        <v>-196.85999999999999</v>
      </c>
      <c r="I111" s="27">
        <f t="shared" si="54"/>
        <v>-185.53</v>
      </c>
      <c r="J111" s="30">
        <f>SUM(D111:I111)</f>
        <v>-158.44499999999988</v>
      </c>
      <c r="K111" s="29">
        <f t="shared" ref="K111:P111" si="55">K110-K109</f>
        <v>-156.85000000000002</v>
      </c>
      <c r="L111" s="24">
        <f t="shared" si="55"/>
        <v>-260.53000000000003</v>
      </c>
      <c r="M111" s="24">
        <f t="shared" si="55"/>
        <v>-226.51000000000002</v>
      </c>
      <c r="N111" s="24">
        <f t="shared" si="55"/>
        <v>-150.42999999999998</v>
      </c>
      <c r="O111" s="24">
        <f t="shared" si="55"/>
        <v>-103.62999999999998</v>
      </c>
      <c r="P111" s="27">
        <f t="shared" si="55"/>
        <v>-205.56999999999996</v>
      </c>
      <c r="Q111" s="30">
        <f>SUM(K111:P111)</f>
        <v>-1103.52</v>
      </c>
      <c r="R111" s="30">
        <f>J111+Q111</f>
        <v>-1261.9649999999999</v>
      </c>
      <c r="S111" s="17"/>
    </row>
    <row r="112" spans="1:19" ht="18" customHeight="1" thickBot="1" x14ac:dyDescent="0.25">
      <c r="A112" s="53"/>
      <c r="B112" s="50"/>
      <c r="C112" s="25" t="s">
        <v>30</v>
      </c>
      <c r="D112" s="20">
        <f t="shared" ref="D112:I112" si="56">D12+D16+D20+D24+D28+D32+D36+D40+D44+D48+D52+D56+D60+D64+D68+D72+D76+D80+D84+D88+D92+D96+D100+D104+D108</f>
        <v>0</v>
      </c>
      <c r="E112" s="20">
        <f t="shared" si="56"/>
        <v>0</v>
      </c>
      <c r="F112" s="20">
        <f t="shared" si="56"/>
        <v>0</v>
      </c>
      <c r="G112" s="20">
        <f t="shared" si="56"/>
        <v>0</v>
      </c>
      <c r="H112" s="20">
        <f t="shared" si="56"/>
        <v>0</v>
      </c>
      <c r="I112" s="28">
        <f t="shared" si="56"/>
        <v>0</v>
      </c>
      <c r="J112" s="21">
        <f>I112</f>
        <v>0</v>
      </c>
      <c r="K112" s="22">
        <f t="shared" ref="K112:P112" si="57">K12+K16+K20+K24+K28+K32+K36+K40+K44+K48+K52+K56+K60+K64+K68+K72+K76+K80+K84+K88+K92+K96+K100+K104+K108</f>
        <v>0</v>
      </c>
      <c r="L112" s="20">
        <f t="shared" si="57"/>
        <v>0</v>
      </c>
      <c r="M112" s="20">
        <f t="shared" si="57"/>
        <v>0</v>
      </c>
      <c r="N112" s="20">
        <f t="shared" si="57"/>
        <v>0</v>
      </c>
      <c r="O112" s="20">
        <f t="shared" si="57"/>
        <v>0</v>
      </c>
      <c r="P112" s="28">
        <f t="shared" si="57"/>
        <v>0</v>
      </c>
      <c r="Q112" s="21">
        <f>P112</f>
        <v>0</v>
      </c>
      <c r="R112" s="21">
        <f>Q112</f>
        <v>0</v>
      </c>
      <c r="S112" s="18"/>
    </row>
    <row r="113" spans="1:19" ht="18" customHeight="1" x14ac:dyDescent="0.2">
      <c r="A113" s="51"/>
      <c r="B113" s="48" t="s">
        <v>50</v>
      </c>
      <c r="C113" s="31" t="s">
        <v>27</v>
      </c>
      <c r="D113" s="8">
        <v>3.8</v>
      </c>
      <c r="E113" s="8">
        <v>7.1</v>
      </c>
      <c r="F113" s="8"/>
      <c r="G113" s="8">
        <v>13.36</v>
      </c>
      <c r="H113" s="8"/>
      <c r="I113" s="9">
        <v>7.1</v>
      </c>
      <c r="J113" s="10">
        <f>SUM(D113:I113)</f>
        <v>31.36</v>
      </c>
      <c r="K113" s="11">
        <v>9.8800000000000008</v>
      </c>
      <c r="L113" s="8">
        <v>5.46</v>
      </c>
      <c r="M113" s="8">
        <v>2.52</v>
      </c>
      <c r="N113" s="8">
        <v>7.36</v>
      </c>
      <c r="O113" s="8">
        <v>4.4000000000000004</v>
      </c>
      <c r="P113" s="9">
        <v>9.48</v>
      </c>
      <c r="Q113" s="10">
        <f>SUM(K113:P113)</f>
        <v>39.099999999999994</v>
      </c>
      <c r="R113" s="10">
        <f>J113+Q113</f>
        <v>70.459999999999994</v>
      </c>
      <c r="S113" s="16"/>
    </row>
    <row r="114" spans="1:19" ht="18" customHeight="1" x14ac:dyDescent="0.2">
      <c r="A114" s="52"/>
      <c r="B114" s="49"/>
      <c r="C114" s="7" t="s">
        <v>28</v>
      </c>
      <c r="D114" s="12">
        <v>3.7900000000000009</v>
      </c>
      <c r="E114" s="12">
        <v>6.46</v>
      </c>
      <c r="F114" s="12">
        <v>4.8900000000000006</v>
      </c>
      <c r="G114" s="12">
        <v>9.2799999999999994</v>
      </c>
      <c r="H114" s="12"/>
      <c r="I114" s="13"/>
      <c r="J114" s="14">
        <f>SUM(D114:I114)</f>
        <v>24.42</v>
      </c>
      <c r="K114" s="15"/>
      <c r="L114" s="12"/>
      <c r="M114" s="12"/>
      <c r="N114" s="12"/>
      <c r="O114" s="12"/>
      <c r="P114" s="13"/>
      <c r="Q114" s="14">
        <f>SUM(K114:P114)</f>
        <v>0</v>
      </c>
      <c r="R114" s="14">
        <f>J114+Q114</f>
        <v>24.42</v>
      </c>
      <c r="S114" s="17"/>
    </row>
    <row r="115" spans="1:19" ht="18" customHeight="1" x14ac:dyDescent="0.2">
      <c r="A115" s="52"/>
      <c r="B115" s="49"/>
      <c r="C115" s="23" t="s">
        <v>29</v>
      </c>
      <c r="D115" s="24">
        <f t="shared" ref="D115:I115" si="58">D114-D113</f>
        <v>-9.9999999999988987E-3</v>
      </c>
      <c r="E115" s="24">
        <f t="shared" si="58"/>
        <v>-0.63999999999999968</v>
      </c>
      <c r="F115" s="24">
        <f t="shared" si="58"/>
        <v>4.8900000000000006</v>
      </c>
      <c r="G115" s="24">
        <f t="shared" si="58"/>
        <v>-4.08</v>
      </c>
      <c r="H115" s="24">
        <f t="shared" si="58"/>
        <v>0</v>
      </c>
      <c r="I115" s="27">
        <f t="shared" si="58"/>
        <v>-7.1</v>
      </c>
      <c r="J115" s="30">
        <f>SUM(D115:I115)</f>
        <v>-6.9399999999999977</v>
      </c>
      <c r="K115" s="29">
        <f t="shared" ref="K115:P115" si="59">K114-K113</f>
        <v>-9.8800000000000008</v>
      </c>
      <c r="L115" s="24">
        <f t="shared" si="59"/>
        <v>-5.46</v>
      </c>
      <c r="M115" s="24">
        <f t="shared" si="59"/>
        <v>-2.52</v>
      </c>
      <c r="N115" s="24">
        <f t="shared" si="59"/>
        <v>-7.36</v>
      </c>
      <c r="O115" s="24">
        <f t="shared" si="59"/>
        <v>-4.4000000000000004</v>
      </c>
      <c r="P115" s="27">
        <f t="shared" si="59"/>
        <v>-9.48</v>
      </c>
      <c r="Q115" s="30">
        <f>SUM(K115:P115)</f>
        <v>-39.099999999999994</v>
      </c>
      <c r="R115" s="30">
        <f>J115+Q115</f>
        <v>-46.039999999999992</v>
      </c>
      <c r="S115" s="17"/>
    </row>
    <row r="116" spans="1:19" ht="18" customHeight="1" thickBot="1" x14ac:dyDescent="0.25">
      <c r="A116" s="53"/>
      <c r="B116" s="50"/>
      <c r="C116" s="25" t="s">
        <v>30</v>
      </c>
      <c r="D116" s="20"/>
      <c r="E116" s="20"/>
      <c r="F116" s="20"/>
      <c r="G116" s="20"/>
      <c r="H116" s="20"/>
      <c r="I116" s="28"/>
      <c r="J116" s="21">
        <f>I116</f>
        <v>0</v>
      </c>
      <c r="K116" s="22"/>
      <c r="L116" s="20"/>
      <c r="M116" s="20"/>
      <c r="N116" s="20"/>
      <c r="O116" s="20"/>
      <c r="P116" s="28"/>
      <c r="Q116" s="21">
        <f>P116</f>
        <v>0</v>
      </c>
      <c r="R116" s="21">
        <f>Q116</f>
        <v>0</v>
      </c>
      <c r="S116" s="18"/>
    </row>
    <row r="117" spans="1:19" ht="18" customHeight="1" thickBot="1" x14ac:dyDescent="0.25">
      <c r="A117" s="51"/>
      <c r="B117" s="54" t="s">
        <v>51</v>
      </c>
      <c r="C117" s="31" t="s">
        <v>27</v>
      </c>
      <c r="D117" s="8">
        <f t="shared" ref="D117:I118" si="60">D109+D113</f>
        <v>101.80000000000001</v>
      </c>
      <c r="E117" s="8">
        <f t="shared" si="60"/>
        <v>141.84</v>
      </c>
      <c r="F117" s="8">
        <f t="shared" si="60"/>
        <v>157.595</v>
      </c>
      <c r="G117" s="8">
        <f t="shared" si="60"/>
        <v>254.23000000000002</v>
      </c>
      <c r="H117" s="8">
        <f t="shared" si="60"/>
        <v>196.85999999999999</v>
      </c>
      <c r="I117" s="9">
        <f t="shared" si="60"/>
        <v>192.63</v>
      </c>
      <c r="J117" s="10">
        <f>SUM(D117:I117)</f>
        <v>1044.9549999999999</v>
      </c>
      <c r="K117" s="11">
        <f t="shared" ref="K117:P118" si="61">K109+K113</f>
        <v>166.73000000000002</v>
      </c>
      <c r="L117" s="8">
        <f t="shared" si="61"/>
        <v>265.99</v>
      </c>
      <c r="M117" s="8">
        <f t="shared" si="61"/>
        <v>229.03000000000003</v>
      </c>
      <c r="N117" s="8">
        <f t="shared" si="61"/>
        <v>157.79</v>
      </c>
      <c r="O117" s="8">
        <f t="shared" si="61"/>
        <v>108.02999999999999</v>
      </c>
      <c r="P117" s="9">
        <f t="shared" si="61"/>
        <v>215.04999999999995</v>
      </c>
      <c r="Q117" s="10">
        <f>SUM(K117:P117)</f>
        <v>1142.6199999999999</v>
      </c>
      <c r="R117" s="10">
        <f>J117+Q117</f>
        <v>2187.5749999999998</v>
      </c>
      <c r="S117" s="16"/>
    </row>
    <row r="118" spans="1:19" ht="18" customHeight="1" x14ac:dyDescent="0.2">
      <c r="A118" s="52"/>
      <c r="B118" s="49"/>
      <c r="C118" s="7" t="s">
        <v>28</v>
      </c>
      <c r="D118" s="12">
        <f t="shared" si="60"/>
        <v>230.66</v>
      </c>
      <c r="E118" s="12">
        <f t="shared" si="60"/>
        <v>177.39000000000001</v>
      </c>
      <c r="F118" s="12">
        <f t="shared" si="60"/>
        <v>194.80000000000007</v>
      </c>
      <c r="G118" s="12">
        <f t="shared" si="60"/>
        <v>276.72000000000003</v>
      </c>
      <c r="H118" s="12">
        <f t="shared" si="60"/>
        <v>0</v>
      </c>
      <c r="I118" s="13">
        <f t="shared" si="60"/>
        <v>0</v>
      </c>
      <c r="J118" s="14">
        <f>SUM(D118:I118)</f>
        <v>879.57000000000016</v>
      </c>
      <c r="K118" s="15">
        <f t="shared" si="61"/>
        <v>0</v>
      </c>
      <c r="L118" s="12">
        <f t="shared" si="61"/>
        <v>0</v>
      </c>
      <c r="M118" s="12">
        <f t="shared" si="61"/>
        <v>0</v>
      </c>
      <c r="N118" s="8">
        <f t="shared" si="61"/>
        <v>0</v>
      </c>
      <c r="O118" s="12">
        <f t="shared" si="61"/>
        <v>0</v>
      </c>
      <c r="P118" s="13">
        <f t="shared" si="61"/>
        <v>0</v>
      </c>
      <c r="Q118" s="14">
        <f>SUM(K118:P118)</f>
        <v>0</v>
      </c>
      <c r="R118" s="14">
        <f>J118+Q118</f>
        <v>879.57000000000016</v>
      </c>
      <c r="S118" s="17"/>
    </row>
    <row r="119" spans="1:19" ht="18" customHeight="1" x14ac:dyDescent="0.2">
      <c r="A119" s="52"/>
      <c r="B119" s="49"/>
      <c r="C119" s="23" t="s">
        <v>29</v>
      </c>
      <c r="D119" s="24">
        <f t="shared" ref="D119:I119" si="62">D118-D117</f>
        <v>128.85999999999999</v>
      </c>
      <c r="E119" s="24">
        <f t="shared" si="62"/>
        <v>35.550000000000011</v>
      </c>
      <c r="F119" s="24">
        <f t="shared" si="62"/>
        <v>37.205000000000069</v>
      </c>
      <c r="G119" s="24">
        <f t="shared" si="62"/>
        <v>22.490000000000009</v>
      </c>
      <c r="H119" s="24">
        <f t="shared" si="62"/>
        <v>-196.85999999999999</v>
      </c>
      <c r="I119" s="27">
        <f t="shared" si="62"/>
        <v>-192.63</v>
      </c>
      <c r="J119" s="30">
        <f>SUM(D119:I119)</f>
        <v>-165.38499999999991</v>
      </c>
      <c r="K119" s="29">
        <f t="shared" ref="K119:P119" si="63">K118-K117</f>
        <v>-166.73000000000002</v>
      </c>
      <c r="L119" s="24">
        <f t="shared" si="63"/>
        <v>-265.99</v>
      </c>
      <c r="M119" s="24">
        <f t="shared" si="63"/>
        <v>-229.03000000000003</v>
      </c>
      <c r="N119" s="24">
        <f t="shared" si="63"/>
        <v>-157.79</v>
      </c>
      <c r="O119" s="24">
        <f t="shared" si="63"/>
        <v>-108.02999999999999</v>
      </c>
      <c r="P119" s="27">
        <f t="shared" si="63"/>
        <v>-215.04999999999995</v>
      </c>
      <c r="Q119" s="30">
        <f>SUM(K119:P119)</f>
        <v>-1142.6199999999999</v>
      </c>
      <c r="R119" s="30">
        <f>J119+Q119</f>
        <v>-1308.0049999999999</v>
      </c>
      <c r="S119" s="17"/>
    </row>
    <row r="120" spans="1:19" ht="18" customHeight="1" thickBot="1" x14ac:dyDescent="0.25">
      <c r="A120" s="53"/>
      <c r="B120" s="50"/>
      <c r="C120" s="25" t="s">
        <v>30</v>
      </c>
      <c r="D120" s="20">
        <f t="shared" ref="D120:I120" si="64">D112+D116</f>
        <v>0</v>
      </c>
      <c r="E120" s="20">
        <f t="shared" si="64"/>
        <v>0</v>
      </c>
      <c r="F120" s="20">
        <f t="shared" si="64"/>
        <v>0</v>
      </c>
      <c r="G120" s="20">
        <f t="shared" si="64"/>
        <v>0</v>
      </c>
      <c r="H120" s="20">
        <f t="shared" si="64"/>
        <v>0</v>
      </c>
      <c r="I120" s="28">
        <f t="shared" si="64"/>
        <v>0</v>
      </c>
      <c r="J120" s="21">
        <f>I120</f>
        <v>0</v>
      </c>
      <c r="K120" s="22">
        <f t="shared" ref="K120:P120" si="65">K112+K116</f>
        <v>0</v>
      </c>
      <c r="L120" s="20">
        <f t="shared" si="65"/>
        <v>0</v>
      </c>
      <c r="M120" s="20">
        <f t="shared" si="65"/>
        <v>0</v>
      </c>
      <c r="N120" s="20">
        <f t="shared" si="65"/>
        <v>0</v>
      </c>
      <c r="O120" s="20">
        <f t="shared" si="65"/>
        <v>0</v>
      </c>
      <c r="P120" s="28">
        <f t="shared" si="65"/>
        <v>0</v>
      </c>
      <c r="Q120" s="21">
        <f>P120</f>
        <v>0</v>
      </c>
      <c r="R120" s="21">
        <f>Q120</f>
        <v>0</v>
      </c>
      <c r="S120" s="18"/>
    </row>
  </sheetData>
  <mergeCells count="58">
    <mergeCell ref="A3:A5"/>
    <mergeCell ref="A77:A80"/>
    <mergeCell ref="B45:B48"/>
    <mergeCell ref="B25:B28"/>
    <mergeCell ref="A73:A76"/>
    <mergeCell ref="A13:A16"/>
    <mergeCell ref="B41:B44"/>
    <mergeCell ref="B3:B5"/>
    <mergeCell ref="A9:A12"/>
    <mergeCell ref="B113:B116"/>
    <mergeCell ref="B89:B92"/>
    <mergeCell ref="B81:B84"/>
    <mergeCell ref="A37:A40"/>
    <mergeCell ref="B101:B104"/>
    <mergeCell ref="B57:B60"/>
    <mergeCell ref="A33:A36"/>
    <mergeCell ref="A85:A88"/>
    <mergeCell ref="A49:A52"/>
    <mergeCell ref="B13:B16"/>
    <mergeCell ref="A101:A104"/>
    <mergeCell ref="B53:B56"/>
    <mergeCell ref="B9:B12"/>
    <mergeCell ref="B69:B72"/>
    <mergeCell ref="A17:A20"/>
    <mergeCell ref="A53:A56"/>
    <mergeCell ref="B37:B40"/>
    <mergeCell ref="B17:B20"/>
    <mergeCell ref="B61:B64"/>
    <mergeCell ref="A21:A24"/>
    <mergeCell ref="B29:B32"/>
    <mergeCell ref="A29:A32"/>
    <mergeCell ref="B33:B36"/>
    <mergeCell ref="B21:B24"/>
    <mergeCell ref="A25:A28"/>
    <mergeCell ref="A41:A44"/>
    <mergeCell ref="A113:A116"/>
    <mergeCell ref="A81:A84"/>
    <mergeCell ref="A57:A60"/>
    <mergeCell ref="B97:B100"/>
    <mergeCell ref="B109:B112"/>
    <mergeCell ref="A61:A64"/>
    <mergeCell ref="A69:A72"/>
    <mergeCell ref="A45:A48"/>
    <mergeCell ref="B77:B80"/>
    <mergeCell ref="B93:B96"/>
    <mergeCell ref="A97:A100"/>
    <mergeCell ref="A65:A68"/>
    <mergeCell ref="A89:A92"/>
    <mergeCell ref="A109:A112"/>
    <mergeCell ref="B105:B108"/>
    <mergeCell ref="B49:B52"/>
    <mergeCell ref="B65:B68"/>
    <mergeCell ref="A93:A96"/>
    <mergeCell ref="B117:B120"/>
    <mergeCell ref="A105:A108"/>
    <mergeCell ref="B85:B88"/>
    <mergeCell ref="B73:B76"/>
    <mergeCell ref="A117:A120"/>
  </mergeCells>
  <phoneticPr fontId="1"/>
  <printOptions horizontalCentered="1"/>
  <pageMargins left="0.7" right="0.7" top="0.75" bottom="0.75" header="0.3" footer="0.3"/>
  <pageSetup paperSize="8" scale="6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212"/>
  <sheetViews>
    <sheetView zoomScaleNormal="100" workbookViewId="0">
      <pane xSplit="3" ySplit="4" topLeftCell="D65" activePane="bottomRight" state="frozen"/>
      <selection pane="topRight" activeCell="C1" sqref="C1"/>
      <selection pane="bottomLeft" activeCell="A5" sqref="A5"/>
      <selection pane="bottomRight" activeCell="E76" sqref="E76"/>
    </sheetView>
  </sheetViews>
  <sheetFormatPr defaultRowHeight="13" x14ac:dyDescent="0.2"/>
  <cols>
    <col min="1" max="1" width="5.26953125" style="47" customWidth="1"/>
    <col min="2" max="2" width="21" style="47" customWidth="1"/>
    <col min="3" max="3" width="9" style="47" bestFit="1" customWidth="1"/>
    <col min="18" max="18" width="10.08984375" style="47" bestFit="1" customWidth="1"/>
    <col min="19" max="19" width="35.7265625" style="47" bestFit="1" customWidth="1"/>
  </cols>
  <sheetData>
    <row r="1" spans="1:19" ht="16.5" customHeight="1" x14ac:dyDescent="0.2">
      <c r="A1" s="1" t="s">
        <v>52</v>
      </c>
      <c r="G1" s="1" t="s">
        <v>1</v>
      </c>
      <c r="S1" s="39" t="s">
        <v>2</v>
      </c>
    </row>
    <row r="2" spans="1:19" ht="13.5" customHeight="1" x14ac:dyDescent="0.2">
      <c r="B2" s="1"/>
      <c r="G2" s="1"/>
      <c r="S2" s="39"/>
    </row>
    <row r="3" spans="1:19" ht="13.5" customHeight="1" thickBot="1" x14ac:dyDescent="0.25">
      <c r="K3" s="19"/>
      <c r="S3" s="39" t="s">
        <v>7</v>
      </c>
    </row>
    <row r="4" spans="1:19" ht="18" customHeight="1" thickBot="1" x14ac:dyDescent="0.25">
      <c r="A4" s="26"/>
      <c r="B4" s="2" t="s">
        <v>53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3" t="s">
        <v>15</v>
      </c>
      <c r="J4" s="4" t="s">
        <v>16</v>
      </c>
      <c r="K4" s="5" t="s">
        <v>17</v>
      </c>
      <c r="L4" s="2" t="s">
        <v>18</v>
      </c>
      <c r="M4" s="2" t="s">
        <v>19</v>
      </c>
      <c r="N4" s="2" t="s">
        <v>20</v>
      </c>
      <c r="O4" s="2" t="s">
        <v>21</v>
      </c>
      <c r="P4" s="3" t="s">
        <v>22</v>
      </c>
      <c r="Q4" s="4" t="s">
        <v>23</v>
      </c>
      <c r="R4" s="4" t="s">
        <v>24</v>
      </c>
      <c r="S4" s="6" t="s">
        <v>25</v>
      </c>
    </row>
    <row r="5" spans="1:19" ht="18" customHeight="1" x14ac:dyDescent="0.2">
      <c r="A5" s="51">
        <v>1</v>
      </c>
      <c r="B5" s="48" t="s">
        <v>54</v>
      </c>
      <c r="C5" s="31" t="s">
        <v>27</v>
      </c>
      <c r="D5" s="8"/>
      <c r="E5" s="8"/>
      <c r="F5" s="8"/>
      <c r="G5" s="8"/>
      <c r="H5" s="8">
        <v>0.57999999999999996</v>
      </c>
      <c r="I5" s="9">
        <v>1.28</v>
      </c>
      <c r="J5" s="10">
        <f>SUM(D5:I5)</f>
        <v>1.8599999999999999</v>
      </c>
      <c r="K5" s="11">
        <v>2.72</v>
      </c>
      <c r="L5" s="8"/>
      <c r="M5" s="8"/>
      <c r="N5" s="8"/>
      <c r="O5" s="8">
        <v>0.14000000000000001</v>
      </c>
      <c r="P5" s="9"/>
      <c r="Q5" s="10">
        <f>SUM(K5:P5)</f>
        <v>2.8600000000000003</v>
      </c>
      <c r="R5" s="10">
        <f>J5+Q5</f>
        <v>4.7200000000000006</v>
      </c>
      <c r="S5" s="16"/>
    </row>
    <row r="6" spans="1:19" ht="18" customHeight="1" x14ac:dyDescent="0.2">
      <c r="A6" s="52"/>
      <c r="B6" s="49"/>
      <c r="C6" s="7" t="s">
        <v>28</v>
      </c>
      <c r="D6" s="12"/>
      <c r="E6" s="12"/>
      <c r="F6" s="12"/>
      <c r="G6" s="12"/>
      <c r="H6" s="12"/>
      <c r="I6" s="13"/>
      <c r="J6" s="14">
        <f>SUM(D6:I6)</f>
        <v>0</v>
      </c>
      <c r="K6" s="15"/>
      <c r="L6" s="12"/>
      <c r="M6" s="12"/>
      <c r="N6" s="12"/>
      <c r="O6" s="12"/>
      <c r="P6" s="13"/>
      <c r="Q6" s="14">
        <f>SUM(K6:P6)</f>
        <v>0</v>
      </c>
      <c r="R6" s="14">
        <f>J6+Q6</f>
        <v>0</v>
      </c>
      <c r="S6" s="17"/>
    </row>
    <row r="7" spans="1:19" ht="18" customHeight="1" x14ac:dyDescent="0.2">
      <c r="A7" s="52"/>
      <c r="B7" s="49"/>
      <c r="C7" s="23" t="s">
        <v>29</v>
      </c>
      <c r="D7" s="24">
        <f t="shared" ref="D7:I7" si="0">D6-D5</f>
        <v>0</v>
      </c>
      <c r="E7" s="24">
        <f t="shared" si="0"/>
        <v>0</v>
      </c>
      <c r="F7" s="24">
        <f t="shared" si="0"/>
        <v>0</v>
      </c>
      <c r="G7" s="24">
        <f t="shared" si="0"/>
        <v>0</v>
      </c>
      <c r="H7" s="24">
        <f t="shared" si="0"/>
        <v>-0.57999999999999996</v>
      </c>
      <c r="I7" s="27">
        <f t="shared" si="0"/>
        <v>-1.28</v>
      </c>
      <c r="J7" s="30">
        <f>SUM(D7:I7)</f>
        <v>-1.8599999999999999</v>
      </c>
      <c r="K7" s="29">
        <f t="shared" ref="K7:P7" si="1">K6-K5</f>
        <v>-2.72</v>
      </c>
      <c r="L7" s="24">
        <f t="shared" si="1"/>
        <v>0</v>
      </c>
      <c r="M7" s="24">
        <f t="shared" si="1"/>
        <v>0</v>
      </c>
      <c r="N7" s="24">
        <f t="shared" si="1"/>
        <v>0</v>
      </c>
      <c r="O7" s="24">
        <f t="shared" si="1"/>
        <v>-0.14000000000000001</v>
      </c>
      <c r="P7" s="27">
        <f t="shared" si="1"/>
        <v>0</v>
      </c>
      <c r="Q7" s="30">
        <f>SUM(K7:P7)</f>
        <v>-2.8600000000000003</v>
      </c>
      <c r="R7" s="30">
        <f>J7+Q7</f>
        <v>-4.7200000000000006</v>
      </c>
      <c r="S7" s="17"/>
    </row>
    <row r="8" spans="1:19" ht="18" customHeight="1" thickBot="1" x14ac:dyDescent="0.25">
      <c r="A8" s="53"/>
      <c r="B8" s="50"/>
      <c r="C8" s="25" t="s">
        <v>30</v>
      </c>
      <c r="D8" s="20"/>
      <c r="E8" s="20"/>
      <c r="F8" s="20"/>
      <c r="G8" s="20"/>
      <c r="H8" s="20"/>
      <c r="I8" s="28"/>
      <c r="J8" s="21">
        <f>I8</f>
        <v>0</v>
      </c>
      <c r="K8" s="22"/>
      <c r="L8" s="20"/>
      <c r="M8" s="20"/>
      <c r="N8" s="20"/>
      <c r="O8" s="20"/>
      <c r="P8" s="28"/>
      <c r="Q8" s="21">
        <f>P8</f>
        <v>0</v>
      </c>
      <c r="R8" s="21">
        <f>Q8</f>
        <v>0</v>
      </c>
      <c r="S8" s="18"/>
    </row>
    <row r="9" spans="1:19" ht="18" customHeight="1" x14ac:dyDescent="0.2">
      <c r="A9" s="51">
        <v>2</v>
      </c>
      <c r="B9" s="48" t="s">
        <v>55</v>
      </c>
      <c r="C9" s="31" t="s">
        <v>27</v>
      </c>
      <c r="D9" s="8">
        <v>1.2</v>
      </c>
      <c r="E9" s="8">
        <v>1.74</v>
      </c>
      <c r="F9" s="8">
        <v>16</v>
      </c>
      <c r="G9" s="8">
        <v>0.9</v>
      </c>
      <c r="H9" s="8">
        <v>0.26</v>
      </c>
      <c r="I9" s="9">
        <v>0.4</v>
      </c>
      <c r="J9" s="10">
        <f>SUM(D9:I9)</f>
        <v>20.5</v>
      </c>
      <c r="K9" s="11">
        <v>0.36</v>
      </c>
      <c r="L9" s="8">
        <v>5.38</v>
      </c>
      <c r="M9" s="8"/>
      <c r="N9" s="8"/>
      <c r="O9" s="8"/>
      <c r="P9" s="9"/>
      <c r="Q9" s="10">
        <f>SUM(K9:P9)</f>
        <v>5.74</v>
      </c>
      <c r="R9" s="10">
        <f>J9+Q9</f>
        <v>26.240000000000002</v>
      </c>
      <c r="S9" s="16"/>
    </row>
    <row r="10" spans="1:19" ht="18" customHeight="1" x14ac:dyDescent="0.2">
      <c r="A10" s="52"/>
      <c r="B10" s="49"/>
      <c r="C10" s="7" t="s">
        <v>28</v>
      </c>
      <c r="D10" s="12"/>
      <c r="E10" s="12"/>
      <c r="F10" s="12"/>
      <c r="G10" s="12"/>
      <c r="H10" s="12"/>
      <c r="I10" s="13"/>
      <c r="J10" s="14">
        <f>SUM(D10:I10)</f>
        <v>0</v>
      </c>
      <c r="K10" s="15"/>
      <c r="L10" s="12"/>
      <c r="M10" s="12"/>
      <c r="N10" s="12"/>
      <c r="O10" s="12"/>
      <c r="P10" s="13"/>
      <c r="Q10" s="14">
        <f>SUM(K10:P10)</f>
        <v>0</v>
      </c>
      <c r="R10" s="14">
        <f>J10+Q10</f>
        <v>0</v>
      </c>
      <c r="S10" s="17"/>
    </row>
    <row r="11" spans="1:19" ht="18" customHeight="1" x14ac:dyDescent="0.2">
      <c r="A11" s="52"/>
      <c r="B11" s="49"/>
      <c r="C11" s="23" t="s">
        <v>29</v>
      </c>
      <c r="D11" s="24">
        <f t="shared" ref="D11:I11" si="2">D10-D9</f>
        <v>-1.2</v>
      </c>
      <c r="E11" s="24">
        <f t="shared" si="2"/>
        <v>-1.74</v>
      </c>
      <c r="F11" s="24">
        <f t="shared" si="2"/>
        <v>-16</v>
      </c>
      <c r="G11" s="24">
        <f t="shared" si="2"/>
        <v>-0.9</v>
      </c>
      <c r="H11" s="24">
        <f t="shared" si="2"/>
        <v>-0.26</v>
      </c>
      <c r="I11" s="27">
        <f t="shared" si="2"/>
        <v>-0.4</v>
      </c>
      <c r="J11" s="30">
        <f>SUM(D11:I11)</f>
        <v>-20.5</v>
      </c>
      <c r="K11" s="29">
        <f t="shared" ref="K11:P11" si="3">K10-K9</f>
        <v>-0.36</v>
      </c>
      <c r="L11" s="24">
        <f t="shared" si="3"/>
        <v>-5.38</v>
      </c>
      <c r="M11" s="24">
        <f t="shared" si="3"/>
        <v>0</v>
      </c>
      <c r="N11" s="24">
        <f t="shared" si="3"/>
        <v>0</v>
      </c>
      <c r="O11" s="24">
        <f t="shared" si="3"/>
        <v>0</v>
      </c>
      <c r="P11" s="27">
        <f t="shared" si="3"/>
        <v>0</v>
      </c>
      <c r="Q11" s="30">
        <f>SUM(K11:P11)</f>
        <v>-5.74</v>
      </c>
      <c r="R11" s="30">
        <f>J11+Q11</f>
        <v>-26.240000000000002</v>
      </c>
      <c r="S11" s="17"/>
    </row>
    <row r="12" spans="1:19" ht="18" customHeight="1" thickBot="1" x14ac:dyDescent="0.25">
      <c r="A12" s="53"/>
      <c r="B12" s="50"/>
      <c r="C12" s="25" t="s">
        <v>30</v>
      </c>
      <c r="D12" s="20"/>
      <c r="E12" s="20"/>
      <c r="F12" s="20"/>
      <c r="G12" s="20"/>
      <c r="H12" s="20"/>
      <c r="I12" s="28"/>
      <c r="J12" s="21">
        <f>I12</f>
        <v>0</v>
      </c>
      <c r="K12" s="22"/>
      <c r="L12" s="20"/>
      <c r="M12" s="20"/>
      <c r="N12" s="20"/>
      <c r="O12" s="20"/>
      <c r="P12" s="28"/>
      <c r="Q12" s="21">
        <f>P12</f>
        <v>0</v>
      </c>
      <c r="R12" s="21">
        <f>Q12</f>
        <v>0</v>
      </c>
      <c r="S12" s="18"/>
    </row>
    <row r="13" spans="1:19" ht="18" customHeight="1" x14ac:dyDescent="0.2">
      <c r="A13" s="51">
        <v>3</v>
      </c>
      <c r="B13" s="48" t="s">
        <v>56</v>
      </c>
      <c r="C13" s="31" t="s">
        <v>27</v>
      </c>
      <c r="D13" s="8"/>
      <c r="E13" s="8"/>
      <c r="F13" s="8">
        <v>0.14000000000000001</v>
      </c>
      <c r="G13" s="8">
        <v>0.26</v>
      </c>
      <c r="H13" s="8">
        <v>1.2</v>
      </c>
      <c r="I13" s="9"/>
      <c r="J13" s="10">
        <f>SUM(D13:I13)</f>
        <v>1.6</v>
      </c>
      <c r="K13" s="11"/>
      <c r="L13" s="8"/>
      <c r="M13" s="8"/>
      <c r="N13" s="8">
        <v>3.04</v>
      </c>
      <c r="O13" s="8"/>
      <c r="P13" s="9"/>
      <c r="Q13" s="10">
        <f>SUM(K13:P13)</f>
        <v>3.04</v>
      </c>
      <c r="R13" s="10">
        <f>J13+Q13</f>
        <v>4.6400000000000006</v>
      </c>
      <c r="S13" s="16"/>
    </row>
    <row r="14" spans="1:19" ht="18" customHeight="1" x14ac:dyDescent="0.2">
      <c r="A14" s="52"/>
      <c r="B14" s="49"/>
      <c r="C14" s="7" t="s">
        <v>28</v>
      </c>
      <c r="D14" s="12"/>
      <c r="E14" s="12"/>
      <c r="F14" s="12"/>
      <c r="G14" s="12"/>
      <c r="H14" s="12"/>
      <c r="I14" s="13"/>
      <c r="J14" s="14">
        <f>SUM(D14:I14)</f>
        <v>0</v>
      </c>
      <c r="K14" s="15"/>
      <c r="L14" s="12"/>
      <c r="M14" s="12"/>
      <c r="N14" s="12"/>
      <c r="O14" s="12"/>
      <c r="P14" s="13"/>
      <c r="Q14" s="14">
        <f>SUM(K14:P14)</f>
        <v>0</v>
      </c>
      <c r="R14" s="14">
        <f>J14+Q14</f>
        <v>0</v>
      </c>
      <c r="S14" s="17"/>
    </row>
    <row r="15" spans="1:19" ht="18" customHeight="1" x14ac:dyDescent="0.2">
      <c r="A15" s="52"/>
      <c r="B15" s="49"/>
      <c r="C15" s="23" t="s">
        <v>29</v>
      </c>
      <c r="D15" s="24">
        <f t="shared" ref="D15:I15" si="4">D14-D13</f>
        <v>0</v>
      </c>
      <c r="E15" s="24">
        <f t="shared" si="4"/>
        <v>0</v>
      </c>
      <c r="F15" s="24">
        <f t="shared" si="4"/>
        <v>-0.14000000000000001</v>
      </c>
      <c r="G15" s="24">
        <f t="shared" si="4"/>
        <v>-0.26</v>
      </c>
      <c r="H15" s="24">
        <f t="shared" si="4"/>
        <v>-1.2</v>
      </c>
      <c r="I15" s="27">
        <f t="shared" si="4"/>
        <v>0</v>
      </c>
      <c r="J15" s="30">
        <f>SUM(D15:I15)</f>
        <v>-1.6</v>
      </c>
      <c r="K15" s="29">
        <f t="shared" ref="K15:P15" si="5">K14-K13</f>
        <v>0</v>
      </c>
      <c r="L15" s="24">
        <f t="shared" si="5"/>
        <v>0</v>
      </c>
      <c r="M15" s="24">
        <f t="shared" si="5"/>
        <v>0</v>
      </c>
      <c r="N15" s="24">
        <f t="shared" si="5"/>
        <v>-3.04</v>
      </c>
      <c r="O15" s="24">
        <f t="shared" si="5"/>
        <v>0</v>
      </c>
      <c r="P15" s="27">
        <f t="shared" si="5"/>
        <v>0</v>
      </c>
      <c r="Q15" s="30">
        <f>SUM(K15:P15)</f>
        <v>-3.04</v>
      </c>
      <c r="R15" s="30">
        <f>J15+Q15</f>
        <v>-4.6400000000000006</v>
      </c>
      <c r="S15" s="17"/>
    </row>
    <row r="16" spans="1:19" ht="18" customHeight="1" thickBot="1" x14ac:dyDescent="0.25">
      <c r="A16" s="53"/>
      <c r="B16" s="50"/>
      <c r="C16" s="25" t="s">
        <v>30</v>
      </c>
      <c r="D16" s="20"/>
      <c r="E16" s="20"/>
      <c r="F16" s="20"/>
      <c r="G16" s="20"/>
      <c r="H16" s="20"/>
      <c r="I16" s="28"/>
      <c r="J16" s="21">
        <f>I16</f>
        <v>0</v>
      </c>
      <c r="K16" s="22"/>
      <c r="L16" s="20"/>
      <c r="M16" s="20"/>
      <c r="N16" s="20"/>
      <c r="O16" s="20"/>
      <c r="P16" s="28"/>
      <c r="Q16" s="21">
        <f>P16</f>
        <v>0</v>
      </c>
      <c r="R16" s="21">
        <f>Q16</f>
        <v>0</v>
      </c>
      <c r="S16" s="18"/>
    </row>
    <row r="17" spans="1:19" ht="18" customHeight="1" x14ac:dyDescent="0.2">
      <c r="A17" s="51">
        <v>4</v>
      </c>
      <c r="B17" s="48" t="s">
        <v>57</v>
      </c>
      <c r="C17" s="31" t="s">
        <v>27</v>
      </c>
      <c r="D17" s="8">
        <v>0.4</v>
      </c>
      <c r="E17" s="8">
        <v>0.14000000000000001</v>
      </c>
      <c r="F17" s="8"/>
      <c r="G17" s="8"/>
      <c r="H17" s="8">
        <v>0.23</v>
      </c>
      <c r="I17" s="9">
        <v>0.22</v>
      </c>
      <c r="J17" s="10">
        <f>SUM(D17:I17)</f>
        <v>0.99</v>
      </c>
      <c r="K17" s="11"/>
      <c r="L17" s="8">
        <v>5.86</v>
      </c>
      <c r="M17" s="8"/>
      <c r="N17" s="8"/>
      <c r="O17" s="8"/>
      <c r="P17" s="9"/>
      <c r="Q17" s="10">
        <f>SUM(K17:P17)</f>
        <v>5.86</v>
      </c>
      <c r="R17" s="10">
        <f>J17+Q17</f>
        <v>6.8500000000000005</v>
      </c>
      <c r="S17" s="16"/>
    </row>
    <row r="18" spans="1:19" ht="18" customHeight="1" x14ac:dyDescent="0.2">
      <c r="A18" s="52"/>
      <c r="B18" s="49"/>
      <c r="C18" s="7" t="s">
        <v>28</v>
      </c>
      <c r="D18" s="12"/>
      <c r="E18" s="12"/>
      <c r="F18" s="12"/>
      <c r="G18" s="12"/>
      <c r="H18" s="12"/>
      <c r="I18" s="13"/>
      <c r="J18" s="14">
        <f>SUM(D18:I18)</f>
        <v>0</v>
      </c>
      <c r="K18" s="15"/>
      <c r="L18" s="12"/>
      <c r="M18" s="12"/>
      <c r="N18" s="12"/>
      <c r="O18" s="12"/>
      <c r="P18" s="13"/>
      <c r="Q18" s="14">
        <f>SUM(K18:P18)</f>
        <v>0</v>
      </c>
      <c r="R18" s="14">
        <f>J18+Q18</f>
        <v>0</v>
      </c>
      <c r="S18" s="17"/>
    </row>
    <row r="19" spans="1:19" ht="18" customHeight="1" x14ac:dyDescent="0.2">
      <c r="A19" s="52"/>
      <c r="B19" s="49"/>
      <c r="C19" s="23" t="s">
        <v>29</v>
      </c>
      <c r="D19" s="24">
        <f t="shared" ref="D19:I19" si="6">D18-D17</f>
        <v>-0.4</v>
      </c>
      <c r="E19" s="24">
        <f t="shared" si="6"/>
        <v>-0.14000000000000001</v>
      </c>
      <c r="F19" s="24">
        <f t="shared" si="6"/>
        <v>0</v>
      </c>
      <c r="G19" s="24">
        <f t="shared" si="6"/>
        <v>0</v>
      </c>
      <c r="H19" s="24">
        <f t="shared" si="6"/>
        <v>-0.23</v>
      </c>
      <c r="I19" s="27">
        <f t="shared" si="6"/>
        <v>-0.22</v>
      </c>
      <c r="J19" s="30">
        <f>SUM(D19:I19)</f>
        <v>-0.99</v>
      </c>
      <c r="K19" s="29">
        <f t="shared" ref="K19:P19" si="7">K18-K17</f>
        <v>0</v>
      </c>
      <c r="L19" s="24">
        <f t="shared" si="7"/>
        <v>-5.86</v>
      </c>
      <c r="M19" s="24">
        <f t="shared" si="7"/>
        <v>0</v>
      </c>
      <c r="N19" s="24">
        <f t="shared" si="7"/>
        <v>0</v>
      </c>
      <c r="O19" s="24">
        <f t="shared" si="7"/>
        <v>0</v>
      </c>
      <c r="P19" s="27">
        <f t="shared" si="7"/>
        <v>0</v>
      </c>
      <c r="Q19" s="30">
        <f>SUM(K19:P19)</f>
        <v>-5.86</v>
      </c>
      <c r="R19" s="30">
        <f>J19+Q19</f>
        <v>-6.8500000000000005</v>
      </c>
      <c r="S19" s="17"/>
    </row>
    <row r="20" spans="1:19" ht="18" customHeight="1" thickBot="1" x14ac:dyDescent="0.25">
      <c r="A20" s="53"/>
      <c r="B20" s="50"/>
      <c r="C20" s="25" t="s">
        <v>30</v>
      </c>
      <c r="D20" s="20"/>
      <c r="E20" s="20"/>
      <c r="F20" s="20"/>
      <c r="G20" s="20"/>
      <c r="H20" s="20"/>
      <c r="I20" s="28"/>
      <c r="J20" s="21">
        <f>I20</f>
        <v>0</v>
      </c>
      <c r="K20" s="22"/>
      <c r="L20" s="20"/>
      <c r="M20" s="20"/>
      <c r="N20" s="20"/>
      <c r="O20" s="20"/>
      <c r="P20" s="28"/>
      <c r="Q20" s="21">
        <f>P20</f>
        <v>0</v>
      </c>
      <c r="R20" s="21">
        <f>Q20</f>
        <v>0</v>
      </c>
      <c r="S20" s="18"/>
    </row>
    <row r="21" spans="1:19" ht="18" customHeight="1" x14ac:dyDescent="0.2">
      <c r="A21" s="51">
        <v>5</v>
      </c>
      <c r="B21" s="48" t="s">
        <v>58</v>
      </c>
      <c r="C21" s="31" t="s">
        <v>27</v>
      </c>
      <c r="D21" s="8">
        <v>1.2</v>
      </c>
      <c r="E21" s="8"/>
      <c r="F21" s="8">
        <v>2.16</v>
      </c>
      <c r="G21" s="8">
        <v>1.66</v>
      </c>
      <c r="H21" s="8">
        <v>8.4600000000000009</v>
      </c>
      <c r="I21" s="9">
        <v>5.26</v>
      </c>
      <c r="J21" s="10">
        <f>SUM(D21:I21)</f>
        <v>18.740000000000002</v>
      </c>
      <c r="K21" s="11"/>
      <c r="L21" s="8">
        <v>5.98</v>
      </c>
      <c r="M21" s="8">
        <v>4.34</v>
      </c>
      <c r="N21" s="8"/>
      <c r="O21" s="8"/>
      <c r="P21" s="9"/>
      <c r="Q21" s="10">
        <f>SUM(K21:P21)</f>
        <v>10.32</v>
      </c>
      <c r="R21" s="10">
        <f>J21+Q21</f>
        <v>29.060000000000002</v>
      </c>
      <c r="S21" s="16"/>
    </row>
    <row r="22" spans="1:19" ht="18" customHeight="1" x14ac:dyDescent="0.2">
      <c r="A22" s="52"/>
      <c r="B22" s="49"/>
      <c r="C22" s="7" t="s">
        <v>28</v>
      </c>
      <c r="D22" s="12"/>
      <c r="E22" s="12"/>
      <c r="F22" s="12"/>
      <c r="G22" s="12"/>
      <c r="H22" s="12"/>
      <c r="I22" s="13"/>
      <c r="J22" s="14">
        <f>SUM(D22:I22)</f>
        <v>0</v>
      </c>
      <c r="K22" s="15"/>
      <c r="L22" s="12"/>
      <c r="M22" s="12"/>
      <c r="N22" s="12"/>
      <c r="O22" s="12"/>
      <c r="P22" s="13"/>
      <c r="Q22" s="14">
        <f>SUM(K22:P22)</f>
        <v>0</v>
      </c>
      <c r="R22" s="14">
        <f>J22+Q22</f>
        <v>0</v>
      </c>
      <c r="S22" s="17"/>
    </row>
    <row r="23" spans="1:19" ht="18" customHeight="1" x14ac:dyDescent="0.2">
      <c r="A23" s="52"/>
      <c r="B23" s="49"/>
      <c r="C23" s="23" t="s">
        <v>29</v>
      </c>
      <c r="D23" s="24">
        <f t="shared" ref="D23:I23" si="8">D22-D21</f>
        <v>-1.2</v>
      </c>
      <c r="E23" s="24">
        <f t="shared" si="8"/>
        <v>0</v>
      </c>
      <c r="F23" s="24">
        <f t="shared" si="8"/>
        <v>-2.16</v>
      </c>
      <c r="G23" s="24">
        <f t="shared" si="8"/>
        <v>-1.66</v>
      </c>
      <c r="H23" s="24">
        <f t="shared" si="8"/>
        <v>-8.4600000000000009</v>
      </c>
      <c r="I23" s="27">
        <f t="shared" si="8"/>
        <v>-5.26</v>
      </c>
      <c r="J23" s="30">
        <f>SUM(D23:I23)</f>
        <v>-18.740000000000002</v>
      </c>
      <c r="K23" s="29">
        <f t="shared" ref="K23:P23" si="9">K22-K21</f>
        <v>0</v>
      </c>
      <c r="L23" s="24">
        <f t="shared" si="9"/>
        <v>-5.98</v>
      </c>
      <c r="M23" s="24">
        <f t="shared" si="9"/>
        <v>-4.34</v>
      </c>
      <c r="N23" s="24">
        <f t="shared" si="9"/>
        <v>0</v>
      </c>
      <c r="O23" s="24">
        <f t="shared" si="9"/>
        <v>0</v>
      </c>
      <c r="P23" s="27">
        <f t="shared" si="9"/>
        <v>0</v>
      </c>
      <c r="Q23" s="30">
        <f>SUM(K23:P23)</f>
        <v>-10.32</v>
      </c>
      <c r="R23" s="30">
        <f>J23+Q23</f>
        <v>-29.060000000000002</v>
      </c>
      <c r="S23" s="17"/>
    </row>
    <row r="24" spans="1:19" ht="18" customHeight="1" thickBot="1" x14ac:dyDescent="0.25">
      <c r="A24" s="53"/>
      <c r="B24" s="50"/>
      <c r="C24" s="25" t="s">
        <v>30</v>
      </c>
      <c r="D24" s="20"/>
      <c r="E24" s="20"/>
      <c r="F24" s="20"/>
      <c r="G24" s="20"/>
      <c r="H24" s="20"/>
      <c r="I24" s="28"/>
      <c r="J24" s="21">
        <f>I24</f>
        <v>0</v>
      </c>
      <c r="K24" s="22"/>
      <c r="L24" s="20"/>
      <c r="M24" s="20"/>
      <c r="N24" s="20"/>
      <c r="O24" s="20"/>
      <c r="P24" s="28"/>
      <c r="Q24" s="21">
        <f>P24</f>
        <v>0</v>
      </c>
      <c r="R24" s="21">
        <f>Q24</f>
        <v>0</v>
      </c>
      <c r="S24" s="18"/>
    </row>
    <row r="25" spans="1:19" ht="18" customHeight="1" thickBot="1" x14ac:dyDescent="0.25">
      <c r="A25" s="56">
        <v>6</v>
      </c>
      <c r="B25" s="58" t="s">
        <v>59</v>
      </c>
      <c r="C25" s="31" t="s">
        <v>27</v>
      </c>
      <c r="D25" s="8"/>
      <c r="E25" s="8"/>
      <c r="F25" s="8"/>
      <c r="G25" s="8"/>
      <c r="H25" s="8"/>
      <c r="I25" s="9"/>
      <c r="J25" s="10">
        <f>SUM(D25:I25)</f>
        <v>0</v>
      </c>
      <c r="K25" s="11">
        <v>1.3</v>
      </c>
      <c r="L25" s="8">
        <v>54.68</v>
      </c>
      <c r="M25" s="8">
        <v>2.16</v>
      </c>
      <c r="N25" s="8"/>
      <c r="O25" s="8"/>
      <c r="P25" s="9"/>
      <c r="Q25" s="10">
        <f>SUM(K25:P25)</f>
        <v>58.14</v>
      </c>
      <c r="R25" s="10">
        <f>J25+Q25</f>
        <v>58.14</v>
      </c>
      <c r="S25" s="16"/>
    </row>
    <row r="26" spans="1:19" ht="18" customHeight="1" x14ac:dyDescent="0.2">
      <c r="A26" s="52"/>
      <c r="B26" s="49"/>
      <c r="C26" s="7" t="s">
        <v>28</v>
      </c>
      <c r="D26" s="12"/>
      <c r="E26" s="12"/>
      <c r="F26" s="12"/>
      <c r="G26" s="12"/>
      <c r="H26" s="12"/>
      <c r="I26" s="13"/>
      <c r="J26" s="14">
        <f>SUM(D26:I26)</f>
        <v>0</v>
      </c>
      <c r="K26" s="15"/>
      <c r="L26" s="12"/>
      <c r="M26" s="12"/>
      <c r="N26" s="12"/>
      <c r="O26" s="12"/>
      <c r="P26" s="13"/>
      <c r="Q26" s="14">
        <f>SUM(K26:P26)</f>
        <v>0</v>
      </c>
      <c r="R26" s="14">
        <f>J26+Q26</f>
        <v>0</v>
      </c>
      <c r="S26" s="17"/>
    </row>
    <row r="27" spans="1:19" ht="18" customHeight="1" x14ac:dyDescent="0.2">
      <c r="A27" s="52"/>
      <c r="B27" s="49"/>
      <c r="C27" s="23" t="s">
        <v>29</v>
      </c>
      <c r="D27" s="24">
        <f t="shared" ref="D27:I27" si="10">D26-D25</f>
        <v>0</v>
      </c>
      <c r="E27" s="24">
        <f t="shared" si="10"/>
        <v>0</v>
      </c>
      <c r="F27" s="24">
        <f t="shared" si="10"/>
        <v>0</v>
      </c>
      <c r="G27" s="24">
        <f t="shared" si="10"/>
        <v>0</v>
      </c>
      <c r="H27" s="24">
        <f t="shared" si="10"/>
        <v>0</v>
      </c>
      <c r="I27" s="27">
        <f t="shared" si="10"/>
        <v>0</v>
      </c>
      <c r="J27" s="30">
        <f>SUM(D27:I27)</f>
        <v>0</v>
      </c>
      <c r="K27" s="29">
        <f t="shared" ref="K27:P27" si="11">K26-K25</f>
        <v>-1.3</v>
      </c>
      <c r="L27" s="24">
        <f t="shared" si="11"/>
        <v>-54.68</v>
      </c>
      <c r="M27" s="24">
        <f t="shared" si="11"/>
        <v>-2.16</v>
      </c>
      <c r="N27" s="24">
        <f t="shared" si="11"/>
        <v>0</v>
      </c>
      <c r="O27" s="24">
        <f t="shared" si="11"/>
        <v>0</v>
      </c>
      <c r="P27" s="27">
        <f t="shared" si="11"/>
        <v>0</v>
      </c>
      <c r="Q27" s="30">
        <f>SUM(K27:P27)</f>
        <v>-58.14</v>
      </c>
      <c r="R27" s="30">
        <f>J27+Q27</f>
        <v>-58.14</v>
      </c>
      <c r="S27" s="17"/>
    </row>
    <row r="28" spans="1:19" ht="18" customHeight="1" thickBot="1" x14ac:dyDescent="0.25">
      <c r="A28" s="57"/>
      <c r="B28" s="59"/>
      <c r="C28" s="25" t="s">
        <v>30</v>
      </c>
      <c r="D28" s="20"/>
      <c r="E28" s="20"/>
      <c r="F28" s="20"/>
      <c r="G28" s="20"/>
      <c r="H28" s="20"/>
      <c r="I28" s="28"/>
      <c r="J28" s="21">
        <f>I28</f>
        <v>0</v>
      </c>
      <c r="K28" s="22"/>
      <c r="L28" s="20"/>
      <c r="M28" s="20"/>
      <c r="N28" s="20"/>
      <c r="O28" s="20"/>
      <c r="P28" s="28"/>
      <c r="Q28" s="21">
        <f>P28</f>
        <v>0</v>
      </c>
      <c r="R28" s="21">
        <f>Q28</f>
        <v>0</v>
      </c>
      <c r="S28" s="18"/>
    </row>
    <row r="29" spans="1:19" ht="18" customHeight="1" thickBot="1" x14ac:dyDescent="0.25">
      <c r="A29" s="56">
        <v>6</v>
      </c>
      <c r="B29" s="58" t="s">
        <v>60</v>
      </c>
      <c r="C29" s="31" t="s">
        <v>27</v>
      </c>
      <c r="D29" s="8"/>
      <c r="E29" s="8"/>
      <c r="F29" s="8">
        <v>1.6</v>
      </c>
      <c r="G29" s="8">
        <v>14.13</v>
      </c>
      <c r="H29" s="8">
        <v>12.45</v>
      </c>
      <c r="I29" s="9">
        <v>3.75</v>
      </c>
      <c r="J29" s="10">
        <f>SUM(D29:I29)</f>
        <v>31.93</v>
      </c>
      <c r="K29" s="11">
        <v>6.7</v>
      </c>
      <c r="L29" s="8">
        <v>23.85</v>
      </c>
      <c r="M29" s="8">
        <v>18.82</v>
      </c>
      <c r="N29" s="8"/>
      <c r="O29" s="8"/>
      <c r="P29" s="9"/>
      <c r="Q29" s="10">
        <f>SUM(K29:P29)</f>
        <v>49.370000000000005</v>
      </c>
      <c r="R29" s="10">
        <f>J29+Q29</f>
        <v>81.300000000000011</v>
      </c>
      <c r="S29" s="16"/>
    </row>
    <row r="30" spans="1:19" ht="18" customHeight="1" x14ac:dyDescent="0.2">
      <c r="A30" s="52"/>
      <c r="B30" s="49"/>
      <c r="C30" s="7" t="s">
        <v>28</v>
      </c>
      <c r="D30" s="12"/>
      <c r="E30" s="12"/>
      <c r="F30" s="12"/>
      <c r="G30" s="12">
        <v>2.5499999999999998</v>
      </c>
      <c r="H30" s="12"/>
      <c r="I30" s="13"/>
      <c r="J30" s="14">
        <f>SUM(D30:I30)</f>
        <v>2.5499999999999998</v>
      </c>
      <c r="K30" s="15"/>
      <c r="L30" s="12"/>
      <c r="M30" s="12"/>
      <c r="N30" s="12"/>
      <c r="O30" s="12"/>
      <c r="P30" s="13"/>
      <c r="Q30" s="14">
        <f>SUM(K30:P30)</f>
        <v>0</v>
      </c>
      <c r="R30" s="14">
        <f>J30+Q30</f>
        <v>2.5499999999999998</v>
      </c>
      <c r="S30" s="17"/>
    </row>
    <row r="31" spans="1:19" ht="18" customHeight="1" x14ac:dyDescent="0.2">
      <c r="A31" s="52"/>
      <c r="B31" s="49"/>
      <c r="C31" s="23" t="s">
        <v>29</v>
      </c>
      <c r="D31" s="24">
        <f t="shared" ref="D31:I31" si="12">D30-D29</f>
        <v>0</v>
      </c>
      <c r="E31" s="24">
        <f t="shared" si="12"/>
        <v>0</v>
      </c>
      <c r="F31" s="24">
        <f t="shared" si="12"/>
        <v>-1.6</v>
      </c>
      <c r="G31" s="24">
        <f t="shared" si="12"/>
        <v>-11.580000000000002</v>
      </c>
      <c r="H31" s="24">
        <f t="shared" si="12"/>
        <v>-12.45</v>
      </c>
      <c r="I31" s="27">
        <f t="shared" si="12"/>
        <v>-3.75</v>
      </c>
      <c r="J31" s="30">
        <f>SUM(D31:I31)</f>
        <v>-29.380000000000003</v>
      </c>
      <c r="K31" s="29">
        <f t="shared" ref="K31:P31" si="13">K30-K29</f>
        <v>-6.7</v>
      </c>
      <c r="L31" s="24">
        <f t="shared" si="13"/>
        <v>-23.85</v>
      </c>
      <c r="M31" s="24">
        <f t="shared" si="13"/>
        <v>-18.82</v>
      </c>
      <c r="N31" s="24">
        <f t="shared" si="13"/>
        <v>0</v>
      </c>
      <c r="O31" s="24">
        <f t="shared" si="13"/>
        <v>0</v>
      </c>
      <c r="P31" s="27">
        <f t="shared" si="13"/>
        <v>0</v>
      </c>
      <c r="Q31" s="30">
        <f>SUM(K31:P31)</f>
        <v>-49.370000000000005</v>
      </c>
      <c r="R31" s="30">
        <f>J31+Q31</f>
        <v>-78.75</v>
      </c>
      <c r="S31" s="17"/>
    </row>
    <row r="32" spans="1:19" ht="18" customHeight="1" thickBot="1" x14ac:dyDescent="0.25">
      <c r="A32" s="57"/>
      <c r="B32" s="59"/>
      <c r="C32" s="25" t="s">
        <v>30</v>
      </c>
      <c r="D32" s="20"/>
      <c r="E32" s="20"/>
      <c r="F32" s="20"/>
      <c r="G32" s="20"/>
      <c r="H32" s="20"/>
      <c r="I32" s="28"/>
      <c r="J32" s="21">
        <f>I32</f>
        <v>0</v>
      </c>
      <c r="K32" s="22"/>
      <c r="L32" s="20"/>
      <c r="M32" s="20"/>
      <c r="N32" s="20"/>
      <c r="O32" s="20"/>
      <c r="P32" s="28"/>
      <c r="Q32" s="21">
        <f>P32</f>
        <v>0</v>
      </c>
      <c r="R32" s="21">
        <f>Q32</f>
        <v>0</v>
      </c>
      <c r="S32" s="18"/>
    </row>
    <row r="33" spans="1:19" ht="18" customHeight="1" x14ac:dyDescent="0.2">
      <c r="A33" s="51">
        <v>7</v>
      </c>
      <c r="B33" s="55" t="s">
        <v>61</v>
      </c>
      <c r="C33" s="31" t="s">
        <v>27</v>
      </c>
      <c r="D33" s="8"/>
      <c r="E33" s="8"/>
      <c r="F33" s="8"/>
      <c r="G33" s="8"/>
      <c r="H33" s="8"/>
      <c r="I33" s="9"/>
      <c r="J33" s="10">
        <f>SUM(D33:I33)</f>
        <v>0</v>
      </c>
      <c r="K33" s="11">
        <v>0.27</v>
      </c>
      <c r="L33" s="8"/>
      <c r="M33" s="8">
        <v>0.78</v>
      </c>
      <c r="N33" s="8"/>
      <c r="O33" s="8"/>
      <c r="P33" s="9"/>
      <c r="Q33" s="10">
        <f>SUM(K33:P33)</f>
        <v>1.05</v>
      </c>
      <c r="R33" s="10">
        <f>J33+Q33</f>
        <v>1.05</v>
      </c>
      <c r="S33" s="16"/>
    </row>
    <row r="34" spans="1:19" ht="18" customHeight="1" x14ac:dyDescent="0.2">
      <c r="A34" s="52"/>
      <c r="B34" s="49"/>
      <c r="C34" s="7" t="s">
        <v>28</v>
      </c>
      <c r="D34" s="12"/>
      <c r="E34" s="12"/>
      <c r="F34" s="12"/>
      <c r="G34" s="12"/>
      <c r="H34" s="12"/>
      <c r="I34" s="13"/>
      <c r="J34" s="14">
        <f>SUM(D34:I34)</f>
        <v>0</v>
      </c>
      <c r="K34" s="15"/>
      <c r="L34" s="12"/>
      <c r="M34" s="12"/>
      <c r="N34" s="12"/>
      <c r="O34" s="12"/>
      <c r="P34" s="13"/>
      <c r="Q34" s="14">
        <f>SUM(K34:P34)</f>
        <v>0</v>
      </c>
      <c r="R34" s="14">
        <f>J34+Q34</f>
        <v>0</v>
      </c>
      <c r="S34" s="17"/>
    </row>
    <row r="35" spans="1:19" ht="18" customHeight="1" x14ac:dyDescent="0.2">
      <c r="A35" s="52"/>
      <c r="B35" s="49"/>
      <c r="C35" s="23" t="s">
        <v>29</v>
      </c>
      <c r="D35" s="24">
        <f t="shared" ref="D35:I35" si="14">D34-D33</f>
        <v>0</v>
      </c>
      <c r="E35" s="24">
        <f t="shared" si="14"/>
        <v>0</v>
      </c>
      <c r="F35" s="24">
        <f t="shared" si="14"/>
        <v>0</v>
      </c>
      <c r="G35" s="24">
        <f t="shared" si="14"/>
        <v>0</v>
      </c>
      <c r="H35" s="24">
        <f t="shared" si="14"/>
        <v>0</v>
      </c>
      <c r="I35" s="27">
        <f t="shared" si="14"/>
        <v>0</v>
      </c>
      <c r="J35" s="30">
        <f>SUM(D35:I35)</f>
        <v>0</v>
      </c>
      <c r="K35" s="29">
        <f t="shared" ref="K35:P35" si="15">K34-K33</f>
        <v>-0.27</v>
      </c>
      <c r="L35" s="24">
        <f t="shared" si="15"/>
        <v>0</v>
      </c>
      <c r="M35" s="24">
        <f t="shared" si="15"/>
        <v>-0.78</v>
      </c>
      <c r="N35" s="24">
        <f t="shared" si="15"/>
        <v>0</v>
      </c>
      <c r="O35" s="24">
        <f t="shared" si="15"/>
        <v>0</v>
      </c>
      <c r="P35" s="27">
        <f t="shared" si="15"/>
        <v>0</v>
      </c>
      <c r="Q35" s="30">
        <f>SUM(K35:P35)</f>
        <v>-1.05</v>
      </c>
      <c r="R35" s="30">
        <f>J35+Q35</f>
        <v>-1.05</v>
      </c>
      <c r="S35" s="17"/>
    </row>
    <row r="36" spans="1:19" ht="18" customHeight="1" thickBot="1" x14ac:dyDescent="0.25">
      <c r="A36" s="53"/>
      <c r="B36" s="50"/>
      <c r="C36" s="25" t="s">
        <v>30</v>
      </c>
      <c r="D36" s="20"/>
      <c r="E36" s="20"/>
      <c r="F36" s="20"/>
      <c r="G36" s="20"/>
      <c r="H36" s="20"/>
      <c r="I36" s="28"/>
      <c r="J36" s="21">
        <f>I36</f>
        <v>0</v>
      </c>
      <c r="K36" s="22"/>
      <c r="L36" s="20"/>
      <c r="M36" s="20"/>
      <c r="N36" s="20"/>
      <c r="O36" s="20"/>
      <c r="P36" s="28"/>
      <c r="Q36" s="21">
        <f>P36</f>
        <v>0</v>
      </c>
      <c r="R36" s="21">
        <f>Q36</f>
        <v>0</v>
      </c>
      <c r="S36" s="18"/>
    </row>
    <row r="37" spans="1:19" ht="18" customHeight="1" x14ac:dyDescent="0.2">
      <c r="A37" s="51">
        <v>7</v>
      </c>
      <c r="B37" s="55" t="s">
        <v>62</v>
      </c>
      <c r="C37" s="31" t="s">
        <v>27</v>
      </c>
      <c r="D37" s="8"/>
      <c r="E37" s="8"/>
      <c r="F37" s="8">
        <v>0.2</v>
      </c>
      <c r="G37" s="8"/>
      <c r="H37" s="8">
        <v>0.28000000000000003</v>
      </c>
      <c r="I37" s="9"/>
      <c r="J37" s="10">
        <f>SUM(D37:I37)</f>
        <v>0.48000000000000004</v>
      </c>
      <c r="K37" s="11"/>
      <c r="L37" s="8"/>
      <c r="M37" s="8"/>
      <c r="N37" s="8">
        <v>0.24</v>
      </c>
      <c r="O37" s="8"/>
      <c r="P37" s="9"/>
      <c r="Q37" s="10">
        <f>SUM(K37:P37)</f>
        <v>0.24</v>
      </c>
      <c r="R37" s="10">
        <f>J37+Q37</f>
        <v>0.72</v>
      </c>
      <c r="S37" s="16"/>
    </row>
    <row r="38" spans="1:19" ht="18" customHeight="1" x14ac:dyDescent="0.2">
      <c r="A38" s="52"/>
      <c r="B38" s="49"/>
      <c r="C38" s="7" t="s">
        <v>28</v>
      </c>
      <c r="D38" s="12"/>
      <c r="E38" s="12"/>
      <c r="F38" s="12"/>
      <c r="G38" s="12"/>
      <c r="H38" s="12"/>
      <c r="I38" s="13"/>
      <c r="J38" s="14">
        <f>SUM(D38:I38)</f>
        <v>0</v>
      </c>
      <c r="K38" s="15"/>
      <c r="L38" s="12"/>
      <c r="M38" s="12"/>
      <c r="N38" s="12"/>
      <c r="O38" s="12"/>
      <c r="P38" s="13"/>
      <c r="Q38" s="14">
        <f>SUM(K38:P38)</f>
        <v>0</v>
      </c>
      <c r="R38" s="14">
        <f>J38+Q38</f>
        <v>0</v>
      </c>
      <c r="S38" s="17"/>
    </row>
    <row r="39" spans="1:19" ht="18" customHeight="1" x14ac:dyDescent="0.2">
      <c r="A39" s="52"/>
      <c r="B39" s="49"/>
      <c r="C39" s="23" t="s">
        <v>29</v>
      </c>
      <c r="D39" s="24">
        <f t="shared" ref="D39:I39" si="16">D38-D37</f>
        <v>0</v>
      </c>
      <c r="E39" s="24">
        <f t="shared" si="16"/>
        <v>0</v>
      </c>
      <c r="F39" s="24">
        <f t="shared" si="16"/>
        <v>-0.2</v>
      </c>
      <c r="G39" s="24">
        <f t="shared" si="16"/>
        <v>0</v>
      </c>
      <c r="H39" s="24">
        <f t="shared" si="16"/>
        <v>-0.28000000000000003</v>
      </c>
      <c r="I39" s="27">
        <f t="shared" si="16"/>
        <v>0</v>
      </c>
      <c r="J39" s="30">
        <f>SUM(D39:I39)</f>
        <v>-0.48000000000000004</v>
      </c>
      <c r="K39" s="29">
        <f t="shared" ref="K39:P39" si="17">K38-K37</f>
        <v>0</v>
      </c>
      <c r="L39" s="24">
        <f t="shared" si="17"/>
        <v>0</v>
      </c>
      <c r="M39" s="24">
        <f t="shared" si="17"/>
        <v>0</v>
      </c>
      <c r="N39" s="24">
        <f t="shared" si="17"/>
        <v>-0.24</v>
      </c>
      <c r="O39" s="24">
        <f t="shared" si="17"/>
        <v>0</v>
      </c>
      <c r="P39" s="27">
        <f t="shared" si="17"/>
        <v>0</v>
      </c>
      <c r="Q39" s="30">
        <f>SUM(K39:P39)</f>
        <v>-0.24</v>
      </c>
      <c r="R39" s="30">
        <f>J39+Q39</f>
        <v>-0.72</v>
      </c>
      <c r="S39" s="17"/>
    </row>
    <row r="40" spans="1:19" ht="18" customHeight="1" thickBot="1" x14ac:dyDescent="0.25">
      <c r="A40" s="53"/>
      <c r="B40" s="50"/>
      <c r="C40" s="25" t="s">
        <v>30</v>
      </c>
      <c r="D40" s="20"/>
      <c r="E40" s="20"/>
      <c r="F40" s="20"/>
      <c r="G40" s="20"/>
      <c r="H40" s="20"/>
      <c r="I40" s="28"/>
      <c r="J40" s="21">
        <f>I40</f>
        <v>0</v>
      </c>
      <c r="K40" s="22"/>
      <c r="L40" s="20"/>
      <c r="M40" s="20"/>
      <c r="N40" s="20"/>
      <c r="O40" s="20"/>
      <c r="P40" s="28"/>
      <c r="Q40" s="21">
        <f>P40</f>
        <v>0</v>
      </c>
      <c r="R40" s="21">
        <f>Q40</f>
        <v>0</v>
      </c>
      <c r="S40" s="18"/>
    </row>
    <row r="41" spans="1:19" ht="18" customHeight="1" x14ac:dyDescent="0.2">
      <c r="A41" s="51">
        <v>8</v>
      </c>
      <c r="B41" s="55" t="s">
        <v>63</v>
      </c>
      <c r="C41" s="31" t="s">
        <v>27</v>
      </c>
      <c r="D41" s="8">
        <v>4.05</v>
      </c>
      <c r="E41" s="8">
        <v>0.54</v>
      </c>
      <c r="F41" s="8">
        <v>1.97</v>
      </c>
      <c r="G41" s="8">
        <v>0.45</v>
      </c>
      <c r="H41" s="8">
        <v>1.86</v>
      </c>
      <c r="I41" s="9"/>
      <c r="J41" s="10">
        <f>SUM(D41:I41)</f>
        <v>8.8699999999999992</v>
      </c>
      <c r="K41" s="11"/>
      <c r="L41" s="8">
        <v>0.2</v>
      </c>
      <c r="M41" s="8">
        <v>0.26</v>
      </c>
      <c r="N41" s="8"/>
      <c r="O41" s="8">
        <v>0.28000000000000003</v>
      </c>
      <c r="P41" s="9"/>
      <c r="Q41" s="10">
        <f>SUM(K41:P41)</f>
        <v>0.74</v>
      </c>
      <c r="R41" s="10">
        <f>J41+Q41</f>
        <v>9.61</v>
      </c>
      <c r="S41" s="16"/>
    </row>
    <row r="42" spans="1:19" ht="18" customHeight="1" x14ac:dyDescent="0.2">
      <c r="A42" s="52"/>
      <c r="B42" s="49"/>
      <c r="C42" s="7" t="s">
        <v>28</v>
      </c>
      <c r="D42" s="12"/>
      <c r="E42" s="12"/>
      <c r="F42" s="12"/>
      <c r="G42" s="12">
        <v>0.33</v>
      </c>
      <c r="H42" s="12"/>
      <c r="I42" s="13"/>
      <c r="J42" s="14">
        <f>SUM(D42:I42)</f>
        <v>0.33</v>
      </c>
      <c r="K42" s="15"/>
      <c r="L42" s="12"/>
      <c r="M42" s="12"/>
      <c r="N42" s="12"/>
      <c r="O42" s="12"/>
      <c r="P42" s="13"/>
      <c r="Q42" s="14">
        <f>SUM(K42:P42)</f>
        <v>0</v>
      </c>
      <c r="R42" s="14">
        <f>J42+Q42</f>
        <v>0.33</v>
      </c>
      <c r="S42" s="17"/>
    </row>
    <row r="43" spans="1:19" ht="18" customHeight="1" x14ac:dyDescent="0.2">
      <c r="A43" s="52"/>
      <c r="B43" s="49"/>
      <c r="C43" s="23" t="s">
        <v>29</v>
      </c>
      <c r="D43" s="24">
        <f t="shared" ref="D43:I43" si="18">D42-D41</f>
        <v>-4.05</v>
      </c>
      <c r="E43" s="24">
        <f t="shared" si="18"/>
        <v>-0.54</v>
      </c>
      <c r="F43" s="24">
        <f t="shared" si="18"/>
        <v>-1.97</v>
      </c>
      <c r="G43" s="24">
        <f t="shared" si="18"/>
        <v>-0.12</v>
      </c>
      <c r="H43" s="24">
        <f t="shared" si="18"/>
        <v>-1.86</v>
      </c>
      <c r="I43" s="27">
        <f t="shared" si="18"/>
        <v>0</v>
      </c>
      <c r="J43" s="30">
        <f>SUM(D43:I43)</f>
        <v>-8.5399999999999991</v>
      </c>
      <c r="K43" s="29">
        <f t="shared" ref="K43:P43" si="19">K42-K41</f>
        <v>0</v>
      </c>
      <c r="L43" s="24">
        <f t="shared" si="19"/>
        <v>-0.2</v>
      </c>
      <c r="M43" s="24">
        <f t="shared" si="19"/>
        <v>-0.26</v>
      </c>
      <c r="N43" s="24">
        <f t="shared" si="19"/>
        <v>0</v>
      </c>
      <c r="O43" s="24">
        <f t="shared" si="19"/>
        <v>-0.28000000000000003</v>
      </c>
      <c r="P43" s="27">
        <f t="shared" si="19"/>
        <v>0</v>
      </c>
      <c r="Q43" s="30">
        <f>SUM(K43:P43)</f>
        <v>-0.74</v>
      </c>
      <c r="R43" s="30">
        <f>J43+Q43</f>
        <v>-9.2799999999999994</v>
      </c>
      <c r="S43" s="17"/>
    </row>
    <row r="44" spans="1:19" ht="18" customHeight="1" thickBot="1" x14ac:dyDescent="0.25">
      <c r="A44" s="53"/>
      <c r="B44" s="50"/>
      <c r="C44" s="25" t="s">
        <v>30</v>
      </c>
      <c r="D44" s="20"/>
      <c r="E44" s="20"/>
      <c r="F44" s="20"/>
      <c r="G44" s="20"/>
      <c r="H44" s="20"/>
      <c r="I44" s="28"/>
      <c r="J44" s="21">
        <f>I44</f>
        <v>0</v>
      </c>
      <c r="K44" s="22"/>
      <c r="L44" s="20"/>
      <c r="M44" s="20"/>
      <c r="N44" s="20"/>
      <c r="O44" s="20"/>
      <c r="P44" s="28"/>
      <c r="Q44" s="21">
        <f>P44</f>
        <v>0</v>
      </c>
      <c r="R44" s="21">
        <f>Q44</f>
        <v>0</v>
      </c>
      <c r="S44" s="18"/>
    </row>
    <row r="45" spans="1:19" ht="18" customHeight="1" x14ac:dyDescent="0.2">
      <c r="A45" s="51">
        <v>9</v>
      </c>
      <c r="B45" s="55" t="s">
        <v>64</v>
      </c>
      <c r="C45" s="31" t="s">
        <v>27</v>
      </c>
      <c r="D45" s="8">
        <v>2.4</v>
      </c>
      <c r="E45" s="8">
        <v>2.52</v>
      </c>
      <c r="F45" s="8">
        <v>1.2</v>
      </c>
      <c r="G45" s="8">
        <v>0.78</v>
      </c>
      <c r="H45" s="8"/>
      <c r="I45" s="9"/>
      <c r="J45" s="10">
        <f>SUM(D45:I45)</f>
        <v>6.9</v>
      </c>
      <c r="K45" s="11">
        <v>2</v>
      </c>
      <c r="L45" s="8">
        <v>17.149999999999999</v>
      </c>
      <c r="M45" s="8">
        <v>1.08</v>
      </c>
      <c r="N45" s="8"/>
      <c r="O45" s="8"/>
      <c r="P45" s="9"/>
      <c r="Q45" s="10">
        <f>SUM(K45:P45)</f>
        <v>20.229999999999997</v>
      </c>
      <c r="R45" s="10">
        <f>J45+Q45</f>
        <v>27.129999999999995</v>
      </c>
      <c r="S45" s="16"/>
    </row>
    <row r="46" spans="1:19" ht="18" customHeight="1" x14ac:dyDescent="0.2">
      <c r="A46" s="52"/>
      <c r="B46" s="49"/>
      <c r="C46" s="7" t="s">
        <v>28</v>
      </c>
      <c r="D46" s="12"/>
      <c r="E46" s="12"/>
      <c r="F46" s="12"/>
      <c r="G46" s="12"/>
      <c r="H46" s="12"/>
      <c r="I46" s="13"/>
      <c r="J46" s="14">
        <f>SUM(D46:I46)</f>
        <v>0</v>
      </c>
      <c r="K46" s="15"/>
      <c r="L46" s="12"/>
      <c r="M46" s="12"/>
      <c r="N46" s="12"/>
      <c r="O46" s="12"/>
      <c r="P46" s="13"/>
      <c r="Q46" s="14">
        <f>SUM(K46:P46)</f>
        <v>0</v>
      </c>
      <c r="R46" s="14">
        <f>J46+Q46</f>
        <v>0</v>
      </c>
      <c r="S46" s="17"/>
    </row>
    <row r="47" spans="1:19" ht="18" customHeight="1" x14ac:dyDescent="0.2">
      <c r="A47" s="52"/>
      <c r="B47" s="49"/>
      <c r="C47" s="23" t="s">
        <v>29</v>
      </c>
      <c r="D47" s="24">
        <f t="shared" ref="D47:I47" si="20">D46-D45</f>
        <v>-2.4</v>
      </c>
      <c r="E47" s="24">
        <f t="shared" si="20"/>
        <v>-2.52</v>
      </c>
      <c r="F47" s="24">
        <f t="shared" si="20"/>
        <v>-1.2</v>
      </c>
      <c r="G47" s="24">
        <f t="shared" si="20"/>
        <v>-0.78</v>
      </c>
      <c r="H47" s="24">
        <f t="shared" si="20"/>
        <v>0</v>
      </c>
      <c r="I47" s="27">
        <f t="shared" si="20"/>
        <v>0</v>
      </c>
      <c r="J47" s="30">
        <f>SUM(D47:I47)</f>
        <v>-6.9</v>
      </c>
      <c r="K47" s="29">
        <f t="shared" ref="K47:P47" si="21">K46-K45</f>
        <v>-2</v>
      </c>
      <c r="L47" s="24">
        <f t="shared" si="21"/>
        <v>-17.149999999999999</v>
      </c>
      <c r="M47" s="24">
        <f t="shared" si="21"/>
        <v>-1.08</v>
      </c>
      <c r="N47" s="24">
        <f t="shared" si="21"/>
        <v>0</v>
      </c>
      <c r="O47" s="24">
        <f t="shared" si="21"/>
        <v>0</v>
      </c>
      <c r="P47" s="27">
        <f t="shared" si="21"/>
        <v>0</v>
      </c>
      <c r="Q47" s="30">
        <f>SUM(K47:P47)</f>
        <v>-20.229999999999997</v>
      </c>
      <c r="R47" s="30">
        <f>J47+Q47</f>
        <v>-27.129999999999995</v>
      </c>
      <c r="S47" s="17"/>
    </row>
    <row r="48" spans="1:19" ht="18" customHeight="1" thickBot="1" x14ac:dyDescent="0.25">
      <c r="A48" s="53"/>
      <c r="B48" s="50"/>
      <c r="C48" s="25" t="s">
        <v>30</v>
      </c>
      <c r="D48" s="20"/>
      <c r="E48" s="20"/>
      <c r="F48" s="20"/>
      <c r="G48" s="20"/>
      <c r="H48" s="20"/>
      <c r="I48" s="28"/>
      <c r="J48" s="21">
        <f>I48</f>
        <v>0</v>
      </c>
      <c r="K48" s="22"/>
      <c r="L48" s="20"/>
      <c r="M48" s="20"/>
      <c r="N48" s="20"/>
      <c r="O48" s="20"/>
      <c r="P48" s="28"/>
      <c r="Q48" s="21">
        <f>P48</f>
        <v>0</v>
      </c>
      <c r="R48" s="21">
        <f>Q48</f>
        <v>0</v>
      </c>
      <c r="S48" s="18"/>
    </row>
    <row r="49" spans="1:19" ht="18" customHeight="1" x14ac:dyDescent="0.2">
      <c r="A49" s="51">
        <v>10</v>
      </c>
      <c r="B49" s="48" t="s">
        <v>65</v>
      </c>
      <c r="C49" s="31" t="s">
        <v>27</v>
      </c>
      <c r="D49" s="8">
        <v>0.51</v>
      </c>
      <c r="E49" s="8">
        <v>1.39</v>
      </c>
      <c r="F49" s="8">
        <v>0.36</v>
      </c>
      <c r="G49" s="8">
        <v>10.96</v>
      </c>
      <c r="H49" s="8">
        <v>3.14</v>
      </c>
      <c r="I49" s="9">
        <v>2.79</v>
      </c>
      <c r="J49" s="10">
        <f>SUM(D49:I49)</f>
        <v>19.149999999999999</v>
      </c>
      <c r="K49" s="11"/>
      <c r="L49" s="8">
        <v>0.12</v>
      </c>
      <c r="M49" s="8"/>
      <c r="N49" s="8">
        <v>0.24</v>
      </c>
      <c r="O49" s="8"/>
      <c r="P49" s="9">
        <v>0.26</v>
      </c>
      <c r="Q49" s="10">
        <f>SUM(K49:P49)</f>
        <v>0.62</v>
      </c>
      <c r="R49" s="10">
        <f>J49+Q49</f>
        <v>19.77</v>
      </c>
      <c r="S49" s="16"/>
    </row>
    <row r="50" spans="1:19" ht="18" customHeight="1" x14ac:dyDescent="0.2">
      <c r="A50" s="52"/>
      <c r="B50" s="49"/>
      <c r="C50" s="7" t="s">
        <v>28</v>
      </c>
      <c r="D50" s="12">
        <v>0.44</v>
      </c>
      <c r="E50" s="12"/>
      <c r="F50" s="12"/>
      <c r="G50" s="12"/>
      <c r="H50" s="12"/>
      <c r="I50" s="13"/>
      <c r="J50" s="14">
        <f>SUM(D50:I50)</f>
        <v>0.44</v>
      </c>
      <c r="K50" s="15"/>
      <c r="L50" s="12"/>
      <c r="M50" s="12"/>
      <c r="N50" s="12"/>
      <c r="O50" s="12"/>
      <c r="P50" s="13"/>
      <c r="Q50" s="14">
        <f>SUM(K50:P50)</f>
        <v>0</v>
      </c>
      <c r="R50" s="14">
        <f>J50+Q50</f>
        <v>0.44</v>
      </c>
      <c r="S50" s="17"/>
    </row>
    <row r="51" spans="1:19" ht="18" customHeight="1" x14ac:dyDescent="0.2">
      <c r="A51" s="52"/>
      <c r="B51" s="49"/>
      <c r="C51" s="23" t="s">
        <v>29</v>
      </c>
      <c r="D51" s="24">
        <f t="shared" ref="D51:I51" si="22">D50-D49</f>
        <v>-7.0000000000000007E-2</v>
      </c>
      <c r="E51" s="24">
        <f t="shared" si="22"/>
        <v>-1.39</v>
      </c>
      <c r="F51" s="24">
        <f t="shared" si="22"/>
        <v>-0.36</v>
      </c>
      <c r="G51" s="24">
        <f t="shared" si="22"/>
        <v>-10.96</v>
      </c>
      <c r="H51" s="24">
        <f t="shared" si="22"/>
        <v>-3.14</v>
      </c>
      <c r="I51" s="27">
        <f t="shared" si="22"/>
        <v>-2.79</v>
      </c>
      <c r="J51" s="30">
        <f>SUM(D51:I51)</f>
        <v>-18.71</v>
      </c>
      <c r="K51" s="29">
        <f t="shared" ref="K51:P51" si="23">K50-K49</f>
        <v>0</v>
      </c>
      <c r="L51" s="24">
        <f t="shared" si="23"/>
        <v>-0.12</v>
      </c>
      <c r="M51" s="24">
        <f t="shared" si="23"/>
        <v>0</v>
      </c>
      <c r="N51" s="24">
        <f t="shared" si="23"/>
        <v>-0.24</v>
      </c>
      <c r="O51" s="24">
        <f t="shared" si="23"/>
        <v>0</v>
      </c>
      <c r="P51" s="27">
        <f t="shared" si="23"/>
        <v>-0.26</v>
      </c>
      <c r="Q51" s="30">
        <f>SUM(K51:P51)</f>
        <v>-0.62</v>
      </c>
      <c r="R51" s="30">
        <f>J51+Q51</f>
        <v>-19.330000000000002</v>
      </c>
      <c r="S51" s="17"/>
    </row>
    <row r="52" spans="1:19" ht="18" customHeight="1" thickBot="1" x14ac:dyDescent="0.25">
      <c r="A52" s="53"/>
      <c r="B52" s="50"/>
      <c r="C52" s="25" t="s">
        <v>30</v>
      </c>
      <c r="D52" s="20"/>
      <c r="E52" s="20"/>
      <c r="F52" s="20"/>
      <c r="G52" s="20"/>
      <c r="H52" s="20"/>
      <c r="I52" s="28"/>
      <c r="J52" s="21">
        <f>I52</f>
        <v>0</v>
      </c>
      <c r="K52" s="22"/>
      <c r="L52" s="20"/>
      <c r="M52" s="20"/>
      <c r="N52" s="20"/>
      <c r="O52" s="20"/>
      <c r="P52" s="28"/>
      <c r="Q52" s="21">
        <f>P52</f>
        <v>0</v>
      </c>
      <c r="R52" s="21">
        <f>Q52</f>
        <v>0</v>
      </c>
      <c r="S52" s="18"/>
    </row>
    <row r="53" spans="1:19" ht="18" customHeight="1" x14ac:dyDescent="0.2">
      <c r="A53" s="51">
        <v>11</v>
      </c>
      <c r="B53" s="48" t="s">
        <v>66</v>
      </c>
      <c r="C53" s="31" t="s">
        <v>27</v>
      </c>
      <c r="D53" s="8"/>
      <c r="E53" s="8"/>
      <c r="F53" s="8">
        <v>0.28000000000000003</v>
      </c>
      <c r="G53" s="8">
        <v>2.58</v>
      </c>
      <c r="H53" s="8">
        <v>1.3</v>
      </c>
      <c r="I53" s="9">
        <v>0.62</v>
      </c>
      <c r="J53" s="10">
        <f>SUM(D53:I53)</f>
        <v>4.78</v>
      </c>
      <c r="K53" s="11">
        <v>0.08</v>
      </c>
      <c r="L53" s="8">
        <v>1.1000000000000001</v>
      </c>
      <c r="M53" s="8">
        <v>0.3</v>
      </c>
      <c r="N53" s="8"/>
      <c r="O53" s="8"/>
      <c r="P53" s="9"/>
      <c r="Q53" s="10">
        <f>SUM(K53:P53)</f>
        <v>1.4800000000000002</v>
      </c>
      <c r="R53" s="10">
        <f>J53+Q53</f>
        <v>6.2600000000000007</v>
      </c>
      <c r="S53" s="16"/>
    </row>
    <row r="54" spans="1:19" ht="18" customHeight="1" x14ac:dyDescent="0.2">
      <c r="A54" s="52"/>
      <c r="B54" s="49"/>
      <c r="C54" s="7" t="s">
        <v>28</v>
      </c>
      <c r="D54" s="12"/>
      <c r="E54" s="12"/>
      <c r="F54" s="12"/>
      <c r="G54" s="12">
        <v>0.16</v>
      </c>
      <c r="H54" s="12"/>
      <c r="I54" s="13"/>
      <c r="J54" s="14">
        <f>SUM(D54:I54)</f>
        <v>0.16</v>
      </c>
      <c r="K54" s="15"/>
      <c r="L54" s="12"/>
      <c r="M54" s="12"/>
      <c r="N54" s="12"/>
      <c r="O54" s="12"/>
      <c r="P54" s="13"/>
      <c r="Q54" s="14">
        <f>SUM(K54:P54)</f>
        <v>0</v>
      </c>
      <c r="R54" s="14">
        <f>J54+Q54</f>
        <v>0.16</v>
      </c>
      <c r="S54" s="17"/>
    </row>
    <row r="55" spans="1:19" ht="18" customHeight="1" x14ac:dyDescent="0.2">
      <c r="A55" s="52"/>
      <c r="B55" s="49"/>
      <c r="C55" s="23" t="s">
        <v>29</v>
      </c>
      <c r="D55" s="24">
        <f t="shared" ref="D55:I55" si="24">D54-D53</f>
        <v>0</v>
      </c>
      <c r="E55" s="24">
        <f t="shared" si="24"/>
        <v>0</v>
      </c>
      <c r="F55" s="24">
        <f t="shared" si="24"/>
        <v>-0.28000000000000003</v>
      </c>
      <c r="G55" s="24">
        <f t="shared" si="24"/>
        <v>-2.42</v>
      </c>
      <c r="H55" s="24">
        <f t="shared" si="24"/>
        <v>-1.3</v>
      </c>
      <c r="I55" s="27">
        <f t="shared" si="24"/>
        <v>-0.62</v>
      </c>
      <c r="J55" s="30">
        <f>SUM(D55:I55)</f>
        <v>-4.62</v>
      </c>
      <c r="K55" s="29">
        <f t="shared" ref="K55:P55" si="25">K54-K53</f>
        <v>-0.08</v>
      </c>
      <c r="L55" s="24">
        <f t="shared" si="25"/>
        <v>-1.1000000000000001</v>
      </c>
      <c r="M55" s="24">
        <f t="shared" si="25"/>
        <v>-0.3</v>
      </c>
      <c r="N55" s="24">
        <f t="shared" si="25"/>
        <v>0</v>
      </c>
      <c r="O55" s="24">
        <f t="shared" si="25"/>
        <v>0</v>
      </c>
      <c r="P55" s="27">
        <f t="shared" si="25"/>
        <v>0</v>
      </c>
      <c r="Q55" s="30">
        <f>SUM(K55:P55)</f>
        <v>-1.4800000000000002</v>
      </c>
      <c r="R55" s="30">
        <f>J55+Q55</f>
        <v>-6.1000000000000005</v>
      </c>
      <c r="S55" s="17"/>
    </row>
    <row r="56" spans="1:19" ht="18" customHeight="1" thickBot="1" x14ac:dyDescent="0.25">
      <c r="A56" s="53"/>
      <c r="B56" s="50"/>
      <c r="C56" s="25" t="s">
        <v>30</v>
      </c>
      <c r="D56" s="20"/>
      <c r="E56" s="20"/>
      <c r="F56" s="20"/>
      <c r="G56" s="20"/>
      <c r="H56" s="20"/>
      <c r="I56" s="28"/>
      <c r="J56" s="21">
        <f>I56</f>
        <v>0</v>
      </c>
      <c r="K56" s="22"/>
      <c r="L56" s="20"/>
      <c r="M56" s="20"/>
      <c r="N56" s="20"/>
      <c r="O56" s="20"/>
      <c r="P56" s="28"/>
      <c r="Q56" s="21">
        <f>P56</f>
        <v>0</v>
      </c>
      <c r="R56" s="21">
        <f>Q56</f>
        <v>0</v>
      </c>
      <c r="S56" s="18"/>
    </row>
    <row r="57" spans="1:19" ht="18" customHeight="1" x14ac:dyDescent="0.2">
      <c r="A57" s="51">
        <v>12</v>
      </c>
      <c r="B57" s="48"/>
      <c r="C57" s="31" t="s">
        <v>27</v>
      </c>
      <c r="D57" s="8"/>
      <c r="E57" s="8"/>
      <c r="F57" s="8"/>
      <c r="G57" s="8"/>
      <c r="H57" s="8"/>
      <c r="I57" s="9"/>
      <c r="J57" s="10">
        <f>SUM(D57:I57)</f>
        <v>0</v>
      </c>
      <c r="K57" s="11"/>
      <c r="L57" s="8"/>
      <c r="M57" s="8"/>
      <c r="N57" s="8"/>
      <c r="O57" s="8"/>
      <c r="P57" s="9"/>
      <c r="Q57" s="10">
        <f>SUM(K57:P57)</f>
        <v>0</v>
      </c>
      <c r="R57" s="10">
        <f>J57+Q57</f>
        <v>0</v>
      </c>
      <c r="S57" s="16"/>
    </row>
    <row r="58" spans="1:19" ht="18" customHeight="1" x14ac:dyDescent="0.2">
      <c r="A58" s="52"/>
      <c r="B58" s="49"/>
      <c r="C58" s="7" t="s">
        <v>28</v>
      </c>
      <c r="D58" s="12"/>
      <c r="E58" s="12"/>
      <c r="F58" s="12"/>
      <c r="G58" s="12"/>
      <c r="H58" s="12"/>
      <c r="I58" s="13"/>
      <c r="J58" s="14">
        <f>SUM(D58:I58)</f>
        <v>0</v>
      </c>
      <c r="K58" s="15"/>
      <c r="L58" s="12"/>
      <c r="M58" s="12"/>
      <c r="N58" s="12"/>
      <c r="O58" s="12"/>
      <c r="P58" s="13"/>
      <c r="Q58" s="14">
        <f>SUM(K58:P58)</f>
        <v>0</v>
      </c>
      <c r="R58" s="14">
        <f>J58+Q58</f>
        <v>0</v>
      </c>
      <c r="S58" s="17"/>
    </row>
    <row r="59" spans="1:19" ht="18" customHeight="1" x14ac:dyDescent="0.2">
      <c r="A59" s="52"/>
      <c r="B59" s="49"/>
      <c r="C59" s="23" t="s">
        <v>29</v>
      </c>
      <c r="D59" s="24"/>
      <c r="E59" s="24">
        <f>E58-E57</f>
        <v>0</v>
      </c>
      <c r="F59" s="24">
        <f>F58-F57</f>
        <v>0</v>
      </c>
      <c r="G59" s="24">
        <f>G58-G57</f>
        <v>0</v>
      </c>
      <c r="H59" s="24">
        <f>H58-H57</f>
        <v>0</v>
      </c>
      <c r="I59" s="27">
        <f>I58-I57</f>
        <v>0</v>
      </c>
      <c r="J59" s="30">
        <f>SUM(D59:I59)</f>
        <v>0</v>
      </c>
      <c r="K59" s="29">
        <f t="shared" ref="K59:P59" si="26">K58-K57</f>
        <v>0</v>
      </c>
      <c r="L59" s="24">
        <f t="shared" si="26"/>
        <v>0</v>
      </c>
      <c r="M59" s="24">
        <f t="shared" si="26"/>
        <v>0</v>
      </c>
      <c r="N59" s="24">
        <f t="shared" si="26"/>
        <v>0</v>
      </c>
      <c r="O59" s="24">
        <f t="shared" si="26"/>
        <v>0</v>
      </c>
      <c r="P59" s="27">
        <f t="shared" si="26"/>
        <v>0</v>
      </c>
      <c r="Q59" s="30">
        <f>SUM(K59:P59)</f>
        <v>0</v>
      </c>
      <c r="R59" s="30">
        <f>J59+Q59</f>
        <v>0</v>
      </c>
      <c r="S59" s="17"/>
    </row>
    <row r="60" spans="1:19" ht="18" customHeight="1" thickBot="1" x14ac:dyDescent="0.25">
      <c r="A60" s="53"/>
      <c r="B60" s="50"/>
      <c r="C60" s="25" t="s">
        <v>30</v>
      </c>
      <c r="D60" s="20"/>
      <c r="E60" s="20"/>
      <c r="F60" s="20"/>
      <c r="G60" s="20"/>
      <c r="H60" s="20"/>
      <c r="I60" s="28"/>
      <c r="J60" s="21">
        <f>I60</f>
        <v>0</v>
      </c>
      <c r="K60" s="22"/>
      <c r="L60" s="20"/>
      <c r="M60" s="20"/>
      <c r="N60" s="20"/>
      <c r="O60" s="20"/>
      <c r="P60" s="28"/>
      <c r="Q60" s="21">
        <f>P60</f>
        <v>0</v>
      </c>
      <c r="R60" s="21">
        <f>Q60</f>
        <v>0</v>
      </c>
      <c r="S60" s="18"/>
    </row>
    <row r="61" spans="1:19" ht="18" customHeight="1" x14ac:dyDescent="0.2">
      <c r="A61" s="51">
        <v>13</v>
      </c>
      <c r="B61" s="48" t="s">
        <v>67</v>
      </c>
      <c r="C61" s="31" t="s">
        <v>27</v>
      </c>
      <c r="D61" s="8"/>
      <c r="E61" s="8">
        <v>0.18</v>
      </c>
      <c r="F61" s="8">
        <v>0.87</v>
      </c>
      <c r="G61" s="8">
        <v>0.18</v>
      </c>
      <c r="H61" s="8">
        <v>0.12</v>
      </c>
      <c r="I61" s="9"/>
      <c r="J61" s="10">
        <f>SUM(D61:I61)</f>
        <v>1.35</v>
      </c>
      <c r="K61" s="11"/>
      <c r="L61" s="8">
        <v>0.56000000000000005</v>
      </c>
      <c r="M61" s="8">
        <v>0.25</v>
      </c>
      <c r="N61" s="8">
        <v>1.1499999999999999</v>
      </c>
      <c r="O61" s="8"/>
      <c r="P61" s="9"/>
      <c r="Q61" s="10">
        <f>SUM(K61:P61)</f>
        <v>1.96</v>
      </c>
      <c r="R61" s="10">
        <f>J61+Q61</f>
        <v>3.31</v>
      </c>
      <c r="S61" s="16"/>
    </row>
    <row r="62" spans="1:19" ht="18" customHeight="1" x14ac:dyDescent="0.2">
      <c r="A62" s="52"/>
      <c r="B62" s="49"/>
      <c r="C62" s="7" t="s">
        <v>28</v>
      </c>
      <c r="D62" s="12">
        <v>0.1</v>
      </c>
      <c r="E62" s="12"/>
      <c r="F62" s="12">
        <v>0.6</v>
      </c>
      <c r="G62" s="12"/>
      <c r="H62" s="12"/>
      <c r="I62" s="13"/>
      <c r="J62" s="14">
        <f>SUM(D62:I62)</f>
        <v>0.7</v>
      </c>
      <c r="K62" s="15"/>
      <c r="L62" s="12"/>
      <c r="M62" s="12"/>
      <c r="N62" s="12"/>
      <c r="O62" s="12"/>
      <c r="P62" s="13"/>
      <c r="Q62" s="14">
        <f>SUM(K62:P62)</f>
        <v>0</v>
      </c>
      <c r="R62" s="14">
        <f>J62+Q62</f>
        <v>0.7</v>
      </c>
      <c r="S62" s="17"/>
    </row>
    <row r="63" spans="1:19" ht="18" customHeight="1" x14ac:dyDescent="0.2">
      <c r="A63" s="52"/>
      <c r="B63" s="49"/>
      <c r="C63" s="23" t="s">
        <v>29</v>
      </c>
      <c r="D63" s="24">
        <f t="shared" ref="D63:I63" si="27">D62-D61</f>
        <v>0.1</v>
      </c>
      <c r="E63" s="24">
        <f t="shared" si="27"/>
        <v>-0.18</v>
      </c>
      <c r="F63" s="24">
        <f t="shared" si="27"/>
        <v>-0.27</v>
      </c>
      <c r="G63" s="24">
        <f t="shared" si="27"/>
        <v>-0.18</v>
      </c>
      <c r="H63" s="24">
        <f t="shared" si="27"/>
        <v>-0.12</v>
      </c>
      <c r="I63" s="27">
        <f t="shared" si="27"/>
        <v>0</v>
      </c>
      <c r="J63" s="30">
        <f>SUM(D63:I63)</f>
        <v>-0.65</v>
      </c>
      <c r="K63" s="29">
        <f t="shared" ref="K63:P63" si="28">K62-K61</f>
        <v>0</v>
      </c>
      <c r="L63" s="24">
        <f t="shared" si="28"/>
        <v>-0.56000000000000005</v>
      </c>
      <c r="M63" s="24">
        <f t="shared" si="28"/>
        <v>-0.25</v>
      </c>
      <c r="N63" s="24">
        <f t="shared" si="28"/>
        <v>-1.1499999999999999</v>
      </c>
      <c r="O63" s="24">
        <f t="shared" si="28"/>
        <v>0</v>
      </c>
      <c r="P63" s="27">
        <f t="shared" si="28"/>
        <v>0</v>
      </c>
      <c r="Q63" s="30">
        <f>SUM(K63:P63)</f>
        <v>-1.96</v>
      </c>
      <c r="R63" s="30">
        <f>J63+Q63</f>
        <v>-2.61</v>
      </c>
      <c r="S63" s="17"/>
    </row>
    <row r="64" spans="1:19" ht="18" customHeight="1" thickBot="1" x14ac:dyDescent="0.25">
      <c r="A64" s="53"/>
      <c r="B64" s="50"/>
      <c r="C64" s="25" t="s">
        <v>30</v>
      </c>
      <c r="D64" s="20"/>
      <c r="E64" s="20"/>
      <c r="F64" s="20"/>
      <c r="G64" s="20"/>
      <c r="H64" s="20"/>
      <c r="I64" s="28"/>
      <c r="J64" s="21">
        <f>I64</f>
        <v>0</v>
      </c>
      <c r="K64" s="22"/>
      <c r="L64" s="20"/>
      <c r="M64" s="20"/>
      <c r="N64" s="20"/>
      <c r="O64" s="20"/>
      <c r="P64" s="28"/>
      <c r="Q64" s="21">
        <f>P64</f>
        <v>0</v>
      </c>
      <c r="R64" s="21">
        <f>Q64</f>
        <v>0</v>
      </c>
      <c r="S64" s="18"/>
    </row>
    <row r="65" spans="1:19" ht="18" customHeight="1" x14ac:dyDescent="0.2">
      <c r="A65" s="51">
        <v>14</v>
      </c>
      <c r="B65" s="48" t="s">
        <v>68</v>
      </c>
      <c r="C65" s="31" t="s">
        <v>27</v>
      </c>
      <c r="D65" s="8">
        <v>0.1</v>
      </c>
      <c r="E65" s="8">
        <v>0.21</v>
      </c>
      <c r="F65" s="8">
        <v>0.62</v>
      </c>
      <c r="G65" s="8">
        <v>1.58</v>
      </c>
      <c r="H65" s="8">
        <v>1.22</v>
      </c>
      <c r="I65" s="9"/>
      <c r="J65" s="10">
        <f>SUM(D65:I65)</f>
        <v>3.7299999999999995</v>
      </c>
      <c r="K65" s="11">
        <v>0.3</v>
      </c>
      <c r="L65" s="8">
        <v>0.3</v>
      </c>
      <c r="M65" s="8">
        <v>0.1</v>
      </c>
      <c r="N65" s="8"/>
      <c r="O65" s="8"/>
      <c r="P65" s="9"/>
      <c r="Q65" s="10">
        <f>SUM(K65:P65)</f>
        <v>0.7</v>
      </c>
      <c r="R65" s="10">
        <f>J65+Q65</f>
        <v>4.43</v>
      </c>
      <c r="S65" s="16"/>
    </row>
    <row r="66" spans="1:19" ht="18" customHeight="1" x14ac:dyDescent="0.2">
      <c r="A66" s="52"/>
      <c r="B66" s="49"/>
      <c r="C66" s="7" t="s">
        <v>28</v>
      </c>
      <c r="D66" s="12"/>
      <c r="E66" s="12"/>
      <c r="F66" s="12"/>
      <c r="G66" s="12">
        <v>0.76</v>
      </c>
      <c r="H66" s="12"/>
      <c r="I66" s="13"/>
      <c r="J66" s="14">
        <f>SUM(D66:I66)</f>
        <v>0.76</v>
      </c>
      <c r="K66" s="15"/>
      <c r="L66" s="12"/>
      <c r="M66" s="12"/>
      <c r="N66" s="12"/>
      <c r="O66" s="12"/>
      <c r="P66" s="13"/>
      <c r="Q66" s="14">
        <f>SUM(K66:P66)</f>
        <v>0</v>
      </c>
      <c r="R66" s="14">
        <f>J66+Q66</f>
        <v>0.76</v>
      </c>
      <c r="S66" s="17"/>
    </row>
    <row r="67" spans="1:19" ht="18" customHeight="1" x14ac:dyDescent="0.2">
      <c r="A67" s="52"/>
      <c r="B67" s="49"/>
      <c r="C67" s="23" t="s">
        <v>29</v>
      </c>
      <c r="D67" s="24">
        <f t="shared" ref="D67:I67" si="29">D66-D65</f>
        <v>-0.1</v>
      </c>
      <c r="E67" s="24">
        <f t="shared" si="29"/>
        <v>-0.21</v>
      </c>
      <c r="F67" s="24">
        <f t="shared" si="29"/>
        <v>-0.62</v>
      </c>
      <c r="G67" s="24">
        <f t="shared" si="29"/>
        <v>-0.82000000000000006</v>
      </c>
      <c r="H67" s="24">
        <f t="shared" si="29"/>
        <v>-1.22</v>
      </c>
      <c r="I67" s="27">
        <f t="shared" si="29"/>
        <v>0</v>
      </c>
      <c r="J67" s="30">
        <f>SUM(D67:I67)</f>
        <v>-2.9699999999999998</v>
      </c>
      <c r="K67" s="29">
        <f t="shared" ref="K67:P67" si="30">K66-K65</f>
        <v>-0.3</v>
      </c>
      <c r="L67" s="24">
        <f t="shared" si="30"/>
        <v>-0.3</v>
      </c>
      <c r="M67" s="24">
        <f t="shared" si="30"/>
        <v>-0.1</v>
      </c>
      <c r="N67" s="24">
        <f t="shared" si="30"/>
        <v>0</v>
      </c>
      <c r="O67" s="24">
        <f t="shared" si="30"/>
        <v>0</v>
      </c>
      <c r="P67" s="27">
        <f t="shared" si="30"/>
        <v>0</v>
      </c>
      <c r="Q67" s="30">
        <f>SUM(K67:P67)</f>
        <v>-0.7</v>
      </c>
      <c r="R67" s="30">
        <f>J67+Q67</f>
        <v>-3.67</v>
      </c>
      <c r="S67" s="17"/>
    </row>
    <row r="68" spans="1:19" ht="18" customHeight="1" thickBot="1" x14ac:dyDescent="0.25">
      <c r="A68" s="53"/>
      <c r="B68" s="50"/>
      <c r="C68" s="25" t="s">
        <v>30</v>
      </c>
      <c r="D68" s="20"/>
      <c r="E68" s="20"/>
      <c r="F68" s="20"/>
      <c r="G68" s="20"/>
      <c r="H68" s="20"/>
      <c r="I68" s="28"/>
      <c r="J68" s="21">
        <f>I68</f>
        <v>0</v>
      </c>
      <c r="K68" s="22"/>
      <c r="L68" s="20"/>
      <c r="M68" s="20"/>
      <c r="N68" s="20"/>
      <c r="O68" s="20"/>
      <c r="P68" s="28"/>
      <c r="Q68" s="21">
        <f>P68</f>
        <v>0</v>
      </c>
      <c r="R68" s="21">
        <f>Q68</f>
        <v>0</v>
      </c>
      <c r="S68" s="18"/>
    </row>
    <row r="69" spans="1:19" ht="18" customHeight="1" x14ac:dyDescent="0.2">
      <c r="A69" s="51">
        <v>15</v>
      </c>
      <c r="B69" s="48" t="s">
        <v>69</v>
      </c>
      <c r="C69" s="31" t="s">
        <v>27</v>
      </c>
      <c r="D69" s="8">
        <v>4.3499999999999996</v>
      </c>
      <c r="E69" s="8">
        <v>5.45</v>
      </c>
      <c r="F69" s="8">
        <v>3.51</v>
      </c>
      <c r="G69" s="8">
        <v>4.0199999999999996</v>
      </c>
      <c r="H69" s="8">
        <v>4.4400000000000004</v>
      </c>
      <c r="I69" s="9">
        <v>14.58</v>
      </c>
      <c r="J69" s="10">
        <f>SUM(D69:I69)</f>
        <v>36.35</v>
      </c>
      <c r="K69" s="11">
        <v>18.53</v>
      </c>
      <c r="L69" s="8">
        <v>8.17</v>
      </c>
      <c r="M69" s="8">
        <v>12.2</v>
      </c>
      <c r="N69" s="8">
        <v>1.38</v>
      </c>
      <c r="O69" s="8">
        <v>1.98</v>
      </c>
      <c r="P69" s="9">
        <v>1.6</v>
      </c>
      <c r="Q69" s="10">
        <f>SUM(K69:P69)</f>
        <v>43.860000000000007</v>
      </c>
      <c r="R69" s="10">
        <f>J69+Q69</f>
        <v>80.210000000000008</v>
      </c>
      <c r="S69" s="16"/>
    </row>
    <row r="70" spans="1:19" ht="18" customHeight="1" x14ac:dyDescent="0.2">
      <c r="A70" s="52"/>
      <c r="B70" s="49"/>
      <c r="C70" s="7" t="s">
        <v>28</v>
      </c>
      <c r="D70" s="12">
        <v>3.66</v>
      </c>
      <c r="E70" s="12">
        <v>5.7</v>
      </c>
      <c r="F70" s="12">
        <v>5.31</v>
      </c>
      <c r="G70" s="12">
        <v>1.86</v>
      </c>
      <c r="H70" s="12"/>
      <c r="I70" s="13"/>
      <c r="J70" s="14">
        <f>SUM(D70:I70)</f>
        <v>16.529999999999998</v>
      </c>
      <c r="K70" s="15"/>
      <c r="L70" s="12"/>
      <c r="M70" s="12"/>
      <c r="N70" s="12"/>
      <c r="O70" s="12"/>
      <c r="P70" s="13"/>
      <c r="Q70" s="14">
        <f>SUM(K70:P70)</f>
        <v>0</v>
      </c>
      <c r="R70" s="14">
        <f>J70+Q70</f>
        <v>16.529999999999998</v>
      </c>
      <c r="S70" s="17"/>
    </row>
    <row r="71" spans="1:19" ht="18" customHeight="1" x14ac:dyDescent="0.2">
      <c r="A71" s="52"/>
      <c r="B71" s="49"/>
      <c r="C71" s="23" t="s">
        <v>29</v>
      </c>
      <c r="D71" s="24">
        <f t="shared" ref="D71:I71" si="31">D70-D69</f>
        <v>-0.6899999999999995</v>
      </c>
      <c r="E71" s="24">
        <f t="shared" si="31"/>
        <v>0.25</v>
      </c>
      <c r="F71" s="24">
        <f t="shared" si="31"/>
        <v>1.7999999999999998</v>
      </c>
      <c r="G71" s="24">
        <f t="shared" si="31"/>
        <v>-2.1599999999999993</v>
      </c>
      <c r="H71" s="24">
        <f t="shared" si="31"/>
        <v>-4.4400000000000004</v>
      </c>
      <c r="I71" s="27">
        <f t="shared" si="31"/>
        <v>-14.58</v>
      </c>
      <c r="J71" s="30">
        <f>SUM(D71:I71)</f>
        <v>-19.82</v>
      </c>
      <c r="K71" s="29">
        <f t="shared" ref="K71:P71" si="32">K70-K69</f>
        <v>-18.53</v>
      </c>
      <c r="L71" s="24">
        <f t="shared" si="32"/>
        <v>-8.17</v>
      </c>
      <c r="M71" s="24">
        <f t="shared" si="32"/>
        <v>-12.2</v>
      </c>
      <c r="N71" s="24">
        <f t="shared" si="32"/>
        <v>-1.38</v>
      </c>
      <c r="O71" s="24">
        <f t="shared" si="32"/>
        <v>-1.98</v>
      </c>
      <c r="P71" s="27">
        <f t="shared" si="32"/>
        <v>-1.6</v>
      </c>
      <c r="Q71" s="30">
        <f>SUM(K71:P71)</f>
        <v>-43.860000000000007</v>
      </c>
      <c r="R71" s="30">
        <f>J71+Q71</f>
        <v>-63.680000000000007</v>
      </c>
      <c r="S71" s="17"/>
    </row>
    <row r="72" spans="1:19" ht="18" customHeight="1" thickBot="1" x14ac:dyDescent="0.25">
      <c r="A72" s="53"/>
      <c r="B72" s="50"/>
      <c r="C72" s="25" t="s">
        <v>30</v>
      </c>
      <c r="D72" s="20"/>
      <c r="E72" s="20"/>
      <c r="F72" s="20"/>
      <c r="G72" s="20"/>
      <c r="H72" s="20"/>
      <c r="I72" s="28"/>
      <c r="J72" s="21">
        <f>I72</f>
        <v>0</v>
      </c>
      <c r="K72" s="22"/>
      <c r="L72" s="20"/>
      <c r="M72" s="20"/>
      <c r="N72" s="20"/>
      <c r="O72" s="20"/>
      <c r="P72" s="28"/>
      <c r="Q72" s="21">
        <f>P72</f>
        <v>0</v>
      </c>
      <c r="R72" s="21">
        <f>Q72</f>
        <v>0</v>
      </c>
      <c r="S72" s="18"/>
    </row>
    <row r="73" spans="1:19" ht="18" customHeight="1" x14ac:dyDescent="0.2">
      <c r="A73" s="51">
        <v>16</v>
      </c>
      <c r="B73" s="48" t="s">
        <v>70</v>
      </c>
      <c r="C73" s="31" t="s">
        <v>27</v>
      </c>
      <c r="D73" s="8"/>
      <c r="E73" s="8"/>
      <c r="F73" s="8">
        <v>0.4</v>
      </c>
      <c r="G73" s="8">
        <v>4.6500000000000004</v>
      </c>
      <c r="H73" s="8"/>
      <c r="I73" s="9">
        <v>1.43</v>
      </c>
      <c r="J73" s="10">
        <f>SUM(D73:I73)</f>
        <v>6.48</v>
      </c>
      <c r="K73" s="11">
        <v>4.6399999999999997</v>
      </c>
      <c r="L73" s="8">
        <v>8.1199999999999992</v>
      </c>
      <c r="M73" s="8">
        <v>1.61</v>
      </c>
      <c r="N73" s="8"/>
      <c r="O73" s="8"/>
      <c r="P73" s="9"/>
      <c r="Q73" s="10">
        <f>SUM(K73:P73)</f>
        <v>14.369999999999997</v>
      </c>
      <c r="R73" s="10">
        <f>J73+Q73</f>
        <v>20.849999999999998</v>
      </c>
      <c r="S73" s="16"/>
    </row>
    <row r="74" spans="1:19" ht="18" customHeight="1" x14ac:dyDescent="0.2">
      <c r="A74" s="52"/>
      <c r="B74" s="49"/>
      <c r="C74" s="7" t="s">
        <v>28</v>
      </c>
      <c r="D74" s="12"/>
      <c r="E74" s="12"/>
      <c r="F74" s="12"/>
      <c r="G74" s="12">
        <v>1.49</v>
      </c>
      <c r="H74" s="12"/>
      <c r="I74" s="13"/>
      <c r="J74" s="14">
        <f>SUM(D74:I74)</f>
        <v>1.49</v>
      </c>
      <c r="K74" s="15"/>
      <c r="L74" s="12"/>
      <c r="M74" s="12"/>
      <c r="N74" s="12"/>
      <c r="O74" s="12"/>
      <c r="P74" s="13"/>
      <c r="Q74" s="14">
        <f>SUM(K74:P74)</f>
        <v>0</v>
      </c>
      <c r="R74" s="14">
        <f>J74+Q74</f>
        <v>1.49</v>
      </c>
      <c r="S74" s="17"/>
    </row>
    <row r="75" spans="1:19" ht="18" customHeight="1" x14ac:dyDescent="0.2">
      <c r="A75" s="52"/>
      <c r="B75" s="49"/>
      <c r="C75" s="23" t="s">
        <v>29</v>
      </c>
      <c r="D75" s="24">
        <f t="shared" ref="D75:I75" si="33">D74-D73</f>
        <v>0</v>
      </c>
      <c r="E75" s="24">
        <f t="shared" si="33"/>
        <v>0</v>
      </c>
      <c r="F75" s="24">
        <f t="shared" si="33"/>
        <v>-0.4</v>
      </c>
      <c r="G75" s="24">
        <f t="shared" si="33"/>
        <v>-3.16</v>
      </c>
      <c r="H75" s="24">
        <f t="shared" si="33"/>
        <v>0</v>
      </c>
      <c r="I75" s="27">
        <f t="shared" si="33"/>
        <v>-1.43</v>
      </c>
      <c r="J75" s="30">
        <f>SUM(D75:I75)</f>
        <v>-4.99</v>
      </c>
      <c r="K75" s="29">
        <f t="shared" ref="K75:P75" si="34">K74-K73</f>
        <v>-4.6399999999999997</v>
      </c>
      <c r="L75" s="24">
        <f t="shared" si="34"/>
        <v>-8.1199999999999992</v>
      </c>
      <c r="M75" s="24">
        <f t="shared" si="34"/>
        <v>-1.61</v>
      </c>
      <c r="N75" s="24">
        <f t="shared" si="34"/>
        <v>0</v>
      </c>
      <c r="O75" s="24">
        <f t="shared" si="34"/>
        <v>0</v>
      </c>
      <c r="P75" s="27">
        <f t="shared" si="34"/>
        <v>0</v>
      </c>
      <c r="Q75" s="30">
        <f>SUM(K75:P75)</f>
        <v>-14.369999999999997</v>
      </c>
      <c r="R75" s="30">
        <f>J75+Q75</f>
        <v>-19.36</v>
      </c>
      <c r="S75" s="17"/>
    </row>
    <row r="76" spans="1:19" ht="18" customHeight="1" thickBot="1" x14ac:dyDescent="0.25">
      <c r="A76" s="53"/>
      <c r="B76" s="50"/>
      <c r="C76" s="25" t="s">
        <v>30</v>
      </c>
      <c r="D76" s="20"/>
      <c r="E76" s="20"/>
      <c r="F76" s="20"/>
      <c r="G76" s="20"/>
      <c r="H76" s="20"/>
      <c r="I76" s="28"/>
      <c r="J76" s="21">
        <f>I76</f>
        <v>0</v>
      </c>
      <c r="K76" s="22"/>
      <c r="L76" s="20"/>
      <c r="M76" s="20"/>
      <c r="N76" s="20"/>
      <c r="O76" s="20"/>
      <c r="P76" s="28"/>
      <c r="Q76" s="21">
        <f>P76</f>
        <v>0</v>
      </c>
      <c r="R76" s="21">
        <f>Q76</f>
        <v>0</v>
      </c>
      <c r="S76" s="18"/>
    </row>
    <row r="77" spans="1:19" ht="18" customHeight="1" x14ac:dyDescent="0.2">
      <c r="A77" s="51">
        <v>17</v>
      </c>
      <c r="B77" s="48" t="s">
        <v>71</v>
      </c>
      <c r="C77" s="31" t="s">
        <v>27</v>
      </c>
      <c r="D77" s="8"/>
      <c r="E77" s="8">
        <v>0.56000000000000005</v>
      </c>
      <c r="F77" s="8">
        <v>0.95</v>
      </c>
      <c r="G77" s="8">
        <v>0.98</v>
      </c>
      <c r="H77" s="8">
        <v>2.2000000000000002</v>
      </c>
      <c r="I77" s="9">
        <v>0.5</v>
      </c>
      <c r="J77" s="10">
        <f>SUM(D77:I77)</f>
        <v>5.19</v>
      </c>
      <c r="K77" s="11">
        <v>1.5</v>
      </c>
      <c r="L77" s="8">
        <v>0.5</v>
      </c>
      <c r="M77" s="8">
        <v>3.54</v>
      </c>
      <c r="N77" s="8">
        <v>0.8</v>
      </c>
      <c r="O77" s="8">
        <v>0.9</v>
      </c>
      <c r="P77" s="9">
        <v>1.4</v>
      </c>
      <c r="Q77" s="10">
        <f>SUM(K77:P77)</f>
        <v>8.64</v>
      </c>
      <c r="R77" s="10">
        <f>J77+Q77</f>
        <v>13.830000000000002</v>
      </c>
      <c r="S77" s="16"/>
    </row>
    <row r="78" spans="1:19" ht="18" customHeight="1" x14ac:dyDescent="0.2">
      <c r="A78" s="52"/>
      <c r="B78" s="49"/>
      <c r="C78" s="7" t="s">
        <v>28</v>
      </c>
      <c r="D78" s="12">
        <v>0.7</v>
      </c>
      <c r="E78" s="12">
        <v>1.1000000000000001</v>
      </c>
      <c r="F78" s="12">
        <v>1.42</v>
      </c>
      <c r="G78" s="12"/>
      <c r="H78" s="12"/>
      <c r="I78" s="13"/>
      <c r="J78" s="14">
        <f>SUM(D78:I78)</f>
        <v>3.2199999999999998</v>
      </c>
      <c r="K78" s="15"/>
      <c r="L78" s="12"/>
      <c r="M78" s="12"/>
      <c r="N78" s="12"/>
      <c r="O78" s="12"/>
      <c r="P78" s="13"/>
      <c r="Q78" s="14">
        <f>SUM(K78:P78)</f>
        <v>0</v>
      </c>
      <c r="R78" s="14">
        <f>J78+Q78</f>
        <v>3.2199999999999998</v>
      </c>
      <c r="S78" s="17"/>
    </row>
    <row r="79" spans="1:19" ht="18" customHeight="1" x14ac:dyDescent="0.2">
      <c r="A79" s="52"/>
      <c r="B79" s="49"/>
      <c r="C79" s="23" t="s">
        <v>29</v>
      </c>
      <c r="D79" s="24">
        <f t="shared" ref="D79:I79" si="35">D78-D77</f>
        <v>0.7</v>
      </c>
      <c r="E79" s="24">
        <f t="shared" si="35"/>
        <v>0.54</v>
      </c>
      <c r="F79" s="24">
        <f t="shared" si="35"/>
        <v>0.47</v>
      </c>
      <c r="G79" s="24">
        <f t="shared" si="35"/>
        <v>-0.98</v>
      </c>
      <c r="H79" s="24">
        <f t="shared" si="35"/>
        <v>-2.2000000000000002</v>
      </c>
      <c r="I79" s="27">
        <f t="shared" si="35"/>
        <v>-0.5</v>
      </c>
      <c r="J79" s="30">
        <f>SUM(D79:I79)</f>
        <v>-1.9700000000000002</v>
      </c>
      <c r="K79" s="29">
        <f t="shared" ref="K79:P79" si="36">K78-K77</f>
        <v>-1.5</v>
      </c>
      <c r="L79" s="24">
        <f t="shared" si="36"/>
        <v>-0.5</v>
      </c>
      <c r="M79" s="24">
        <f t="shared" si="36"/>
        <v>-3.54</v>
      </c>
      <c r="N79" s="24">
        <f t="shared" si="36"/>
        <v>-0.8</v>
      </c>
      <c r="O79" s="24">
        <f t="shared" si="36"/>
        <v>-0.9</v>
      </c>
      <c r="P79" s="27">
        <f t="shared" si="36"/>
        <v>-1.4</v>
      </c>
      <c r="Q79" s="30">
        <f>SUM(K79:P79)</f>
        <v>-8.64</v>
      </c>
      <c r="R79" s="30">
        <f>J79+Q79</f>
        <v>-10.610000000000001</v>
      </c>
      <c r="S79" s="17"/>
    </row>
    <row r="80" spans="1:19" ht="18" customHeight="1" thickBot="1" x14ac:dyDescent="0.25">
      <c r="A80" s="53"/>
      <c r="B80" s="50"/>
      <c r="C80" s="25" t="s">
        <v>30</v>
      </c>
      <c r="D80" s="20"/>
      <c r="E80" s="20"/>
      <c r="F80" s="20"/>
      <c r="G80" s="20"/>
      <c r="H80" s="20"/>
      <c r="I80" s="28"/>
      <c r="J80" s="21">
        <f>I80</f>
        <v>0</v>
      </c>
      <c r="K80" s="22"/>
      <c r="L80" s="20"/>
      <c r="M80" s="20"/>
      <c r="N80" s="20"/>
      <c r="O80" s="20"/>
      <c r="P80" s="28"/>
      <c r="Q80" s="21">
        <f>P80</f>
        <v>0</v>
      </c>
      <c r="R80" s="21">
        <f>Q80</f>
        <v>0</v>
      </c>
      <c r="S80" s="18"/>
    </row>
    <row r="81" spans="1:19" ht="18" customHeight="1" x14ac:dyDescent="0.2">
      <c r="A81" s="51">
        <v>18</v>
      </c>
      <c r="B81" s="48" t="s">
        <v>72</v>
      </c>
      <c r="C81" s="31" t="s">
        <v>27</v>
      </c>
      <c r="D81" s="8"/>
      <c r="E81" s="8">
        <v>0.24</v>
      </c>
      <c r="F81" s="8">
        <v>12.43</v>
      </c>
      <c r="G81" s="8">
        <v>7.47</v>
      </c>
      <c r="H81" s="8">
        <v>2.78</v>
      </c>
      <c r="I81" s="9">
        <v>0.5</v>
      </c>
      <c r="J81" s="10">
        <f>SUM(D81:I81)</f>
        <v>23.42</v>
      </c>
      <c r="K81" s="11">
        <v>10.27</v>
      </c>
      <c r="L81" s="8">
        <v>6.52</v>
      </c>
      <c r="M81" s="8">
        <v>0.74</v>
      </c>
      <c r="N81" s="8"/>
      <c r="O81" s="8"/>
      <c r="P81" s="9"/>
      <c r="Q81" s="10">
        <f>SUM(K81:P81)</f>
        <v>17.529999999999998</v>
      </c>
      <c r="R81" s="10">
        <f>J81+Q81</f>
        <v>40.950000000000003</v>
      </c>
      <c r="S81" s="16"/>
    </row>
    <row r="82" spans="1:19" ht="18" customHeight="1" x14ac:dyDescent="0.2">
      <c r="A82" s="52"/>
      <c r="B82" s="49"/>
      <c r="C82" s="7" t="s">
        <v>28</v>
      </c>
      <c r="D82" s="12"/>
      <c r="E82" s="12"/>
      <c r="F82" s="12"/>
      <c r="G82" s="12">
        <v>1.62</v>
      </c>
      <c r="H82" s="12"/>
      <c r="I82" s="13"/>
      <c r="J82" s="14">
        <f>SUM(D82:I82)</f>
        <v>1.62</v>
      </c>
      <c r="K82" s="15"/>
      <c r="L82" s="12"/>
      <c r="M82" s="12"/>
      <c r="N82" s="12"/>
      <c r="O82" s="12"/>
      <c r="P82" s="13"/>
      <c r="Q82" s="14">
        <f>SUM(K82:P82)</f>
        <v>0</v>
      </c>
      <c r="R82" s="14">
        <f>J82+Q82</f>
        <v>1.62</v>
      </c>
      <c r="S82" s="17"/>
    </row>
    <row r="83" spans="1:19" ht="18" customHeight="1" x14ac:dyDescent="0.2">
      <c r="A83" s="52"/>
      <c r="B83" s="49"/>
      <c r="C83" s="23" t="s">
        <v>29</v>
      </c>
      <c r="D83" s="24">
        <f t="shared" ref="D83:I83" si="37">D82-D81</f>
        <v>0</v>
      </c>
      <c r="E83" s="24">
        <f t="shared" si="37"/>
        <v>-0.24</v>
      </c>
      <c r="F83" s="24">
        <f t="shared" si="37"/>
        <v>-12.43</v>
      </c>
      <c r="G83" s="24">
        <f t="shared" si="37"/>
        <v>-5.85</v>
      </c>
      <c r="H83" s="24">
        <f t="shared" si="37"/>
        <v>-2.78</v>
      </c>
      <c r="I83" s="27">
        <f t="shared" si="37"/>
        <v>-0.5</v>
      </c>
      <c r="J83" s="30">
        <f>SUM(D83:I83)</f>
        <v>-21.8</v>
      </c>
      <c r="K83" s="29">
        <f t="shared" ref="K83:P83" si="38">K82-K81</f>
        <v>-10.27</v>
      </c>
      <c r="L83" s="24">
        <f t="shared" si="38"/>
        <v>-6.52</v>
      </c>
      <c r="M83" s="24">
        <f t="shared" si="38"/>
        <v>-0.74</v>
      </c>
      <c r="N83" s="24">
        <f t="shared" si="38"/>
        <v>0</v>
      </c>
      <c r="O83" s="24">
        <f t="shared" si="38"/>
        <v>0</v>
      </c>
      <c r="P83" s="27">
        <f t="shared" si="38"/>
        <v>0</v>
      </c>
      <c r="Q83" s="30">
        <f>SUM(K83:P83)</f>
        <v>-17.529999999999998</v>
      </c>
      <c r="R83" s="30">
        <f>J83+Q83</f>
        <v>-39.33</v>
      </c>
      <c r="S83" s="17"/>
    </row>
    <row r="84" spans="1:19" ht="18" customHeight="1" thickBot="1" x14ac:dyDescent="0.25">
      <c r="A84" s="53"/>
      <c r="B84" s="50"/>
      <c r="C84" s="25" t="s">
        <v>30</v>
      </c>
      <c r="D84" s="20"/>
      <c r="E84" s="20"/>
      <c r="F84" s="20"/>
      <c r="G84" s="20"/>
      <c r="H84" s="20"/>
      <c r="I84" s="28"/>
      <c r="J84" s="21">
        <f>I84</f>
        <v>0</v>
      </c>
      <c r="K84" s="22"/>
      <c r="L84" s="20"/>
      <c r="M84" s="20"/>
      <c r="N84" s="20"/>
      <c r="O84" s="20"/>
      <c r="P84" s="28"/>
      <c r="Q84" s="21">
        <f>P84</f>
        <v>0</v>
      </c>
      <c r="R84" s="21">
        <f>Q84</f>
        <v>0</v>
      </c>
      <c r="S84" s="18"/>
    </row>
    <row r="85" spans="1:19" ht="18" customHeight="1" x14ac:dyDescent="0.2">
      <c r="A85" s="51">
        <v>19</v>
      </c>
      <c r="B85" s="48" t="s">
        <v>73</v>
      </c>
      <c r="C85" s="31" t="s">
        <v>27</v>
      </c>
      <c r="D85" s="8"/>
      <c r="E85" s="8"/>
      <c r="F85" s="8">
        <v>0.45</v>
      </c>
      <c r="G85" s="8">
        <v>0.75</v>
      </c>
      <c r="H85" s="8">
        <v>0.45</v>
      </c>
      <c r="I85" s="9"/>
      <c r="J85" s="10">
        <f>SUM(D85:I85)</f>
        <v>1.65</v>
      </c>
      <c r="K85" s="11"/>
      <c r="L85" s="8">
        <v>0.68</v>
      </c>
      <c r="M85" s="8">
        <v>13.18</v>
      </c>
      <c r="N85" s="8">
        <v>2.1800000000000002</v>
      </c>
      <c r="O85" s="8">
        <v>0.54</v>
      </c>
      <c r="P85" s="9">
        <v>0.5</v>
      </c>
      <c r="Q85" s="10">
        <f>SUM(K85:P85)</f>
        <v>17.079999999999998</v>
      </c>
      <c r="R85" s="10">
        <f>J85+Q85</f>
        <v>18.729999999999997</v>
      </c>
      <c r="S85" s="16"/>
    </row>
    <row r="86" spans="1:19" ht="18" customHeight="1" x14ac:dyDescent="0.2">
      <c r="A86" s="52"/>
      <c r="B86" s="49"/>
      <c r="C86" s="7" t="s">
        <v>28</v>
      </c>
      <c r="D86" s="12">
        <v>1.48</v>
      </c>
      <c r="E86" s="12">
        <v>0.76</v>
      </c>
      <c r="F86" s="12"/>
      <c r="G86" s="12"/>
      <c r="H86" s="12"/>
      <c r="I86" s="13"/>
      <c r="J86" s="14">
        <f>SUM(D86:I86)</f>
        <v>2.2400000000000002</v>
      </c>
      <c r="K86" s="15"/>
      <c r="L86" s="12"/>
      <c r="M86" s="12"/>
      <c r="N86" s="12"/>
      <c r="O86" s="12"/>
      <c r="P86" s="13"/>
      <c r="Q86" s="14">
        <f>SUM(K86:P86)</f>
        <v>0</v>
      </c>
      <c r="R86" s="14">
        <f>J86+Q86</f>
        <v>2.2400000000000002</v>
      </c>
      <c r="S86" s="17"/>
    </row>
    <row r="87" spans="1:19" ht="18" customHeight="1" x14ac:dyDescent="0.2">
      <c r="A87" s="52"/>
      <c r="B87" s="49"/>
      <c r="C87" s="23" t="s">
        <v>29</v>
      </c>
      <c r="D87" s="24">
        <f t="shared" ref="D87:I87" si="39">D86-D85</f>
        <v>1.48</v>
      </c>
      <c r="E87" s="24">
        <f t="shared" si="39"/>
        <v>0.76</v>
      </c>
      <c r="F87" s="24">
        <f t="shared" si="39"/>
        <v>-0.45</v>
      </c>
      <c r="G87" s="24">
        <f t="shared" si="39"/>
        <v>-0.75</v>
      </c>
      <c r="H87" s="24">
        <f t="shared" si="39"/>
        <v>-0.45</v>
      </c>
      <c r="I87" s="27">
        <f t="shared" si="39"/>
        <v>0</v>
      </c>
      <c r="J87" s="30">
        <f>SUM(D87:I87)</f>
        <v>0.5900000000000003</v>
      </c>
      <c r="K87" s="29">
        <f t="shared" ref="K87:P87" si="40">K86-K85</f>
        <v>0</v>
      </c>
      <c r="L87" s="24">
        <f t="shared" si="40"/>
        <v>-0.68</v>
      </c>
      <c r="M87" s="24">
        <f t="shared" si="40"/>
        <v>-13.18</v>
      </c>
      <c r="N87" s="24">
        <f t="shared" si="40"/>
        <v>-2.1800000000000002</v>
      </c>
      <c r="O87" s="24">
        <f t="shared" si="40"/>
        <v>-0.54</v>
      </c>
      <c r="P87" s="27">
        <f t="shared" si="40"/>
        <v>-0.5</v>
      </c>
      <c r="Q87" s="30">
        <f>SUM(K87:P87)</f>
        <v>-17.079999999999998</v>
      </c>
      <c r="R87" s="30">
        <f>J87+Q87</f>
        <v>-16.489999999999998</v>
      </c>
      <c r="S87" s="17"/>
    </row>
    <row r="88" spans="1:19" ht="18" customHeight="1" thickBot="1" x14ac:dyDescent="0.25">
      <c r="A88" s="53"/>
      <c r="B88" s="50"/>
      <c r="C88" s="25" t="s">
        <v>30</v>
      </c>
      <c r="D88" s="20"/>
      <c r="E88" s="20"/>
      <c r="F88" s="20"/>
      <c r="G88" s="20"/>
      <c r="H88" s="20"/>
      <c r="I88" s="28"/>
      <c r="J88" s="21">
        <f>I88</f>
        <v>0</v>
      </c>
      <c r="K88" s="22"/>
      <c r="L88" s="20"/>
      <c r="M88" s="20"/>
      <c r="N88" s="20"/>
      <c r="O88" s="20"/>
      <c r="P88" s="28"/>
      <c r="Q88" s="21">
        <f>P88</f>
        <v>0</v>
      </c>
      <c r="R88" s="21">
        <f>Q88</f>
        <v>0</v>
      </c>
      <c r="S88" s="18"/>
    </row>
    <row r="89" spans="1:19" ht="18" customHeight="1" x14ac:dyDescent="0.2">
      <c r="A89" s="51">
        <v>20</v>
      </c>
      <c r="B89" s="48" t="s">
        <v>74</v>
      </c>
      <c r="C89" s="31" t="s">
        <v>27</v>
      </c>
      <c r="D89" s="8"/>
      <c r="E89" s="8"/>
      <c r="F89" s="8"/>
      <c r="G89" s="8">
        <v>1.31</v>
      </c>
      <c r="H89" s="8">
        <v>3.4</v>
      </c>
      <c r="I89" s="9">
        <v>3.12</v>
      </c>
      <c r="J89" s="10">
        <f>SUM(D89:I89)</f>
        <v>7.83</v>
      </c>
      <c r="K89" s="11">
        <v>6.9</v>
      </c>
      <c r="L89" s="8">
        <v>7.69</v>
      </c>
      <c r="M89" s="8">
        <v>4</v>
      </c>
      <c r="N89" s="8"/>
      <c r="O89" s="8"/>
      <c r="P89" s="9"/>
      <c r="Q89" s="10">
        <f>SUM(K89:P89)</f>
        <v>18.59</v>
      </c>
      <c r="R89" s="10">
        <f>J89+Q89</f>
        <v>26.42</v>
      </c>
      <c r="S89" s="16"/>
    </row>
    <row r="90" spans="1:19" ht="18" customHeight="1" x14ac:dyDescent="0.2">
      <c r="A90" s="52"/>
      <c r="B90" s="49"/>
      <c r="C90" s="7" t="s">
        <v>28</v>
      </c>
      <c r="D90" s="12"/>
      <c r="E90" s="12"/>
      <c r="F90" s="12"/>
      <c r="G90" s="12"/>
      <c r="H90" s="12"/>
      <c r="I90" s="13"/>
      <c r="J90" s="14">
        <f>SUM(D90:I90)</f>
        <v>0</v>
      </c>
      <c r="K90" s="15"/>
      <c r="L90" s="12"/>
      <c r="M90" s="12"/>
      <c r="N90" s="12"/>
      <c r="O90" s="12"/>
      <c r="P90" s="13"/>
      <c r="Q90" s="14">
        <f>SUM(K90:P90)</f>
        <v>0</v>
      </c>
      <c r="R90" s="14">
        <f>J90+Q90</f>
        <v>0</v>
      </c>
      <c r="S90" s="17"/>
    </row>
    <row r="91" spans="1:19" ht="18" customHeight="1" x14ac:dyDescent="0.2">
      <c r="A91" s="52"/>
      <c r="B91" s="49"/>
      <c r="C91" s="23" t="s">
        <v>29</v>
      </c>
      <c r="D91" s="24">
        <f t="shared" ref="D91:I91" si="41">D90-D89</f>
        <v>0</v>
      </c>
      <c r="E91" s="24">
        <f t="shared" si="41"/>
        <v>0</v>
      </c>
      <c r="F91" s="24">
        <f t="shared" si="41"/>
        <v>0</v>
      </c>
      <c r="G91" s="24">
        <f t="shared" si="41"/>
        <v>-1.31</v>
      </c>
      <c r="H91" s="24">
        <f t="shared" si="41"/>
        <v>-3.4</v>
      </c>
      <c r="I91" s="27">
        <f t="shared" si="41"/>
        <v>-3.12</v>
      </c>
      <c r="J91" s="30">
        <f>SUM(D91:I91)</f>
        <v>-7.83</v>
      </c>
      <c r="K91" s="29">
        <f t="shared" ref="K91:P91" si="42">K90-K89</f>
        <v>-6.9</v>
      </c>
      <c r="L91" s="24">
        <f t="shared" si="42"/>
        <v>-7.69</v>
      </c>
      <c r="M91" s="24">
        <f t="shared" si="42"/>
        <v>-4</v>
      </c>
      <c r="N91" s="24">
        <f t="shared" si="42"/>
        <v>0</v>
      </c>
      <c r="O91" s="24">
        <f t="shared" si="42"/>
        <v>0</v>
      </c>
      <c r="P91" s="27">
        <f t="shared" si="42"/>
        <v>0</v>
      </c>
      <c r="Q91" s="30">
        <f>SUM(K91:P91)</f>
        <v>-18.59</v>
      </c>
      <c r="R91" s="30">
        <f>J91+Q91</f>
        <v>-26.42</v>
      </c>
      <c r="S91" s="17"/>
    </row>
    <row r="92" spans="1:19" ht="18" customHeight="1" thickBot="1" x14ac:dyDescent="0.25">
      <c r="A92" s="53"/>
      <c r="B92" s="50"/>
      <c r="C92" s="25" t="s">
        <v>30</v>
      </c>
      <c r="D92" s="20"/>
      <c r="E92" s="20"/>
      <c r="F92" s="20"/>
      <c r="G92" s="20"/>
      <c r="H92" s="20"/>
      <c r="I92" s="28"/>
      <c r="J92" s="21">
        <f>I92</f>
        <v>0</v>
      </c>
      <c r="K92" s="22"/>
      <c r="L92" s="20"/>
      <c r="M92" s="20"/>
      <c r="N92" s="20"/>
      <c r="O92" s="20"/>
      <c r="P92" s="28"/>
      <c r="Q92" s="21">
        <f>P92</f>
        <v>0</v>
      </c>
      <c r="R92" s="21">
        <f>Q92</f>
        <v>0</v>
      </c>
      <c r="S92" s="18"/>
    </row>
    <row r="93" spans="1:19" ht="18" customHeight="1" thickBot="1" x14ac:dyDescent="0.25">
      <c r="A93" s="56">
        <v>20</v>
      </c>
      <c r="B93" s="58" t="s">
        <v>75</v>
      </c>
      <c r="C93" s="31" t="s">
        <v>27</v>
      </c>
      <c r="D93" s="8"/>
      <c r="E93" s="8"/>
      <c r="F93" s="8"/>
      <c r="G93" s="8">
        <v>3.45</v>
      </c>
      <c r="H93" s="8">
        <v>1.24</v>
      </c>
      <c r="I93" s="9"/>
      <c r="J93" s="10">
        <f>SUM(D93:I93)</f>
        <v>4.6900000000000004</v>
      </c>
      <c r="K93" s="11">
        <v>1.69</v>
      </c>
      <c r="L93" s="8">
        <v>2.87</v>
      </c>
      <c r="M93" s="8">
        <v>0.3</v>
      </c>
      <c r="N93" s="8"/>
      <c r="O93" s="8"/>
      <c r="P93" s="9"/>
      <c r="Q93" s="10">
        <f>SUM(K93:P93)</f>
        <v>4.8600000000000003</v>
      </c>
      <c r="R93" s="10">
        <f>J93+Q93</f>
        <v>9.5500000000000007</v>
      </c>
      <c r="S93" s="16"/>
    </row>
    <row r="94" spans="1:19" ht="18" customHeight="1" x14ac:dyDescent="0.2">
      <c r="A94" s="52"/>
      <c r="B94" s="49"/>
      <c r="C94" s="7" t="s">
        <v>28</v>
      </c>
      <c r="D94" s="12"/>
      <c r="E94" s="12"/>
      <c r="F94" s="12"/>
      <c r="G94" s="12"/>
      <c r="H94" s="12"/>
      <c r="I94" s="13"/>
      <c r="J94" s="14">
        <f>SUM(D94:I94)</f>
        <v>0</v>
      </c>
      <c r="K94" s="15"/>
      <c r="L94" s="12"/>
      <c r="M94" s="12"/>
      <c r="N94" s="12"/>
      <c r="O94" s="12"/>
      <c r="P94" s="13"/>
      <c r="Q94" s="14">
        <f>SUM(K94:P94)</f>
        <v>0</v>
      </c>
      <c r="R94" s="14">
        <f>J94+Q94</f>
        <v>0</v>
      </c>
      <c r="S94" s="17"/>
    </row>
    <row r="95" spans="1:19" ht="18" customHeight="1" x14ac:dyDescent="0.2">
      <c r="A95" s="52"/>
      <c r="B95" s="49"/>
      <c r="C95" s="23" t="s">
        <v>29</v>
      </c>
      <c r="D95" s="24">
        <f t="shared" ref="D95:I95" si="43">D94-D93</f>
        <v>0</v>
      </c>
      <c r="E95" s="24">
        <f t="shared" si="43"/>
        <v>0</v>
      </c>
      <c r="F95" s="24">
        <f t="shared" si="43"/>
        <v>0</v>
      </c>
      <c r="G95" s="24">
        <f t="shared" si="43"/>
        <v>-3.45</v>
      </c>
      <c r="H95" s="24">
        <f t="shared" si="43"/>
        <v>-1.24</v>
      </c>
      <c r="I95" s="27">
        <f t="shared" si="43"/>
        <v>0</v>
      </c>
      <c r="J95" s="30">
        <f>SUM(D95:I95)</f>
        <v>-4.6900000000000004</v>
      </c>
      <c r="K95" s="29">
        <f t="shared" ref="K95:P95" si="44">K94-K93</f>
        <v>-1.69</v>
      </c>
      <c r="L95" s="24">
        <f t="shared" si="44"/>
        <v>-2.87</v>
      </c>
      <c r="M95" s="24">
        <f t="shared" si="44"/>
        <v>-0.3</v>
      </c>
      <c r="N95" s="24">
        <f t="shared" si="44"/>
        <v>0</v>
      </c>
      <c r="O95" s="24">
        <f t="shared" si="44"/>
        <v>0</v>
      </c>
      <c r="P95" s="27">
        <f t="shared" si="44"/>
        <v>0</v>
      </c>
      <c r="Q95" s="30">
        <f>SUM(K95:P95)</f>
        <v>-4.8600000000000003</v>
      </c>
      <c r="R95" s="30">
        <f>J95+Q95</f>
        <v>-9.5500000000000007</v>
      </c>
      <c r="S95" s="17"/>
    </row>
    <row r="96" spans="1:19" ht="18" customHeight="1" thickBot="1" x14ac:dyDescent="0.25">
      <c r="A96" s="57"/>
      <c r="B96" s="59"/>
      <c r="C96" s="25" t="s">
        <v>30</v>
      </c>
      <c r="D96" s="20"/>
      <c r="E96" s="20"/>
      <c r="F96" s="20"/>
      <c r="G96" s="20"/>
      <c r="H96" s="20"/>
      <c r="I96" s="28"/>
      <c r="J96" s="21">
        <f>I96</f>
        <v>0</v>
      </c>
      <c r="K96" s="22"/>
      <c r="L96" s="20"/>
      <c r="M96" s="20"/>
      <c r="N96" s="20"/>
      <c r="O96" s="20"/>
      <c r="P96" s="28"/>
      <c r="Q96" s="21">
        <f>P96</f>
        <v>0</v>
      </c>
      <c r="R96" s="21">
        <f>Q96</f>
        <v>0</v>
      </c>
      <c r="S96" s="18"/>
    </row>
    <row r="97" spans="1:19" ht="18" customHeight="1" thickBot="1" x14ac:dyDescent="0.25">
      <c r="A97" s="56">
        <v>20</v>
      </c>
      <c r="B97" s="58" t="s">
        <v>76</v>
      </c>
      <c r="C97" s="31" t="s">
        <v>27</v>
      </c>
      <c r="D97" s="8"/>
      <c r="E97" s="8"/>
      <c r="F97" s="8"/>
      <c r="G97" s="8"/>
      <c r="H97" s="8"/>
      <c r="I97" s="9"/>
      <c r="J97" s="10">
        <f>SUM(D97:I97)</f>
        <v>0</v>
      </c>
      <c r="K97" s="11"/>
      <c r="L97" s="8"/>
      <c r="M97" s="8">
        <v>3.84</v>
      </c>
      <c r="N97" s="8">
        <v>3.3</v>
      </c>
      <c r="O97" s="8"/>
      <c r="P97" s="9"/>
      <c r="Q97" s="10">
        <f>SUM(K97:P97)</f>
        <v>7.14</v>
      </c>
      <c r="R97" s="10">
        <f>J97+Q97</f>
        <v>7.14</v>
      </c>
      <c r="S97" s="16"/>
    </row>
    <row r="98" spans="1:19" ht="18" customHeight="1" x14ac:dyDescent="0.2">
      <c r="A98" s="52"/>
      <c r="B98" s="49"/>
      <c r="C98" s="7" t="s">
        <v>28</v>
      </c>
      <c r="D98" s="12"/>
      <c r="E98" s="12"/>
      <c r="F98" s="12"/>
      <c r="G98" s="12">
        <v>0.96</v>
      </c>
      <c r="H98" s="12"/>
      <c r="I98" s="13"/>
      <c r="J98" s="14">
        <f>SUM(D98:I98)</f>
        <v>0.96</v>
      </c>
      <c r="K98" s="15"/>
      <c r="L98" s="12"/>
      <c r="M98" s="12"/>
      <c r="N98" s="12"/>
      <c r="O98" s="12"/>
      <c r="P98" s="13"/>
      <c r="Q98" s="14">
        <f>SUM(K98:P98)</f>
        <v>0</v>
      </c>
      <c r="R98" s="14">
        <f>J98+Q98</f>
        <v>0.96</v>
      </c>
      <c r="S98" s="17"/>
    </row>
    <row r="99" spans="1:19" ht="18" customHeight="1" x14ac:dyDescent="0.2">
      <c r="A99" s="52"/>
      <c r="B99" s="49"/>
      <c r="C99" s="23" t="s">
        <v>29</v>
      </c>
      <c r="D99" s="24">
        <f t="shared" ref="D99:I99" si="45">D98-D97</f>
        <v>0</v>
      </c>
      <c r="E99" s="24">
        <f t="shared" si="45"/>
        <v>0</v>
      </c>
      <c r="F99" s="24">
        <f t="shared" si="45"/>
        <v>0</v>
      </c>
      <c r="G99" s="24">
        <f t="shared" si="45"/>
        <v>0.96</v>
      </c>
      <c r="H99" s="24">
        <f t="shared" si="45"/>
        <v>0</v>
      </c>
      <c r="I99" s="27">
        <f t="shared" si="45"/>
        <v>0</v>
      </c>
      <c r="J99" s="30">
        <f>SUM(D99:I99)</f>
        <v>0.96</v>
      </c>
      <c r="K99" s="29">
        <f t="shared" ref="K99:P99" si="46">K98-K97</f>
        <v>0</v>
      </c>
      <c r="L99" s="24">
        <f t="shared" si="46"/>
        <v>0</v>
      </c>
      <c r="M99" s="24">
        <f t="shared" si="46"/>
        <v>-3.84</v>
      </c>
      <c r="N99" s="24">
        <f t="shared" si="46"/>
        <v>-3.3</v>
      </c>
      <c r="O99" s="24">
        <f t="shared" si="46"/>
        <v>0</v>
      </c>
      <c r="P99" s="27">
        <f t="shared" si="46"/>
        <v>0</v>
      </c>
      <c r="Q99" s="30">
        <f>SUM(K99:P99)</f>
        <v>-7.14</v>
      </c>
      <c r="R99" s="30">
        <f>J99+Q99</f>
        <v>-6.18</v>
      </c>
      <c r="S99" s="17"/>
    </row>
    <row r="100" spans="1:19" ht="18" customHeight="1" thickBot="1" x14ac:dyDescent="0.25">
      <c r="A100" s="57"/>
      <c r="B100" s="59"/>
      <c r="C100" s="25" t="s">
        <v>30</v>
      </c>
      <c r="D100" s="20"/>
      <c r="E100" s="20"/>
      <c r="F100" s="20"/>
      <c r="G100" s="20"/>
      <c r="H100" s="20"/>
      <c r="I100" s="28"/>
      <c r="J100" s="21">
        <f>I100</f>
        <v>0</v>
      </c>
      <c r="K100" s="22"/>
      <c r="L100" s="20"/>
      <c r="M100" s="20"/>
      <c r="N100" s="20"/>
      <c r="O100" s="20"/>
      <c r="P100" s="28"/>
      <c r="Q100" s="21">
        <f>P100</f>
        <v>0</v>
      </c>
      <c r="R100" s="21">
        <f>Q100</f>
        <v>0</v>
      </c>
      <c r="S100" s="18"/>
    </row>
    <row r="101" spans="1:19" ht="18" customHeight="1" x14ac:dyDescent="0.2">
      <c r="A101" s="51">
        <v>21</v>
      </c>
      <c r="B101" s="48" t="s">
        <v>77</v>
      </c>
      <c r="C101" s="31" t="s">
        <v>27</v>
      </c>
      <c r="D101" s="8">
        <v>0.27</v>
      </c>
      <c r="E101" s="8">
        <v>3.21</v>
      </c>
      <c r="F101" s="8">
        <v>3.61</v>
      </c>
      <c r="G101" s="8">
        <v>4.57</v>
      </c>
      <c r="H101" s="8">
        <v>2.89</v>
      </c>
      <c r="I101" s="9">
        <v>15.04</v>
      </c>
      <c r="J101" s="10">
        <f>SUM(D101:I101)</f>
        <v>29.59</v>
      </c>
      <c r="K101" s="11"/>
      <c r="L101" s="8">
        <v>5.54</v>
      </c>
      <c r="M101" s="8">
        <v>0.14000000000000001</v>
      </c>
      <c r="N101" s="8"/>
      <c r="O101" s="8"/>
      <c r="P101" s="9"/>
      <c r="Q101" s="10">
        <f>SUM(K101:P101)</f>
        <v>5.68</v>
      </c>
      <c r="R101" s="10">
        <f>J101+Q101</f>
        <v>35.269999999999996</v>
      </c>
      <c r="S101" s="16"/>
    </row>
    <row r="102" spans="1:19" ht="18" customHeight="1" x14ac:dyDescent="0.2">
      <c r="A102" s="52"/>
      <c r="B102" s="49"/>
      <c r="C102" s="7" t="s">
        <v>28</v>
      </c>
      <c r="D102" s="12"/>
      <c r="E102" s="12"/>
      <c r="F102" s="12"/>
      <c r="G102" s="12"/>
      <c r="H102" s="12"/>
      <c r="I102" s="13"/>
      <c r="J102" s="14">
        <f>SUM(D102:I102)</f>
        <v>0</v>
      </c>
      <c r="K102" s="15"/>
      <c r="L102" s="12"/>
      <c r="M102" s="12"/>
      <c r="N102" s="12"/>
      <c r="O102" s="12"/>
      <c r="P102" s="13"/>
      <c r="Q102" s="14">
        <f>SUM(K102:P102)</f>
        <v>0</v>
      </c>
      <c r="R102" s="14">
        <f>J102+Q102</f>
        <v>0</v>
      </c>
      <c r="S102" s="17"/>
    </row>
    <row r="103" spans="1:19" ht="18" customHeight="1" x14ac:dyDescent="0.2">
      <c r="A103" s="52"/>
      <c r="B103" s="49"/>
      <c r="C103" s="23" t="s">
        <v>29</v>
      </c>
      <c r="D103" s="24">
        <f t="shared" ref="D103:I103" si="47">D102-D101</f>
        <v>-0.27</v>
      </c>
      <c r="E103" s="24">
        <f t="shared" si="47"/>
        <v>-3.21</v>
      </c>
      <c r="F103" s="24">
        <f t="shared" si="47"/>
        <v>-3.61</v>
      </c>
      <c r="G103" s="24">
        <f t="shared" si="47"/>
        <v>-4.57</v>
      </c>
      <c r="H103" s="24">
        <f t="shared" si="47"/>
        <v>-2.89</v>
      </c>
      <c r="I103" s="27">
        <f t="shared" si="47"/>
        <v>-15.04</v>
      </c>
      <c r="J103" s="30">
        <f>SUM(D103:I103)</f>
        <v>-29.59</v>
      </c>
      <c r="K103" s="29">
        <f t="shared" ref="K103:P103" si="48">K102-K101</f>
        <v>0</v>
      </c>
      <c r="L103" s="24">
        <f t="shared" si="48"/>
        <v>-5.54</v>
      </c>
      <c r="M103" s="24">
        <f t="shared" si="48"/>
        <v>-0.14000000000000001</v>
      </c>
      <c r="N103" s="24">
        <f t="shared" si="48"/>
        <v>0</v>
      </c>
      <c r="O103" s="24">
        <f t="shared" si="48"/>
        <v>0</v>
      </c>
      <c r="P103" s="27">
        <f t="shared" si="48"/>
        <v>0</v>
      </c>
      <c r="Q103" s="30">
        <f>SUM(K103:P103)</f>
        <v>-5.68</v>
      </c>
      <c r="R103" s="30">
        <f>J103+Q103</f>
        <v>-35.269999999999996</v>
      </c>
      <c r="S103" s="17"/>
    </row>
    <row r="104" spans="1:19" ht="18" customHeight="1" thickBot="1" x14ac:dyDescent="0.25">
      <c r="A104" s="53"/>
      <c r="B104" s="50"/>
      <c r="C104" s="25" t="s">
        <v>30</v>
      </c>
      <c r="D104" s="20"/>
      <c r="E104" s="20"/>
      <c r="F104" s="20"/>
      <c r="G104" s="20"/>
      <c r="H104" s="20"/>
      <c r="I104" s="28"/>
      <c r="J104" s="21">
        <f>I104</f>
        <v>0</v>
      </c>
      <c r="K104" s="22"/>
      <c r="L104" s="20"/>
      <c r="M104" s="20"/>
      <c r="N104" s="20"/>
      <c r="O104" s="20"/>
      <c r="P104" s="28"/>
      <c r="Q104" s="21">
        <f>P104</f>
        <v>0</v>
      </c>
      <c r="R104" s="21">
        <f>Q104</f>
        <v>0</v>
      </c>
      <c r="S104" s="18"/>
    </row>
    <row r="105" spans="1:19" ht="18" customHeight="1" x14ac:dyDescent="0.2">
      <c r="A105" s="51">
        <v>22</v>
      </c>
      <c r="B105" s="48" t="s">
        <v>78</v>
      </c>
      <c r="C105" s="31" t="s">
        <v>27</v>
      </c>
      <c r="D105" s="8">
        <v>0.1</v>
      </c>
      <c r="E105" s="8">
        <v>1.1299999999999999</v>
      </c>
      <c r="F105" s="8">
        <v>2.96</v>
      </c>
      <c r="G105" s="8">
        <v>17.57</v>
      </c>
      <c r="H105" s="8">
        <v>20.52</v>
      </c>
      <c r="I105" s="9">
        <v>11.71</v>
      </c>
      <c r="J105" s="10">
        <f>SUM(D105:I105)</f>
        <v>53.99</v>
      </c>
      <c r="K105" s="11">
        <v>7.27</v>
      </c>
      <c r="L105" s="8">
        <v>0.8</v>
      </c>
      <c r="M105" s="8">
        <v>1.83</v>
      </c>
      <c r="N105" s="8">
        <v>1.1200000000000001</v>
      </c>
      <c r="O105" s="8"/>
      <c r="P105" s="9"/>
      <c r="Q105" s="10">
        <f>SUM(K105:P105)</f>
        <v>11.02</v>
      </c>
      <c r="R105" s="10">
        <f>J105+Q105</f>
        <v>65.010000000000005</v>
      </c>
      <c r="S105" s="16"/>
    </row>
    <row r="106" spans="1:19" ht="18" customHeight="1" x14ac:dyDescent="0.2">
      <c r="A106" s="52"/>
      <c r="B106" s="49"/>
      <c r="C106" s="7" t="s">
        <v>28</v>
      </c>
      <c r="D106" s="12"/>
      <c r="E106" s="12"/>
      <c r="F106" s="12"/>
      <c r="G106" s="12">
        <v>2.65</v>
      </c>
      <c r="H106" s="12"/>
      <c r="I106" s="13"/>
      <c r="J106" s="14">
        <f>SUM(D106:I106)</f>
        <v>2.65</v>
      </c>
      <c r="K106" s="15"/>
      <c r="L106" s="12"/>
      <c r="M106" s="12"/>
      <c r="N106" s="12"/>
      <c r="O106" s="12"/>
      <c r="P106" s="13"/>
      <c r="Q106" s="14">
        <f>SUM(K106:P106)</f>
        <v>0</v>
      </c>
      <c r="R106" s="14">
        <f>J106+Q106</f>
        <v>2.65</v>
      </c>
      <c r="S106" s="17"/>
    </row>
    <row r="107" spans="1:19" ht="18" customHeight="1" x14ac:dyDescent="0.2">
      <c r="A107" s="52"/>
      <c r="B107" s="49"/>
      <c r="C107" s="23" t="s">
        <v>29</v>
      </c>
      <c r="D107" s="24">
        <f t="shared" ref="D107:I107" si="49">D106-D105</f>
        <v>-0.1</v>
      </c>
      <c r="E107" s="24">
        <f t="shared" si="49"/>
        <v>-1.1299999999999999</v>
      </c>
      <c r="F107" s="24">
        <f t="shared" si="49"/>
        <v>-2.96</v>
      </c>
      <c r="G107" s="24">
        <f t="shared" si="49"/>
        <v>-14.92</v>
      </c>
      <c r="H107" s="24">
        <f t="shared" si="49"/>
        <v>-20.52</v>
      </c>
      <c r="I107" s="27">
        <f t="shared" si="49"/>
        <v>-11.71</v>
      </c>
      <c r="J107" s="30">
        <f>SUM(D107:I107)</f>
        <v>-51.339999999999996</v>
      </c>
      <c r="K107" s="29">
        <f t="shared" ref="K107:P107" si="50">K106-K105</f>
        <v>-7.27</v>
      </c>
      <c r="L107" s="24">
        <f t="shared" si="50"/>
        <v>-0.8</v>
      </c>
      <c r="M107" s="24">
        <f t="shared" si="50"/>
        <v>-1.83</v>
      </c>
      <c r="N107" s="24">
        <f t="shared" si="50"/>
        <v>-1.1200000000000001</v>
      </c>
      <c r="O107" s="24">
        <f t="shared" si="50"/>
        <v>0</v>
      </c>
      <c r="P107" s="27">
        <f t="shared" si="50"/>
        <v>0</v>
      </c>
      <c r="Q107" s="30">
        <f>SUM(K107:P107)</f>
        <v>-11.02</v>
      </c>
      <c r="R107" s="30">
        <f>J107+Q107</f>
        <v>-62.36</v>
      </c>
      <c r="S107" s="17"/>
    </row>
    <row r="108" spans="1:19" ht="18" customHeight="1" thickBot="1" x14ac:dyDescent="0.25">
      <c r="A108" s="53"/>
      <c r="B108" s="50"/>
      <c r="C108" s="25" t="s">
        <v>30</v>
      </c>
      <c r="D108" s="20"/>
      <c r="E108" s="20"/>
      <c r="F108" s="20"/>
      <c r="G108" s="20"/>
      <c r="H108" s="20"/>
      <c r="I108" s="28"/>
      <c r="J108" s="21">
        <f>I108</f>
        <v>0</v>
      </c>
      <c r="K108" s="22"/>
      <c r="L108" s="20"/>
      <c r="M108" s="20"/>
      <c r="N108" s="20"/>
      <c r="O108" s="20"/>
      <c r="P108" s="28"/>
      <c r="Q108" s="21">
        <f>P108</f>
        <v>0</v>
      </c>
      <c r="R108" s="21">
        <f>Q108</f>
        <v>0</v>
      </c>
      <c r="S108" s="18"/>
    </row>
    <row r="109" spans="1:19" ht="18" customHeight="1" x14ac:dyDescent="0.2">
      <c r="A109" s="51">
        <v>23</v>
      </c>
      <c r="B109" s="48" t="s">
        <v>79</v>
      </c>
      <c r="C109" s="31" t="s">
        <v>27</v>
      </c>
      <c r="D109" s="8">
        <v>8.09</v>
      </c>
      <c r="E109" s="8">
        <v>5.46</v>
      </c>
      <c r="F109" s="8">
        <v>4.92</v>
      </c>
      <c r="G109" s="8">
        <v>5.1100000000000003</v>
      </c>
      <c r="H109" s="8">
        <v>5.69</v>
      </c>
      <c r="I109" s="9">
        <v>6.21</v>
      </c>
      <c r="J109" s="10">
        <f>SUM(D109:I109)</f>
        <v>35.479999999999997</v>
      </c>
      <c r="K109" s="11">
        <v>9.94</v>
      </c>
      <c r="L109" s="8">
        <v>5.21</v>
      </c>
      <c r="M109" s="8">
        <v>11.21</v>
      </c>
      <c r="N109" s="8">
        <v>10.72</v>
      </c>
      <c r="O109" s="8">
        <v>3.44</v>
      </c>
      <c r="P109" s="9">
        <v>7.8</v>
      </c>
      <c r="Q109" s="10">
        <f>SUM(K109:P109)</f>
        <v>48.319999999999993</v>
      </c>
      <c r="R109" s="10">
        <f>J109+Q109</f>
        <v>83.799999999999983</v>
      </c>
      <c r="S109" s="16"/>
    </row>
    <row r="110" spans="1:19" ht="18" customHeight="1" x14ac:dyDescent="0.2">
      <c r="A110" s="52"/>
      <c r="B110" s="49"/>
      <c r="C110" s="7" t="s">
        <v>28</v>
      </c>
      <c r="D110" s="12">
        <v>8.66</v>
      </c>
      <c r="E110" s="12">
        <v>6.9</v>
      </c>
      <c r="F110" s="12">
        <v>10.97</v>
      </c>
      <c r="G110" s="12">
        <v>5.95</v>
      </c>
      <c r="H110" s="12"/>
      <c r="I110" s="13"/>
      <c r="J110" s="14">
        <f>SUM(D110:I110)</f>
        <v>32.480000000000004</v>
      </c>
      <c r="K110" s="15"/>
      <c r="L110" s="12"/>
      <c r="M110" s="12"/>
      <c r="N110" s="12"/>
      <c r="O110" s="12"/>
      <c r="P110" s="13"/>
      <c r="Q110" s="14">
        <f>SUM(K110:P110)</f>
        <v>0</v>
      </c>
      <c r="R110" s="14">
        <f>J110+Q110</f>
        <v>32.480000000000004</v>
      </c>
      <c r="S110" s="17"/>
    </row>
    <row r="111" spans="1:19" ht="18" customHeight="1" x14ac:dyDescent="0.2">
      <c r="A111" s="52"/>
      <c r="B111" s="49"/>
      <c r="C111" s="23" t="s">
        <v>29</v>
      </c>
      <c r="D111" s="24">
        <f t="shared" ref="D111:I111" si="51">D110-D109</f>
        <v>0.57000000000000028</v>
      </c>
      <c r="E111" s="24">
        <f t="shared" si="51"/>
        <v>1.4400000000000004</v>
      </c>
      <c r="F111" s="24">
        <f t="shared" si="51"/>
        <v>6.0500000000000007</v>
      </c>
      <c r="G111" s="24">
        <f t="shared" si="51"/>
        <v>0.83999999999999986</v>
      </c>
      <c r="H111" s="24">
        <f t="shared" si="51"/>
        <v>-5.69</v>
      </c>
      <c r="I111" s="27">
        <f t="shared" si="51"/>
        <v>-6.21</v>
      </c>
      <c r="J111" s="30">
        <f>SUM(D111:I111)</f>
        <v>-2.9999999999999982</v>
      </c>
      <c r="K111" s="29">
        <f t="shared" ref="K111:P111" si="52">K110-K109</f>
        <v>-9.94</v>
      </c>
      <c r="L111" s="24">
        <f t="shared" si="52"/>
        <v>-5.21</v>
      </c>
      <c r="M111" s="24">
        <f t="shared" si="52"/>
        <v>-11.21</v>
      </c>
      <c r="N111" s="24">
        <f t="shared" si="52"/>
        <v>-10.72</v>
      </c>
      <c r="O111" s="24">
        <f t="shared" si="52"/>
        <v>-3.44</v>
      </c>
      <c r="P111" s="27">
        <f t="shared" si="52"/>
        <v>-7.8</v>
      </c>
      <c r="Q111" s="30">
        <f>SUM(K111:P111)</f>
        <v>-48.319999999999993</v>
      </c>
      <c r="R111" s="30">
        <f>J111+Q111</f>
        <v>-51.319999999999993</v>
      </c>
      <c r="S111" s="17"/>
    </row>
    <row r="112" spans="1:19" ht="18" customHeight="1" thickBot="1" x14ac:dyDescent="0.25">
      <c r="A112" s="53"/>
      <c r="B112" s="50"/>
      <c r="C112" s="25" t="s">
        <v>30</v>
      </c>
      <c r="D112" s="20"/>
      <c r="E112" s="20"/>
      <c r="F112" s="20"/>
      <c r="G112" s="20"/>
      <c r="H112" s="20"/>
      <c r="I112" s="28"/>
      <c r="J112" s="21">
        <f>I112</f>
        <v>0</v>
      </c>
      <c r="K112" s="22"/>
      <c r="L112" s="20"/>
      <c r="M112" s="20"/>
      <c r="N112" s="20"/>
      <c r="O112" s="20"/>
      <c r="P112" s="28"/>
      <c r="Q112" s="21">
        <f>P112</f>
        <v>0</v>
      </c>
      <c r="R112" s="21">
        <f>Q112</f>
        <v>0</v>
      </c>
      <c r="S112" s="18"/>
    </row>
    <row r="113" spans="1:19" ht="18" customHeight="1" x14ac:dyDescent="0.2">
      <c r="A113" s="51">
        <v>24</v>
      </c>
      <c r="B113" s="48" t="s">
        <v>80</v>
      </c>
      <c r="C113" s="31" t="s">
        <v>27</v>
      </c>
      <c r="D113" s="8"/>
      <c r="E113" s="8"/>
      <c r="F113" s="8">
        <v>0.1</v>
      </c>
      <c r="G113" s="8">
        <v>4.12</v>
      </c>
      <c r="H113" s="8">
        <v>2.64</v>
      </c>
      <c r="I113" s="9">
        <v>0.66</v>
      </c>
      <c r="J113" s="10">
        <f>SUM(D113:I113)</f>
        <v>7.52</v>
      </c>
      <c r="K113" s="11">
        <v>1.62</v>
      </c>
      <c r="L113" s="8">
        <v>2.0299999999999998</v>
      </c>
      <c r="M113" s="8">
        <v>1.1200000000000001</v>
      </c>
      <c r="N113" s="8"/>
      <c r="O113" s="8"/>
      <c r="P113" s="9"/>
      <c r="Q113" s="10">
        <f>SUM(K113:P113)</f>
        <v>4.7699999999999996</v>
      </c>
      <c r="R113" s="10">
        <f>J113+Q113</f>
        <v>12.29</v>
      </c>
      <c r="S113" s="16"/>
    </row>
    <row r="114" spans="1:19" ht="18" customHeight="1" x14ac:dyDescent="0.2">
      <c r="A114" s="52"/>
      <c r="B114" s="49"/>
      <c r="C114" s="7" t="s">
        <v>28</v>
      </c>
      <c r="D114" s="12"/>
      <c r="E114" s="12"/>
      <c r="F114" s="12"/>
      <c r="G114" s="12">
        <v>2.29</v>
      </c>
      <c r="H114" s="12"/>
      <c r="I114" s="13"/>
      <c r="J114" s="14">
        <f>SUM(D114:I114)</f>
        <v>2.29</v>
      </c>
      <c r="K114" s="15"/>
      <c r="L114" s="12"/>
      <c r="M114" s="12"/>
      <c r="N114" s="12"/>
      <c r="O114" s="12"/>
      <c r="P114" s="13"/>
      <c r="Q114" s="14">
        <f>SUM(K114:P114)</f>
        <v>0</v>
      </c>
      <c r="R114" s="14">
        <f>J114+Q114</f>
        <v>2.29</v>
      </c>
      <c r="S114" s="17"/>
    </row>
    <row r="115" spans="1:19" ht="18" customHeight="1" x14ac:dyDescent="0.2">
      <c r="A115" s="52"/>
      <c r="B115" s="49"/>
      <c r="C115" s="23" t="s">
        <v>29</v>
      </c>
      <c r="D115" s="24">
        <f t="shared" ref="D115:I115" si="53">D114-D113</f>
        <v>0</v>
      </c>
      <c r="E115" s="24">
        <f t="shared" si="53"/>
        <v>0</v>
      </c>
      <c r="F115" s="24">
        <f t="shared" si="53"/>
        <v>-0.1</v>
      </c>
      <c r="G115" s="24">
        <f t="shared" si="53"/>
        <v>-1.83</v>
      </c>
      <c r="H115" s="24">
        <f t="shared" si="53"/>
        <v>-2.64</v>
      </c>
      <c r="I115" s="27">
        <f t="shared" si="53"/>
        <v>-0.66</v>
      </c>
      <c r="J115" s="30">
        <f>SUM(D115:I115)</f>
        <v>-5.23</v>
      </c>
      <c r="K115" s="29">
        <f t="shared" ref="K115:P115" si="54">K114-K113</f>
        <v>-1.62</v>
      </c>
      <c r="L115" s="24">
        <f t="shared" si="54"/>
        <v>-2.0299999999999998</v>
      </c>
      <c r="M115" s="24">
        <f t="shared" si="54"/>
        <v>-1.1200000000000001</v>
      </c>
      <c r="N115" s="24">
        <f t="shared" si="54"/>
        <v>0</v>
      </c>
      <c r="O115" s="24">
        <f t="shared" si="54"/>
        <v>0</v>
      </c>
      <c r="P115" s="27">
        <f t="shared" si="54"/>
        <v>0</v>
      </c>
      <c r="Q115" s="30">
        <f>SUM(K115:P115)</f>
        <v>-4.7699999999999996</v>
      </c>
      <c r="R115" s="30">
        <f>J115+Q115</f>
        <v>-10</v>
      </c>
      <c r="S115" s="17"/>
    </row>
    <row r="116" spans="1:19" ht="18" customHeight="1" thickBot="1" x14ac:dyDescent="0.25">
      <c r="A116" s="53"/>
      <c r="B116" s="50"/>
      <c r="C116" s="25" t="s">
        <v>30</v>
      </c>
      <c r="D116" s="20"/>
      <c r="E116" s="20"/>
      <c r="F116" s="20"/>
      <c r="G116" s="20"/>
      <c r="H116" s="20"/>
      <c r="I116" s="28"/>
      <c r="J116" s="21">
        <f>I116</f>
        <v>0</v>
      </c>
      <c r="K116" s="22"/>
      <c r="L116" s="20"/>
      <c r="M116" s="20"/>
      <c r="N116" s="20"/>
      <c r="O116" s="20"/>
      <c r="P116" s="28"/>
      <c r="Q116" s="21">
        <f>P116</f>
        <v>0</v>
      </c>
      <c r="R116" s="21">
        <f>Q116</f>
        <v>0</v>
      </c>
      <c r="S116" s="18"/>
    </row>
    <row r="117" spans="1:19" ht="18" customHeight="1" x14ac:dyDescent="0.2">
      <c r="A117" s="51">
        <v>25</v>
      </c>
      <c r="B117" s="48" t="s">
        <v>81</v>
      </c>
      <c r="C117" s="31" t="s">
        <v>27</v>
      </c>
      <c r="D117" s="8">
        <v>2.67</v>
      </c>
      <c r="E117" s="8">
        <v>3.24</v>
      </c>
      <c r="F117" s="8">
        <v>3.46</v>
      </c>
      <c r="G117" s="8">
        <v>2.19</v>
      </c>
      <c r="H117" s="8">
        <v>4.25</v>
      </c>
      <c r="I117" s="9">
        <v>5.73</v>
      </c>
      <c r="J117" s="10">
        <f>SUM(D117:I117)</f>
        <v>21.54</v>
      </c>
      <c r="K117" s="11">
        <v>7.23</v>
      </c>
      <c r="L117" s="8">
        <v>11.96</v>
      </c>
      <c r="M117" s="8">
        <v>8.2200000000000006</v>
      </c>
      <c r="N117" s="8">
        <v>3.78</v>
      </c>
      <c r="O117" s="8">
        <v>3.82</v>
      </c>
      <c r="P117" s="9">
        <v>2.54</v>
      </c>
      <c r="Q117" s="10">
        <f>SUM(K117:P117)</f>
        <v>37.550000000000004</v>
      </c>
      <c r="R117" s="10">
        <f>J117+Q117</f>
        <v>59.09</v>
      </c>
      <c r="S117" s="16"/>
    </row>
    <row r="118" spans="1:19" ht="18" customHeight="1" x14ac:dyDescent="0.2">
      <c r="A118" s="52"/>
      <c r="B118" s="49"/>
      <c r="C118" s="7" t="s">
        <v>28</v>
      </c>
      <c r="D118" s="12">
        <v>3.52</v>
      </c>
      <c r="E118" s="12">
        <v>3.3</v>
      </c>
      <c r="F118" s="12">
        <v>5.76</v>
      </c>
      <c r="G118" s="12">
        <v>7.76</v>
      </c>
      <c r="H118" s="12"/>
      <c r="I118" s="13"/>
      <c r="J118" s="14">
        <f>SUM(D118:I118)</f>
        <v>20.34</v>
      </c>
      <c r="K118" s="15"/>
      <c r="L118" s="12"/>
      <c r="M118" s="12"/>
      <c r="N118" s="12"/>
      <c r="O118" s="12"/>
      <c r="P118" s="13"/>
      <c r="Q118" s="14">
        <f>SUM(K118:P118)</f>
        <v>0</v>
      </c>
      <c r="R118" s="14">
        <f>J118+Q118</f>
        <v>20.34</v>
      </c>
      <c r="S118" s="17"/>
    </row>
    <row r="119" spans="1:19" ht="18" customHeight="1" x14ac:dyDescent="0.2">
      <c r="A119" s="52"/>
      <c r="B119" s="49"/>
      <c r="C119" s="23" t="s">
        <v>29</v>
      </c>
      <c r="D119" s="24">
        <f t="shared" ref="D119:I119" si="55">D118-D117</f>
        <v>0.85000000000000009</v>
      </c>
      <c r="E119" s="24">
        <f t="shared" si="55"/>
        <v>5.9999999999999609E-2</v>
      </c>
      <c r="F119" s="24">
        <f t="shared" si="55"/>
        <v>2.2999999999999998</v>
      </c>
      <c r="G119" s="24">
        <f t="shared" si="55"/>
        <v>5.57</v>
      </c>
      <c r="H119" s="24">
        <f t="shared" si="55"/>
        <v>-4.25</v>
      </c>
      <c r="I119" s="27">
        <f t="shared" si="55"/>
        <v>-5.73</v>
      </c>
      <c r="J119" s="30">
        <f>SUM(D119:I119)</f>
        <v>-1.2000000000000011</v>
      </c>
      <c r="K119" s="29">
        <f t="shared" ref="K119:P119" si="56">K118-K117</f>
        <v>-7.23</v>
      </c>
      <c r="L119" s="24">
        <f t="shared" si="56"/>
        <v>-11.96</v>
      </c>
      <c r="M119" s="24">
        <f t="shared" si="56"/>
        <v>-8.2200000000000006</v>
      </c>
      <c r="N119" s="24">
        <f t="shared" si="56"/>
        <v>-3.78</v>
      </c>
      <c r="O119" s="24">
        <f t="shared" si="56"/>
        <v>-3.82</v>
      </c>
      <c r="P119" s="27">
        <f t="shared" si="56"/>
        <v>-2.54</v>
      </c>
      <c r="Q119" s="30">
        <f>SUM(K119:P119)</f>
        <v>-37.550000000000004</v>
      </c>
      <c r="R119" s="30">
        <f>J119+Q119</f>
        <v>-38.750000000000007</v>
      </c>
      <c r="S119" s="17"/>
    </row>
    <row r="120" spans="1:19" ht="18" customHeight="1" thickBot="1" x14ac:dyDescent="0.25">
      <c r="A120" s="53"/>
      <c r="B120" s="50"/>
      <c r="C120" s="25" t="s">
        <v>30</v>
      </c>
      <c r="D120" s="20"/>
      <c r="E120" s="20"/>
      <c r="F120" s="20"/>
      <c r="G120" s="20"/>
      <c r="H120" s="20"/>
      <c r="I120" s="28"/>
      <c r="J120" s="21">
        <f>I120</f>
        <v>0</v>
      </c>
      <c r="K120" s="22"/>
      <c r="L120" s="20"/>
      <c r="M120" s="20"/>
      <c r="N120" s="20"/>
      <c r="O120" s="20"/>
      <c r="P120" s="28"/>
      <c r="Q120" s="21">
        <f>P120</f>
        <v>0</v>
      </c>
      <c r="R120" s="21">
        <f>Q120</f>
        <v>0</v>
      </c>
      <c r="S120" s="18"/>
    </row>
    <row r="121" spans="1:19" ht="18" customHeight="1" x14ac:dyDescent="0.2">
      <c r="A121" s="51">
        <v>26</v>
      </c>
      <c r="B121" s="48" t="s">
        <v>82</v>
      </c>
      <c r="C121" s="31" t="s">
        <v>27</v>
      </c>
      <c r="D121" s="8"/>
      <c r="E121" s="8"/>
      <c r="F121" s="8"/>
      <c r="G121" s="8">
        <v>5.67</v>
      </c>
      <c r="H121" s="8">
        <v>6.17</v>
      </c>
      <c r="I121" s="9"/>
      <c r="J121" s="10">
        <f>SUM(D121:I121)</f>
        <v>11.84</v>
      </c>
      <c r="K121" s="11">
        <v>2.79</v>
      </c>
      <c r="L121" s="8">
        <v>8.43</v>
      </c>
      <c r="M121" s="8">
        <v>2.6</v>
      </c>
      <c r="N121" s="8"/>
      <c r="O121" s="8"/>
      <c r="P121" s="9"/>
      <c r="Q121" s="10">
        <f>SUM(K121:P121)</f>
        <v>13.819999999999999</v>
      </c>
      <c r="R121" s="10">
        <f>J121+Q121</f>
        <v>25.659999999999997</v>
      </c>
      <c r="S121" s="16"/>
    </row>
    <row r="122" spans="1:19" ht="18" customHeight="1" x14ac:dyDescent="0.2">
      <c r="A122" s="52"/>
      <c r="B122" s="49"/>
      <c r="C122" s="7" t="s">
        <v>28</v>
      </c>
      <c r="D122" s="12"/>
      <c r="E122" s="12"/>
      <c r="F122" s="12"/>
      <c r="G122" s="12"/>
      <c r="H122" s="12"/>
      <c r="I122" s="13"/>
      <c r="J122" s="14">
        <f>SUM(D122:I122)</f>
        <v>0</v>
      </c>
      <c r="K122" s="15"/>
      <c r="L122" s="12"/>
      <c r="M122" s="12"/>
      <c r="N122" s="12"/>
      <c r="O122" s="12"/>
      <c r="P122" s="13"/>
      <c r="Q122" s="14">
        <f>SUM(K122:P122)</f>
        <v>0</v>
      </c>
      <c r="R122" s="14">
        <f>J122+Q122</f>
        <v>0</v>
      </c>
      <c r="S122" s="17"/>
    </row>
    <row r="123" spans="1:19" ht="18" customHeight="1" x14ac:dyDescent="0.2">
      <c r="A123" s="52"/>
      <c r="B123" s="49"/>
      <c r="C123" s="23" t="s">
        <v>29</v>
      </c>
      <c r="D123" s="24">
        <f t="shared" ref="D123:I123" si="57">D122-D121</f>
        <v>0</v>
      </c>
      <c r="E123" s="24">
        <f t="shared" si="57"/>
        <v>0</v>
      </c>
      <c r="F123" s="24">
        <f t="shared" si="57"/>
        <v>0</v>
      </c>
      <c r="G123" s="24">
        <f t="shared" si="57"/>
        <v>-5.67</v>
      </c>
      <c r="H123" s="24">
        <f t="shared" si="57"/>
        <v>-6.17</v>
      </c>
      <c r="I123" s="27">
        <f t="shared" si="57"/>
        <v>0</v>
      </c>
      <c r="J123" s="30">
        <f>SUM(D123:I123)</f>
        <v>-11.84</v>
      </c>
      <c r="K123" s="29">
        <f t="shared" ref="K123:P123" si="58">K122-K121</f>
        <v>-2.79</v>
      </c>
      <c r="L123" s="24">
        <f t="shared" si="58"/>
        <v>-8.43</v>
      </c>
      <c r="M123" s="24">
        <f t="shared" si="58"/>
        <v>-2.6</v>
      </c>
      <c r="N123" s="24">
        <f t="shared" si="58"/>
        <v>0</v>
      </c>
      <c r="O123" s="24">
        <f t="shared" si="58"/>
        <v>0</v>
      </c>
      <c r="P123" s="27">
        <f t="shared" si="58"/>
        <v>0</v>
      </c>
      <c r="Q123" s="30">
        <f>SUM(K123:P123)</f>
        <v>-13.819999999999999</v>
      </c>
      <c r="R123" s="30">
        <f>J123+Q123</f>
        <v>-25.659999999999997</v>
      </c>
      <c r="S123" s="17"/>
    </row>
    <row r="124" spans="1:19" ht="18" customHeight="1" thickBot="1" x14ac:dyDescent="0.25">
      <c r="A124" s="53"/>
      <c r="B124" s="50"/>
      <c r="C124" s="25" t="s">
        <v>30</v>
      </c>
      <c r="D124" s="20"/>
      <c r="E124" s="20"/>
      <c r="F124" s="20"/>
      <c r="G124" s="20"/>
      <c r="H124" s="20"/>
      <c r="I124" s="28"/>
      <c r="J124" s="21">
        <f>I124</f>
        <v>0</v>
      </c>
      <c r="K124" s="22"/>
      <c r="L124" s="20"/>
      <c r="M124" s="20"/>
      <c r="N124" s="20"/>
      <c r="O124" s="20"/>
      <c r="P124" s="28"/>
      <c r="Q124" s="21">
        <f>P124</f>
        <v>0</v>
      </c>
      <c r="R124" s="21">
        <f>Q124</f>
        <v>0</v>
      </c>
      <c r="S124" s="18"/>
    </row>
    <row r="125" spans="1:19" ht="18" customHeight="1" x14ac:dyDescent="0.2">
      <c r="A125" s="51">
        <v>27</v>
      </c>
      <c r="B125" s="48" t="s">
        <v>83</v>
      </c>
      <c r="C125" s="31" t="s">
        <v>27</v>
      </c>
      <c r="D125" s="8">
        <v>0.18</v>
      </c>
      <c r="E125" s="8">
        <v>1.59</v>
      </c>
      <c r="F125" s="8">
        <v>3.59</v>
      </c>
      <c r="G125" s="8">
        <v>0.45</v>
      </c>
      <c r="H125" s="8">
        <v>0.27</v>
      </c>
      <c r="I125" s="9"/>
      <c r="J125" s="10">
        <f>SUM(D125:I125)</f>
        <v>6.08</v>
      </c>
      <c r="K125" s="11"/>
      <c r="L125" s="8">
        <v>4.7</v>
      </c>
      <c r="M125" s="8">
        <v>7.18</v>
      </c>
      <c r="N125" s="8">
        <v>14.22</v>
      </c>
      <c r="O125" s="8"/>
      <c r="P125" s="9"/>
      <c r="Q125" s="10">
        <f>SUM(K125:P125)</f>
        <v>26.1</v>
      </c>
      <c r="R125" s="10">
        <f>J125+Q125</f>
        <v>32.18</v>
      </c>
      <c r="S125" s="16"/>
    </row>
    <row r="126" spans="1:19" ht="18" customHeight="1" x14ac:dyDescent="0.2">
      <c r="A126" s="52"/>
      <c r="B126" s="49"/>
      <c r="C126" s="7" t="s">
        <v>28</v>
      </c>
      <c r="D126" s="12"/>
      <c r="E126" s="12"/>
      <c r="F126" s="12"/>
      <c r="G126" s="12"/>
      <c r="H126" s="12"/>
      <c r="I126" s="13"/>
      <c r="J126" s="14">
        <f>SUM(D126:I126)</f>
        <v>0</v>
      </c>
      <c r="K126" s="15"/>
      <c r="L126" s="12"/>
      <c r="M126" s="12"/>
      <c r="N126" s="12"/>
      <c r="O126" s="12"/>
      <c r="P126" s="13"/>
      <c r="Q126" s="14">
        <f>SUM(K126:P126)</f>
        <v>0</v>
      </c>
      <c r="R126" s="14">
        <f>J126+Q126</f>
        <v>0</v>
      </c>
      <c r="S126" s="17"/>
    </row>
    <row r="127" spans="1:19" ht="18" customHeight="1" x14ac:dyDescent="0.2">
      <c r="A127" s="52"/>
      <c r="B127" s="49"/>
      <c r="C127" s="23" t="s">
        <v>29</v>
      </c>
      <c r="D127" s="24">
        <f t="shared" ref="D127:I127" si="59">D126-D125</f>
        <v>-0.18</v>
      </c>
      <c r="E127" s="24">
        <f t="shared" si="59"/>
        <v>-1.59</v>
      </c>
      <c r="F127" s="24">
        <f t="shared" si="59"/>
        <v>-3.59</v>
      </c>
      <c r="G127" s="24">
        <f t="shared" si="59"/>
        <v>-0.45</v>
      </c>
      <c r="H127" s="24">
        <f t="shared" si="59"/>
        <v>-0.27</v>
      </c>
      <c r="I127" s="27">
        <f t="shared" si="59"/>
        <v>0</v>
      </c>
      <c r="J127" s="30">
        <f>SUM(D127:I127)</f>
        <v>-6.08</v>
      </c>
      <c r="K127" s="29">
        <f t="shared" ref="K127:P127" si="60">K126-K125</f>
        <v>0</v>
      </c>
      <c r="L127" s="24">
        <f t="shared" si="60"/>
        <v>-4.7</v>
      </c>
      <c r="M127" s="24">
        <f t="shared" si="60"/>
        <v>-7.18</v>
      </c>
      <c r="N127" s="24">
        <f t="shared" si="60"/>
        <v>-14.22</v>
      </c>
      <c r="O127" s="24">
        <f t="shared" si="60"/>
        <v>0</v>
      </c>
      <c r="P127" s="27">
        <f t="shared" si="60"/>
        <v>0</v>
      </c>
      <c r="Q127" s="30">
        <f>SUM(K127:P127)</f>
        <v>-26.1</v>
      </c>
      <c r="R127" s="30">
        <f>J127+Q127</f>
        <v>-32.18</v>
      </c>
      <c r="S127" s="17"/>
    </row>
    <row r="128" spans="1:19" ht="18" customHeight="1" thickBot="1" x14ac:dyDescent="0.25">
      <c r="A128" s="53"/>
      <c r="B128" s="50"/>
      <c r="C128" s="25" t="s">
        <v>30</v>
      </c>
      <c r="D128" s="20"/>
      <c r="E128" s="20"/>
      <c r="F128" s="20"/>
      <c r="G128" s="20"/>
      <c r="H128" s="20"/>
      <c r="I128" s="28"/>
      <c r="J128" s="21">
        <f>I128</f>
        <v>0</v>
      </c>
      <c r="K128" s="22"/>
      <c r="L128" s="20"/>
      <c r="M128" s="20"/>
      <c r="N128" s="20"/>
      <c r="O128" s="20"/>
      <c r="P128" s="28"/>
      <c r="Q128" s="21">
        <f>P128</f>
        <v>0</v>
      </c>
      <c r="R128" s="21">
        <f>Q128</f>
        <v>0</v>
      </c>
      <c r="S128" s="18"/>
    </row>
    <row r="129" spans="1:19" ht="18" customHeight="1" x14ac:dyDescent="0.2">
      <c r="A129" s="51">
        <v>28</v>
      </c>
      <c r="B129" s="48" t="s">
        <v>84</v>
      </c>
      <c r="C129" s="31" t="s">
        <v>27</v>
      </c>
      <c r="D129" s="8"/>
      <c r="E129" s="8"/>
      <c r="F129" s="8"/>
      <c r="G129" s="8">
        <v>2</v>
      </c>
      <c r="H129" s="8">
        <v>0.62</v>
      </c>
      <c r="I129" s="9"/>
      <c r="J129" s="10">
        <f>SUM(D129:I129)</f>
        <v>2.62</v>
      </c>
      <c r="K129" s="11">
        <v>0.4</v>
      </c>
      <c r="L129" s="8">
        <v>0.61</v>
      </c>
      <c r="M129" s="8">
        <v>0.5</v>
      </c>
      <c r="N129" s="8"/>
      <c r="O129" s="8"/>
      <c r="P129" s="9"/>
      <c r="Q129" s="10">
        <f>SUM(K129:P129)</f>
        <v>1.51</v>
      </c>
      <c r="R129" s="10">
        <f>J129+Q129</f>
        <v>4.13</v>
      </c>
      <c r="S129" s="16"/>
    </row>
    <row r="130" spans="1:19" ht="18" customHeight="1" x14ac:dyDescent="0.2">
      <c r="A130" s="52"/>
      <c r="B130" s="49"/>
      <c r="C130" s="7" t="s">
        <v>28</v>
      </c>
      <c r="D130" s="12"/>
      <c r="E130" s="12"/>
      <c r="F130" s="12"/>
      <c r="G130" s="12">
        <v>0.14000000000000001</v>
      </c>
      <c r="H130" s="12"/>
      <c r="I130" s="13"/>
      <c r="J130" s="14">
        <f>SUM(D130:I130)</f>
        <v>0.14000000000000001</v>
      </c>
      <c r="K130" s="15"/>
      <c r="L130" s="12"/>
      <c r="M130" s="12"/>
      <c r="N130" s="12"/>
      <c r="O130" s="12"/>
      <c r="P130" s="13"/>
      <c r="Q130" s="14">
        <f>SUM(K130:P130)</f>
        <v>0</v>
      </c>
      <c r="R130" s="14">
        <f>J130+Q130</f>
        <v>0.14000000000000001</v>
      </c>
      <c r="S130" s="17"/>
    </row>
    <row r="131" spans="1:19" ht="18" customHeight="1" x14ac:dyDescent="0.2">
      <c r="A131" s="52"/>
      <c r="B131" s="49"/>
      <c r="C131" s="23" t="s">
        <v>29</v>
      </c>
      <c r="D131" s="24">
        <f t="shared" ref="D131:I131" si="61">D130-D129</f>
        <v>0</v>
      </c>
      <c r="E131" s="24">
        <f t="shared" si="61"/>
        <v>0</v>
      </c>
      <c r="F131" s="24">
        <f t="shared" si="61"/>
        <v>0</v>
      </c>
      <c r="G131" s="24">
        <f t="shared" si="61"/>
        <v>-1.8599999999999999</v>
      </c>
      <c r="H131" s="24">
        <f t="shared" si="61"/>
        <v>-0.62</v>
      </c>
      <c r="I131" s="27">
        <f t="shared" si="61"/>
        <v>0</v>
      </c>
      <c r="J131" s="30">
        <f>SUM(D131:I131)</f>
        <v>-2.48</v>
      </c>
      <c r="K131" s="29">
        <f t="shared" ref="K131:P131" si="62">K130-K129</f>
        <v>-0.4</v>
      </c>
      <c r="L131" s="24">
        <f t="shared" si="62"/>
        <v>-0.61</v>
      </c>
      <c r="M131" s="24">
        <f t="shared" si="62"/>
        <v>-0.5</v>
      </c>
      <c r="N131" s="24">
        <f t="shared" si="62"/>
        <v>0</v>
      </c>
      <c r="O131" s="24">
        <f t="shared" si="62"/>
        <v>0</v>
      </c>
      <c r="P131" s="27">
        <f t="shared" si="62"/>
        <v>0</v>
      </c>
      <c r="Q131" s="30">
        <f>SUM(K131:P131)</f>
        <v>-1.51</v>
      </c>
      <c r="R131" s="30">
        <f>J131+Q131</f>
        <v>-3.99</v>
      </c>
      <c r="S131" s="17"/>
    </row>
    <row r="132" spans="1:19" ht="18" customHeight="1" thickBot="1" x14ac:dyDescent="0.25">
      <c r="A132" s="53"/>
      <c r="B132" s="50"/>
      <c r="C132" s="25" t="s">
        <v>30</v>
      </c>
      <c r="D132" s="20"/>
      <c r="E132" s="20"/>
      <c r="F132" s="20"/>
      <c r="G132" s="20"/>
      <c r="H132" s="20"/>
      <c r="I132" s="28"/>
      <c r="J132" s="21">
        <f>I132</f>
        <v>0</v>
      </c>
      <c r="K132" s="22"/>
      <c r="L132" s="20"/>
      <c r="M132" s="20"/>
      <c r="N132" s="20"/>
      <c r="O132" s="20"/>
      <c r="P132" s="28"/>
      <c r="Q132" s="21">
        <f>P132</f>
        <v>0</v>
      </c>
      <c r="R132" s="21">
        <f>Q132</f>
        <v>0</v>
      </c>
      <c r="S132" s="18"/>
    </row>
    <row r="133" spans="1:19" ht="18" customHeight="1" x14ac:dyDescent="0.2">
      <c r="A133" s="51">
        <v>29</v>
      </c>
      <c r="B133" s="48" t="s">
        <v>85</v>
      </c>
      <c r="C133" s="31" t="s">
        <v>27</v>
      </c>
      <c r="D133" s="8">
        <v>0.93</v>
      </c>
      <c r="E133" s="8">
        <v>1.86</v>
      </c>
      <c r="F133" s="8">
        <v>3.19</v>
      </c>
      <c r="G133" s="8">
        <v>2.84</v>
      </c>
      <c r="H133" s="8">
        <v>1.78</v>
      </c>
      <c r="I133" s="9">
        <v>1.8</v>
      </c>
      <c r="J133" s="10">
        <f>SUM(D133:I133)</f>
        <v>12.4</v>
      </c>
      <c r="K133" s="11"/>
      <c r="L133" s="8">
        <v>4.3099999999999996</v>
      </c>
      <c r="M133" s="8">
        <v>2.42</v>
      </c>
      <c r="N133" s="8">
        <v>6.84</v>
      </c>
      <c r="O133" s="8"/>
      <c r="P133" s="9"/>
      <c r="Q133" s="10">
        <f>SUM(K133:P133)</f>
        <v>13.57</v>
      </c>
      <c r="R133" s="10">
        <f>J133+Q133</f>
        <v>25.97</v>
      </c>
      <c r="S133" s="16"/>
    </row>
    <row r="134" spans="1:19" ht="18" customHeight="1" x14ac:dyDescent="0.2">
      <c r="A134" s="52"/>
      <c r="B134" s="49"/>
      <c r="C134" s="7" t="s">
        <v>28</v>
      </c>
      <c r="D134" s="12">
        <v>0.6</v>
      </c>
      <c r="E134" s="12">
        <v>1.04</v>
      </c>
      <c r="F134" s="12">
        <v>3.12</v>
      </c>
      <c r="G134" s="12">
        <v>3.84</v>
      </c>
      <c r="H134" s="12"/>
      <c r="I134" s="13"/>
      <c r="J134" s="14">
        <f>SUM(D134:I134)</f>
        <v>8.6</v>
      </c>
      <c r="K134" s="15"/>
      <c r="L134" s="12"/>
      <c r="M134" s="12"/>
      <c r="N134" s="12"/>
      <c r="O134" s="12"/>
      <c r="P134" s="13"/>
      <c r="Q134" s="14">
        <f>SUM(K134:P134)</f>
        <v>0</v>
      </c>
      <c r="R134" s="14">
        <f>J134+Q134</f>
        <v>8.6</v>
      </c>
      <c r="S134" s="17"/>
    </row>
    <row r="135" spans="1:19" ht="18" customHeight="1" x14ac:dyDescent="0.2">
      <c r="A135" s="52"/>
      <c r="B135" s="49"/>
      <c r="C135" s="23" t="s">
        <v>29</v>
      </c>
      <c r="D135" s="24">
        <f t="shared" ref="D135:I135" si="63">D134-D133</f>
        <v>-0.33000000000000007</v>
      </c>
      <c r="E135" s="24">
        <f t="shared" si="63"/>
        <v>-0.82000000000000006</v>
      </c>
      <c r="F135" s="24">
        <f t="shared" si="63"/>
        <v>-6.999999999999984E-2</v>
      </c>
      <c r="G135" s="24">
        <f t="shared" si="63"/>
        <v>1</v>
      </c>
      <c r="H135" s="24">
        <f t="shared" si="63"/>
        <v>-1.78</v>
      </c>
      <c r="I135" s="27">
        <f t="shared" si="63"/>
        <v>-1.8</v>
      </c>
      <c r="J135" s="30">
        <f>SUM(D135:I135)</f>
        <v>-3.8</v>
      </c>
      <c r="K135" s="29">
        <f t="shared" ref="K135:P135" si="64">K134-K133</f>
        <v>0</v>
      </c>
      <c r="L135" s="24">
        <f t="shared" si="64"/>
        <v>-4.3099999999999996</v>
      </c>
      <c r="M135" s="24">
        <f t="shared" si="64"/>
        <v>-2.42</v>
      </c>
      <c r="N135" s="24">
        <f t="shared" si="64"/>
        <v>-6.84</v>
      </c>
      <c r="O135" s="24">
        <f t="shared" si="64"/>
        <v>0</v>
      </c>
      <c r="P135" s="27">
        <f t="shared" si="64"/>
        <v>0</v>
      </c>
      <c r="Q135" s="30">
        <f>SUM(K135:P135)</f>
        <v>-13.57</v>
      </c>
      <c r="R135" s="30">
        <f>J135+Q135</f>
        <v>-17.37</v>
      </c>
      <c r="S135" s="17"/>
    </row>
    <row r="136" spans="1:19" ht="18" customHeight="1" thickBot="1" x14ac:dyDescent="0.25">
      <c r="A136" s="53"/>
      <c r="B136" s="50"/>
      <c r="C136" s="25" t="s">
        <v>30</v>
      </c>
      <c r="D136" s="20"/>
      <c r="E136" s="20"/>
      <c r="F136" s="20"/>
      <c r="G136" s="20"/>
      <c r="H136" s="20"/>
      <c r="I136" s="28"/>
      <c r="J136" s="21">
        <f>I136</f>
        <v>0</v>
      </c>
      <c r="K136" s="22"/>
      <c r="L136" s="20"/>
      <c r="M136" s="20"/>
      <c r="N136" s="20"/>
      <c r="O136" s="20"/>
      <c r="P136" s="28"/>
      <c r="Q136" s="21">
        <f>P136</f>
        <v>0</v>
      </c>
      <c r="R136" s="21">
        <f>Q136</f>
        <v>0</v>
      </c>
      <c r="S136" s="18"/>
    </row>
    <row r="137" spans="1:19" ht="18" customHeight="1" x14ac:dyDescent="0.2">
      <c r="A137" s="51">
        <v>29</v>
      </c>
      <c r="B137" s="48" t="s">
        <v>86</v>
      </c>
      <c r="C137" s="31" t="s">
        <v>27</v>
      </c>
      <c r="D137" s="8"/>
      <c r="E137" s="8"/>
      <c r="F137" s="8"/>
      <c r="G137" s="8"/>
      <c r="H137" s="8"/>
      <c r="I137" s="9">
        <v>8.1</v>
      </c>
      <c r="J137" s="10">
        <f>SUM(D137:I137)</f>
        <v>8.1</v>
      </c>
      <c r="K137" s="11"/>
      <c r="L137" s="8">
        <v>0.21</v>
      </c>
      <c r="M137" s="8">
        <v>2.62</v>
      </c>
      <c r="N137" s="8">
        <v>2.36</v>
      </c>
      <c r="O137" s="8"/>
      <c r="P137" s="9">
        <v>0.79</v>
      </c>
      <c r="Q137" s="10">
        <f>SUM(K137:P137)</f>
        <v>5.9799999999999995</v>
      </c>
      <c r="R137" s="10">
        <f>J137+Q137</f>
        <v>14.079999999999998</v>
      </c>
      <c r="S137" s="16"/>
    </row>
    <row r="138" spans="1:19" ht="18" customHeight="1" x14ac:dyDescent="0.2">
      <c r="A138" s="52"/>
      <c r="B138" s="49"/>
      <c r="C138" s="7" t="s">
        <v>28</v>
      </c>
      <c r="D138" s="12"/>
      <c r="E138" s="12"/>
      <c r="F138" s="12"/>
      <c r="G138" s="12"/>
      <c r="H138" s="12"/>
      <c r="I138" s="13"/>
      <c r="J138" s="14">
        <f>SUM(D138:I138)</f>
        <v>0</v>
      </c>
      <c r="K138" s="15"/>
      <c r="L138" s="12"/>
      <c r="M138" s="12"/>
      <c r="N138" s="12"/>
      <c r="O138" s="12"/>
      <c r="P138" s="13"/>
      <c r="Q138" s="14">
        <f>SUM(K138:P138)</f>
        <v>0</v>
      </c>
      <c r="R138" s="14">
        <f>J138+Q138</f>
        <v>0</v>
      </c>
      <c r="S138" s="17"/>
    </row>
    <row r="139" spans="1:19" ht="18" customHeight="1" x14ac:dyDescent="0.2">
      <c r="A139" s="52"/>
      <c r="B139" s="49"/>
      <c r="C139" s="23" t="s">
        <v>29</v>
      </c>
      <c r="D139" s="24">
        <f t="shared" ref="D139:I139" si="65">D138-D137</f>
        <v>0</v>
      </c>
      <c r="E139" s="24">
        <f t="shared" si="65"/>
        <v>0</v>
      </c>
      <c r="F139" s="24">
        <f t="shared" si="65"/>
        <v>0</v>
      </c>
      <c r="G139" s="24">
        <f t="shared" si="65"/>
        <v>0</v>
      </c>
      <c r="H139" s="24">
        <f t="shared" si="65"/>
        <v>0</v>
      </c>
      <c r="I139" s="27">
        <f t="shared" si="65"/>
        <v>-8.1</v>
      </c>
      <c r="J139" s="30">
        <f>SUM(D139:I139)</f>
        <v>-8.1</v>
      </c>
      <c r="K139" s="29">
        <f t="shared" ref="K139:P139" si="66">K138-K137</f>
        <v>0</v>
      </c>
      <c r="L139" s="24">
        <f t="shared" si="66"/>
        <v>-0.21</v>
      </c>
      <c r="M139" s="24">
        <f t="shared" si="66"/>
        <v>-2.62</v>
      </c>
      <c r="N139" s="24">
        <f t="shared" si="66"/>
        <v>-2.36</v>
      </c>
      <c r="O139" s="24">
        <f t="shared" si="66"/>
        <v>0</v>
      </c>
      <c r="P139" s="27">
        <f t="shared" si="66"/>
        <v>-0.79</v>
      </c>
      <c r="Q139" s="30">
        <f>SUM(K139:P139)</f>
        <v>-5.9799999999999995</v>
      </c>
      <c r="R139" s="30">
        <f>J139+Q139</f>
        <v>-14.079999999999998</v>
      </c>
      <c r="S139" s="17"/>
    </row>
    <row r="140" spans="1:19" ht="18" customHeight="1" thickBot="1" x14ac:dyDescent="0.25">
      <c r="A140" s="53"/>
      <c r="B140" s="50"/>
      <c r="C140" s="25" t="s">
        <v>30</v>
      </c>
      <c r="D140" s="20"/>
      <c r="E140" s="20"/>
      <c r="F140" s="20"/>
      <c r="G140" s="20"/>
      <c r="H140" s="20"/>
      <c r="I140" s="28"/>
      <c r="J140" s="21">
        <f>I140</f>
        <v>0</v>
      </c>
      <c r="K140" s="22"/>
      <c r="L140" s="20"/>
      <c r="M140" s="20"/>
      <c r="N140" s="20"/>
      <c r="O140" s="20"/>
      <c r="P140" s="28"/>
      <c r="Q140" s="21">
        <f>P140</f>
        <v>0</v>
      </c>
      <c r="R140" s="21">
        <f>Q140</f>
        <v>0</v>
      </c>
      <c r="S140" s="18"/>
    </row>
    <row r="141" spans="1:19" ht="18" customHeight="1" x14ac:dyDescent="0.2">
      <c r="A141" s="51">
        <v>30</v>
      </c>
      <c r="B141" s="48" t="s">
        <v>87</v>
      </c>
      <c r="C141" s="31" t="s">
        <v>27</v>
      </c>
      <c r="D141" s="8">
        <v>0.93</v>
      </c>
      <c r="E141" s="8">
        <v>0.24</v>
      </c>
      <c r="F141" s="8"/>
      <c r="G141" s="8">
        <v>1.66</v>
      </c>
      <c r="H141" s="8">
        <v>0.76</v>
      </c>
      <c r="I141" s="9"/>
      <c r="J141" s="10">
        <f>SUM(D141:I141)</f>
        <v>3.59</v>
      </c>
      <c r="K141" s="11"/>
      <c r="L141" s="8">
        <v>0.94</v>
      </c>
      <c r="M141" s="8">
        <v>0.5</v>
      </c>
      <c r="N141" s="8"/>
      <c r="O141" s="8"/>
      <c r="P141" s="9"/>
      <c r="Q141" s="10">
        <f>SUM(K141:P141)</f>
        <v>1.44</v>
      </c>
      <c r="R141" s="10">
        <f>J141+Q141</f>
        <v>5.0299999999999994</v>
      </c>
      <c r="S141" s="16"/>
    </row>
    <row r="142" spans="1:19" ht="18" customHeight="1" x14ac:dyDescent="0.2">
      <c r="A142" s="52"/>
      <c r="B142" s="49"/>
      <c r="C142" s="7" t="s">
        <v>28</v>
      </c>
      <c r="D142" s="12"/>
      <c r="E142" s="12"/>
      <c r="F142" s="12"/>
      <c r="G142" s="12"/>
      <c r="H142" s="12"/>
      <c r="I142" s="13"/>
      <c r="J142" s="14">
        <f>SUM(D142:I142)</f>
        <v>0</v>
      </c>
      <c r="K142" s="15"/>
      <c r="L142" s="12"/>
      <c r="M142" s="12"/>
      <c r="N142" s="12"/>
      <c r="O142" s="12"/>
      <c r="P142" s="13"/>
      <c r="Q142" s="14">
        <f>SUM(K142:P142)</f>
        <v>0</v>
      </c>
      <c r="R142" s="14">
        <f>J142+Q142</f>
        <v>0</v>
      </c>
      <c r="S142" s="17"/>
    </row>
    <row r="143" spans="1:19" ht="18" customHeight="1" x14ac:dyDescent="0.2">
      <c r="A143" s="52"/>
      <c r="B143" s="49"/>
      <c r="C143" s="23" t="s">
        <v>29</v>
      </c>
      <c r="D143" s="24">
        <f t="shared" ref="D143:I143" si="67">D142-D141</f>
        <v>-0.93</v>
      </c>
      <c r="E143" s="24">
        <f t="shared" si="67"/>
        <v>-0.24</v>
      </c>
      <c r="F143" s="24">
        <f t="shared" si="67"/>
        <v>0</v>
      </c>
      <c r="G143" s="24">
        <f t="shared" si="67"/>
        <v>-1.66</v>
      </c>
      <c r="H143" s="24">
        <f t="shared" si="67"/>
        <v>-0.76</v>
      </c>
      <c r="I143" s="27">
        <f t="shared" si="67"/>
        <v>0</v>
      </c>
      <c r="J143" s="30">
        <f>SUM(D143:I143)</f>
        <v>-3.59</v>
      </c>
      <c r="K143" s="29">
        <f t="shared" ref="K143:P143" si="68">K142-K141</f>
        <v>0</v>
      </c>
      <c r="L143" s="24">
        <f t="shared" si="68"/>
        <v>-0.94</v>
      </c>
      <c r="M143" s="24">
        <f t="shared" si="68"/>
        <v>-0.5</v>
      </c>
      <c r="N143" s="24">
        <f t="shared" si="68"/>
        <v>0</v>
      </c>
      <c r="O143" s="24">
        <f t="shared" si="68"/>
        <v>0</v>
      </c>
      <c r="P143" s="27">
        <f t="shared" si="68"/>
        <v>0</v>
      </c>
      <c r="Q143" s="30">
        <f>SUM(K143:P143)</f>
        <v>-1.44</v>
      </c>
      <c r="R143" s="30">
        <f>J143+Q143</f>
        <v>-5.0299999999999994</v>
      </c>
      <c r="S143" s="17"/>
    </row>
    <row r="144" spans="1:19" ht="18" customHeight="1" thickBot="1" x14ac:dyDescent="0.25">
      <c r="A144" s="53"/>
      <c r="B144" s="50"/>
      <c r="C144" s="25" t="s">
        <v>30</v>
      </c>
      <c r="D144" s="20"/>
      <c r="E144" s="20"/>
      <c r="F144" s="20"/>
      <c r="G144" s="20"/>
      <c r="H144" s="20"/>
      <c r="I144" s="28"/>
      <c r="J144" s="21">
        <f>I144</f>
        <v>0</v>
      </c>
      <c r="K144" s="22"/>
      <c r="L144" s="20"/>
      <c r="M144" s="20"/>
      <c r="N144" s="20"/>
      <c r="O144" s="20"/>
      <c r="P144" s="28"/>
      <c r="Q144" s="21">
        <f>P144</f>
        <v>0</v>
      </c>
      <c r="R144" s="21">
        <f>Q144</f>
        <v>0</v>
      </c>
      <c r="S144" s="18"/>
    </row>
    <row r="145" spans="1:19" ht="18" customHeight="1" x14ac:dyDescent="0.2">
      <c r="A145" s="51">
        <v>31</v>
      </c>
      <c r="B145" s="48" t="s">
        <v>88</v>
      </c>
      <c r="C145" s="31" t="s">
        <v>27</v>
      </c>
      <c r="D145" s="8"/>
      <c r="E145" s="8">
        <v>4.4400000000000004</v>
      </c>
      <c r="F145" s="8">
        <v>1.32</v>
      </c>
      <c r="G145" s="8">
        <v>1.67</v>
      </c>
      <c r="H145" s="8">
        <v>1.86</v>
      </c>
      <c r="I145" s="9">
        <v>0.57999999999999996</v>
      </c>
      <c r="J145" s="10">
        <f>SUM(D145:I145)</f>
        <v>9.870000000000001</v>
      </c>
      <c r="K145" s="11"/>
      <c r="L145" s="8">
        <v>3.04</v>
      </c>
      <c r="M145" s="8">
        <v>9.6199999999999992</v>
      </c>
      <c r="N145" s="8">
        <v>18.02</v>
      </c>
      <c r="O145" s="8"/>
      <c r="P145" s="9"/>
      <c r="Q145" s="10">
        <f>SUM(K145:P145)</f>
        <v>30.68</v>
      </c>
      <c r="R145" s="10">
        <f>J145+Q145</f>
        <v>40.549999999999997</v>
      </c>
      <c r="S145" s="16"/>
    </row>
    <row r="146" spans="1:19" ht="18" customHeight="1" x14ac:dyDescent="0.2">
      <c r="A146" s="52"/>
      <c r="B146" s="49"/>
      <c r="C146" s="7" t="s">
        <v>28</v>
      </c>
      <c r="D146" s="12"/>
      <c r="E146" s="12">
        <v>1.32</v>
      </c>
      <c r="F146" s="12"/>
      <c r="G146" s="12">
        <v>4.38</v>
      </c>
      <c r="H146" s="12"/>
      <c r="I146" s="13"/>
      <c r="J146" s="14">
        <f>SUM(D146:I146)</f>
        <v>5.7</v>
      </c>
      <c r="K146" s="15"/>
      <c r="L146" s="12"/>
      <c r="M146" s="12"/>
      <c r="N146" s="12"/>
      <c r="O146" s="12"/>
      <c r="P146" s="13"/>
      <c r="Q146" s="14">
        <f>SUM(K146:P146)</f>
        <v>0</v>
      </c>
      <c r="R146" s="14">
        <f>J146+Q146</f>
        <v>5.7</v>
      </c>
      <c r="S146" s="17"/>
    </row>
    <row r="147" spans="1:19" ht="18" customHeight="1" x14ac:dyDescent="0.2">
      <c r="A147" s="52"/>
      <c r="B147" s="49"/>
      <c r="C147" s="23" t="s">
        <v>29</v>
      </c>
      <c r="D147" s="24">
        <f t="shared" ref="D147:I147" si="69">D146-D145</f>
        <v>0</v>
      </c>
      <c r="E147" s="24">
        <f t="shared" si="69"/>
        <v>-3.12</v>
      </c>
      <c r="F147" s="24">
        <f t="shared" si="69"/>
        <v>-1.32</v>
      </c>
      <c r="G147" s="24">
        <f t="shared" si="69"/>
        <v>2.71</v>
      </c>
      <c r="H147" s="24">
        <f t="shared" si="69"/>
        <v>-1.86</v>
      </c>
      <c r="I147" s="27">
        <f t="shared" si="69"/>
        <v>-0.57999999999999996</v>
      </c>
      <c r="J147" s="30">
        <f>SUM(D147:I147)</f>
        <v>-4.1700000000000008</v>
      </c>
      <c r="K147" s="29">
        <f t="shared" ref="K147:P147" si="70">K146-K145</f>
        <v>0</v>
      </c>
      <c r="L147" s="24">
        <f t="shared" si="70"/>
        <v>-3.04</v>
      </c>
      <c r="M147" s="24">
        <f t="shared" si="70"/>
        <v>-9.6199999999999992</v>
      </c>
      <c r="N147" s="24">
        <f t="shared" si="70"/>
        <v>-18.02</v>
      </c>
      <c r="O147" s="24">
        <f t="shared" si="70"/>
        <v>0</v>
      </c>
      <c r="P147" s="27">
        <f t="shared" si="70"/>
        <v>0</v>
      </c>
      <c r="Q147" s="30">
        <f>SUM(K147:P147)</f>
        <v>-30.68</v>
      </c>
      <c r="R147" s="30">
        <f>J147+Q147</f>
        <v>-34.85</v>
      </c>
      <c r="S147" s="17"/>
    </row>
    <row r="148" spans="1:19" ht="18" customHeight="1" thickBot="1" x14ac:dyDescent="0.25">
      <c r="A148" s="53"/>
      <c r="B148" s="50"/>
      <c r="C148" s="25" t="s">
        <v>30</v>
      </c>
      <c r="D148" s="20"/>
      <c r="E148" s="20"/>
      <c r="F148" s="20"/>
      <c r="G148" s="20"/>
      <c r="H148" s="20"/>
      <c r="I148" s="28"/>
      <c r="J148" s="21">
        <f>I148</f>
        <v>0</v>
      </c>
      <c r="K148" s="22"/>
      <c r="L148" s="20"/>
      <c r="M148" s="20"/>
      <c r="N148" s="20"/>
      <c r="O148" s="20"/>
      <c r="P148" s="28"/>
      <c r="Q148" s="21">
        <f>P148</f>
        <v>0</v>
      </c>
      <c r="R148" s="21">
        <f>Q148</f>
        <v>0</v>
      </c>
      <c r="S148" s="18"/>
    </row>
    <row r="149" spans="1:19" ht="18" customHeight="1" x14ac:dyDescent="0.2">
      <c r="A149" s="51">
        <v>32</v>
      </c>
      <c r="B149" s="48" t="s">
        <v>89</v>
      </c>
      <c r="C149" s="31" t="s">
        <v>27</v>
      </c>
      <c r="D149" s="8"/>
      <c r="E149" s="8"/>
      <c r="F149" s="8"/>
      <c r="G149" s="8"/>
      <c r="H149" s="8"/>
      <c r="I149" s="9"/>
      <c r="J149" s="10">
        <v>0</v>
      </c>
      <c r="K149" s="11"/>
      <c r="L149" s="8">
        <v>3.18</v>
      </c>
      <c r="M149" s="8">
        <v>2.76</v>
      </c>
      <c r="N149" s="8"/>
      <c r="O149" s="8"/>
      <c r="P149" s="9"/>
      <c r="Q149" s="10">
        <v>0</v>
      </c>
      <c r="R149" s="10">
        <v>0</v>
      </c>
      <c r="S149" s="16"/>
    </row>
    <row r="150" spans="1:19" ht="18" customHeight="1" x14ac:dyDescent="0.2">
      <c r="A150" s="52"/>
      <c r="B150" s="49"/>
      <c r="C150" s="7" t="s">
        <v>28</v>
      </c>
      <c r="D150" s="12"/>
      <c r="E150" s="12"/>
      <c r="F150" s="12"/>
      <c r="G150" s="12"/>
      <c r="H150" s="12"/>
      <c r="I150" s="13"/>
      <c r="J150" s="14">
        <v>3.43</v>
      </c>
      <c r="K150" s="15"/>
      <c r="L150" s="12"/>
      <c r="M150" s="12"/>
      <c r="N150" s="12"/>
      <c r="O150" s="12"/>
      <c r="P150" s="13"/>
      <c r="Q150" s="14">
        <v>2.11</v>
      </c>
      <c r="R150" s="14">
        <v>5.5399999999999991</v>
      </c>
      <c r="S150" s="17"/>
    </row>
    <row r="151" spans="1:19" ht="18" customHeight="1" x14ac:dyDescent="0.2">
      <c r="A151" s="52"/>
      <c r="B151" s="49"/>
      <c r="C151" s="23" t="s">
        <v>29</v>
      </c>
      <c r="D151" s="24">
        <v>0</v>
      </c>
      <c r="E151" s="24">
        <v>0</v>
      </c>
      <c r="F151" s="24">
        <v>0</v>
      </c>
      <c r="G151" s="24">
        <v>1.68</v>
      </c>
      <c r="H151" s="24">
        <v>1.45</v>
      </c>
      <c r="I151" s="27">
        <v>0.3</v>
      </c>
      <c r="J151" s="30">
        <v>3.43</v>
      </c>
      <c r="K151" s="29">
        <v>0.66</v>
      </c>
      <c r="L151" s="24">
        <v>0</v>
      </c>
      <c r="M151" s="24">
        <v>1.45</v>
      </c>
      <c r="N151" s="24">
        <v>0</v>
      </c>
      <c r="O151" s="24">
        <v>0</v>
      </c>
      <c r="P151" s="27">
        <v>0</v>
      </c>
      <c r="Q151" s="30">
        <v>2.11</v>
      </c>
      <c r="R151" s="30">
        <v>5.5399999999999991</v>
      </c>
      <c r="S151" s="17"/>
    </row>
    <row r="152" spans="1:19" ht="18" customHeight="1" thickBot="1" x14ac:dyDescent="0.25">
      <c r="A152" s="53"/>
      <c r="B152" s="50"/>
      <c r="C152" s="25" t="s">
        <v>30</v>
      </c>
      <c r="D152" s="20"/>
      <c r="E152" s="20"/>
      <c r="F152" s="20"/>
      <c r="G152" s="20"/>
      <c r="H152" s="20"/>
      <c r="I152" s="28"/>
      <c r="J152" s="21">
        <v>0</v>
      </c>
      <c r="K152" s="22"/>
      <c r="L152" s="20"/>
      <c r="M152" s="20"/>
      <c r="N152" s="20"/>
      <c r="O152" s="20"/>
      <c r="P152" s="28"/>
      <c r="Q152" s="21">
        <v>0</v>
      </c>
      <c r="R152" s="21">
        <v>0</v>
      </c>
      <c r="S152" s="18"/>
    </row>
    <row r="153" spans="1:19" ht="18" customHeight="1" x14ac:dyDescent="0.2">
      <c r="A153" s="51">
        <v>32</v>
      </c>
      <c r="B153" s="48" t="s">
        <v>90</v>
      </c>
      <c r="C153" s="31" t="s">
        <v>27</v>
      </c>
      <c r="D153" s="8"/>
      <c r="E153" s="8"/>
      <c r="F153" s="8"/>
      <c r="G153" s="8">
        <v>1.68</v>
      </c>
      <c r="H153" s="8">
        <v>1.45</v>
      </c>
      <c r="I153" s="9">
        <v>0.3</v>
      </c>
      <c r="J153" s="10">
        <v>0</v>
      </c>
      <c r="K153" s="11">
        <v>0.66</v>
      </c>
      <c r="L153" s="8">
        <v>1.45</v>
      </c>
      <c r="M153" s="8"/>
      <c r="N153" s="8"/>
      <c r="O153" s="8"/>
      <c r="P153" s="9"/>
      <c r="Q153" s="10">
        <v>0</v>
      </c>
      <c r="R153" s="10">
        <v>0</v>
      </c>
      <c r="S153" s="16"/>
    </row>
    <row r="154" spans="1:19" ht="18" customHeight="1" x14ac:dyDescent="0.2">
      <c r="A154" s="52"/>
      <c r="B154" s="49"/>
      <c r="C154" s="7" t="s">
        <v>28</v>
      </c>
      <c r="D154" s="12"/>
      <c r="E154" s="12"/>
      <c r="F154" s="12"/>
      <c r="G154" s="12">
        <v>7.0000000000000007E-2</v>
      </c>
      <c r="H154" s="12"/>
      <c r="I154" s="13"/>
      <c r="J154" s="14">
        <v>3.43</v>
      </c>
      <c r="K154" s="15"/>
      <c r="L154" s="12"/>
      <c r="M154" s="12"/>
      <c r="N154" s="12"/>
      <c r="O154" s="12"/>
      <c r="P154" s="13"/>
      <c r="Q154" s="14">
        <v>2.11</v>
      </c>
      <c r="R154" s="14">
        <v>5.5399999999999991</v>
      </c>
      <c r="S154" s="17"/>
    </row>
    <row r="155" spans="1:19" ht="18" customHeight="1" x14ac:dyDescent="0.2">
      <c r="A155" s="52"/>
      <c r="B155" s="49"/>
      <c r="C155" s="23" t="s">
        <v>29</v>
      </c>
      <c r="D155" s="24">
        <v>0</v>
      </c>
      <c r="E155" s="24">
        <v>0</v>
      </c>
      <c r="F155" s="24">
        <v>0</v>
      </c>
      <c r="G155" s="24">
        <v>1.68</v>
      </c>
      <c r="H155" s="24">
        <v>1.45</v>
      </c>
      <c r="I155" s="27">
        <v>0.3</v>
      </c>
      <c r="J155" s="30">
        <v>3.43</v>
      </c>
      <c r="K155" s="29">
        <v>0.66</v>
      </c>
      <c r="L155" s="24">
        <v>0</v>
      </c>
      <c r="M155" s="24">
        <v>1.45</v>
      </c>
      <c r="N155" s="24">
        <v>0</v>
      </c>
      <c r="O155" s="24">
        <v>0</v>
      </c>
      <c r="P155" s="27">
        <v>0</v>
      </c>
      <c r="Q155" s="30">
        <v>2.11</v>
      </c>
      <c r="R155" s="30">
        <v>5.5399999999999991</v>
      </c>
      <c r="S155" s="17"/>
    </row>
    <row r="156" spans="1:19" ht="18" customHeight="1" thickBot="1" x14ac:dyDescent="0.25">
      <c r="A156" s="53"/>
      <c r="B156" s="50"/>
      <c r="C156" s="25" t="s">
        <v>30</v>
      </c>
      <c r="D156" s="20"/>
      <c r="E156" s="20"/>
      <c r="F156" s="20"/>
      <c r="G156" s="20"/>
      <c r="H156" s="20"/>
      <c r="I156" s="28"/>
      <c r="J156" s="21">
        <v>0</v>
      </c>
      <c r="K156" s="22"/>
      <c r="L156" s="20"/>
      <c r="M156" s="20"/>
      <c r="N156" s="20"/>
      <c r="O156" s="20"/>
      <c r="P156" s="28"/>
      <c r="Q156" s="21">
        <v>0</v>
      </c>
      <c r="R156" s="21">
        <v>0</v>
      </c>
      <c r="S156" s="18"/>
    </row>
    <row r="157" spans="1:19" ht="18" customHeight="1" x14ac:dyDescent="0.2">
      <c r="A157" s="51">
        <v>33</v>
      </c>
      <c r="B157" s="48" t="s">
        <v>91</v>
      </c>
      <c r="C157" s="31" t="s">
        <v>27</v>
      </c>
      <c r="D157" s="8">
        <v>3.06</v>
      </c>
      <c r="E157" s="8">
        <v>4.3099999999999996</v>
      </c>
      <c r="F157" s="8">
        <v>2.0099999999999998</v>
      </c>
      <c r="G157" s="8">
        <v>1.5</v>
      </c>
      <c r="H157" s="8">
        <v>4.8099999999999996</v>
      </c>
      <c r="I157" s="9"/>
      <c r="J157" s="10">
        <f>SUM(D157:I157)</f>
        <v>15.689999999999998</v>
      </c>
      <c r="K157" s="11"/>
      <c r="L157" s="8">
        <v>0.86</v>
      </c>
      <c r="M157" s="8"/>
      <c r="N157" s="8">
        <v>8.92</v>
      </c>
      <c r="O157" s="8"/>
      <c r="P157" s="9"/>
      <c r="Q157" s="10">
        <f>SUM(K157:P157)</f>
        <v>9.7799999999999994</v>
      </c>
      <c r="R157" s="10">
        <f>J157+Q157</f>
        <v>25.47</v>
      </c>
      <c r="S157" s="16"/>
    </row>
    <row r="158" spans="1:19" ht="18" customHeight="1" x14ac:dyDescent="0.2">
      <c r="A158" s="52"/>
      <c r="B158" s="49"/>
      <c r="C158" s="7" t="s">
        <v>28</v>
      </c>
      <c r="D158" s="12"/>
      <c r="E158" s="12">
        <v>3.84</v>
      </c>
      <c r="F158" s="12">
        <v>3.78</v>
      </c>
      <c r="G158" s="12">
        <v>4.5</v>
      </c>
      <c r="H158" s="12"/>
      <c r="I158" s="13"/>
      <c r="J158" s="14">
        <f>SUM(D158:I158)</f>
        <v>12.12</v>
      </c>
      <c r="K158" s="15"/>
      <c r="L158" s="12"/>
      <c r="M158" s="12"/>
      <c r="N158" s="12"/>
      <c r="O158" s="12"/>
      <c r="P158" s="13"/>
      <c r="Q158" s="14">
        <f>SUM(K158:P158)</f>
        <v>0</v>
      </c>
      <c r="R158" s="14">
        <f>J158+Q158</f>
        <v>12.12</v>
      </c>
      <c r="S158" s="17"/>
    </row>
    <row r="159" spans="1:19" ht="18" customHeight="1" x14ac:dyDescent="0.2">
      <c r="A159" s="52"/>
      <c r="B159" s="49"/>
      <c r="C159" s="23" t="s">
        <v>29</v>
      </c>
      <c r="D159" s="24">
        <f t="shared" ref="D159:I159" si="71">D158-D157</f>
        <v>-3.06</v>
      </c>
      <c r="E159" s="24">
        <f t="shared" si="71"/>
        <v>-0.46999999999999975</v>
      </c>
      <c r="F159" s="24">
        <f t="shared" si="71"/>
        <v>1.77</v>
      </c>
      <c r="G159" s="24">
        <f t="shared" si="71"/>
        <v>3</v>
      </c>
      <c r="H159" s="24">
        <f t="shared" si="71"/>
        <v>-4.8099999999999996</v>
      </c>
      <c r="I159" s="27">
        <f t="shared" si="71"/>
        <v>0</v>
      </c>
      <c r="J159" s="30">
        <f>SUM(D159:I159)</f>
        <v>-3.5699999999999994</v>
      </c>
      <c r="K159" s="29">
        <f t="shared" ref="K159:P159" si="72">K158-K157</f>
        <v>0</v>
      </c>
      <c r="L159" s="24">
        <f t="shared" si="72"/>
        <v>-0.86</v>
      </c>
      <c r="M159" s="24">
        <f t="shared" si="72"/>
        <v>0</v>
      </c>
      <c r="N159" s="24">
        <f t="shared" si="72"/>
        <v>-8.92</v>
      </c>
      <c r="O159" s="24">
        <f t="shared" si="72"/>
        <v>0</v>
      </c>
      <c r="P159" s="27">
        <f t="shared" si="72"/>
        <v>0</v>
      </c>
      <c r="Q159" s="30">
        <f>SUM(K159:P159)</f>
        <v>-9.7799999999999994</v>
      </c>
      <c r="R159" s="30">
        <f>J159+Q159</f>
        <v>-13.349999999999998</v>
      </c>
      <c r="S159" s="17"/>
    </row>
    <row r="160" spans="1:19" ht="18" customHeight="1" thickBot="1" x14ac:dyDescent="0.25">
      <c r="A160" s="53"/>
      <c r="B160" s="50"/>
      <c r="C160" s="25" t="s">
        <v>30</v>
      </c>
      <c r="D160" s="20"/>
      <c r="E160" s="20"/>
      <c r="F160" s="20"/>
      <c r="G160" s="20"/>
      <c r="H160" s="20"/>
      <c r="I160" s="28"/>
      <c r="J160" s="21">
        <f>I160</f>
        <v>0</v>
      </c>
      <c r="K160" s="22"/>
      <c r="L160" s="20"/>
      <c r="M160" s="20"/>
      <c r="N160" s="20"/>
      <c r="O160" s="20"/>
      <c r="P160" s="28"/>
      <c r="Q160" s="21">
        <f>P160</f>
        <v>0</v>
      </c>
      <c r="R160" s="21">
        <f>Q160</f>
        <v>0</v>
      </c>
      <c r="S160" s="18"/>
    </row>
    <row r="161" spans="1:19" ht="18" customHeight="1" x14ac:dyDescent="0.2">
      <c r="A161" s="51">
        <v>34</v>
      </c>
      <c r="B161" s="48" t="s">
        <v>92</v>
      </c>
      <c r="C161" s="31" t="s">
        <v>27</v>
      </c>
      <c r="D161" s="8"/>
      <c r="E161" s="8"/>
      <c r="F161" s="8"/>
      <c r="G161" s="8"/>
      <c r="H161" s="8"/>
      <c r="I161" s="9"/>
      <c r="J161" s="10">
        <f>SUM(D161:I161)</f>
        <v>0</v>
      </c>
      <c r="K161" s="11"/>
      <c r="L161" s="8">
        <v>6.44</v>
      </c>
      <c r="M161" s="8">
        <v>1.36</v>
      </c>
      <c r="N161" s="8">
        <v>4.33</v>
      </c>
      <c r="O161" s="8">
        <v>0.72</v>
      </c>
      <c r="P161" s="9"/>
      <c r="Q161" s="10">
        <f>SUM(K161:P161)</f>
        <v>12.850000000000001</v>
      </c>
      <c r="R161" s="10">
        <f>J161+Q161</f>
        <v>12.850000000000001</v>
      </c>
      <c r="S161" s="16"/>
    </row>
    <row r="162" spans="1:19" ht="18" customHeight="1" x14ac:dyDescent="0.2">
      <c r="A162" s="52"/>
      <c r="B162" s="49"/>
      <c r="C162" s="7" t="s">
        <v>28</v>
      </c>
      <c r="D162" s="12">
        <v>2.16</v>
      </c>
      <c r="E162" s="12"/>
      <c r="F162" s="12"/>
      <c r="G162" s="12"/>
      <c r="H162" s="12"/>
      <c r="I162" s="13"/>
      <c r="J162" s="14">
        <f>SUM(D162:I162)</f>
        <v>2.16</v>
      </c>
      <c r="K162" s="15"/>
      <c r="L162" s="12"/>
      <c r="M162" s="12"/>
      <c r="N162" s="12"/>
      <c r="O162" s="12"/>
      <c r="P162" s="13"/>
      <c r="Q162" s="14">
        <f>SUM(K162:P162)</f>
        <v>0</v>
      </c>
      <c r="R162" s="14">
        <f>J162+Q162</f>
        <v>2.16</v>
      </c>
      <c r="S162" s="17"/>
    </row>
    <row r="163" spans="1:19" ht="18" customHeight="1" x14ac:dyDescent="0.2">
      <c r="A163" s="52"/>
      <c r="B163" s="49"/>
      <c r="C163" s="23" t="s">
        <v>29</v>
      </c>
      <c r="D163" s="24">
        <f t="shared" ref="D163:I163" si="73">D162-D161</f>
        <v>2.16</v>
      </c>
      <c r="E163" s="24">
        <f t="shared" si="73"/>
        <v>0</v>
      </c>
      <c r="F163" s="24">
        <f t="shared" si="73"/>
        <v>0</v>
      </c>
      <c r="G163" s="24">
        <f t="shared" si="73"/>
        <v>0</v>
      </c>
      <c r="H163" s="24">
        <f t="shared" si="73"/>
        <v>0</v>
      </c>
      <c r="I163" s="27">
        <f t="shared" si="73"/>
        <v>0</v>
      </c>
      <c r="J163" s="30">
        <f>SUM(D163:I163)</f>
        <v>2.16</v>
      </c>
      <c r="K163" s="29">
        <f t="shared" ref="K163:P163" si="74">K162-K161</f>
        <v>0</v>
      </c>
      <c r="L163" s="24">
        <f t="shared" si="74"/>
        <v>-6.44</v>
      </c>
      <c r="M163" s="24">
        <f t="shared" si="74"/>
        <v>-1.36</v>
      </c>
      <c r="N163" s="24">
        <f t="shared" si="74"/>
        <v>-4.33</v>
      </c>
      <c r="O163" s="24">
        <f t="shared" si="74"/>
        <v>-0.72</v>
      </c>
      <c r="P163" s="27">
        <f t="shared" si="74"/>
        <v>0</v>
      </c>
      <c r="Q163" s="30">
        <f>SUM(K163:P163)</f>
        <v>-12.850000000000001</v>
      </c>
      <c r="R163" s="30">
        <f>J163+Q163</f>
        <v>-10.690000000000001</v>
      </c>
      <c r="S163" s="17"/>
    </row>
    <row r="164" spans="1:19" ht="18" customHeight="1" thickBot="1" x14ac:dyDescent="0.25">
      <c r="A164" s="53"/>
      <c r="B164" s="50"/>
      <c r="C164" s="25" t="s">
        <v>30</v>
      </c>
      <c r="D164" s="20"/>
      <c r="E164" s="20"/>
      <c r="F164" s="20"/>
      <c r="G164" s="20"/>
      <c r="H164" s="20"/>
      <c r="I164" s="28"/>
      <c r="J164" s="21">
        <f>I164</f>
        <v>0</v>
      </c>
      <c r="K164" s="22"/>
      <c r="L164" s="20"/>
      <c r="M164" s="20"/>
      <c r="N164" s="20"/>
      <c r="O164" s="20"/>
      <c r="P164" s="28"/>
      <c r="Q164" s="21">
        <f>P164</f>
        <v>0</v>
      </c>
      <c r="R164" s="21">
        <f>Q164</f>
        <v>0</v>
      </c>
      <c r="S164" s="18"/>
    </row>
    <row r="165" spans="1:19" ht="18" customHeight="1" x14ac:dyDescent="0.2">
      <c r="A165" s="51">
        <v>34</v>
      </c>
      <c r="B165" s="48" t="s">
        <v>93</v>
      </c>
      <c r="C165" s="31" t="s">
        <v>27</v>
      </c>
      <c r="D165" s="8"/>
      <c r="E165" s="8"/>
      <c r="F165" s="8"/>
      <c r="G165" s="8">
        <v>2.56</v>
      </c>
      <c r="H165" s="8">
        <v>4.54</v>
      </c>
      <c r="I165" s="9">
        <v>0.43</v>
      </c>
      <c r="J165" s="10">
        <f>SUM(D165:I165)</f>
        <v>7.5299999999999994</v>
      </c>
      <c r="K165" s="11">
        <v>11.16</v>
      </c>
      <c r="L165" s="8">
        <v>5.98</v>
      </c>
      <c r="M165" s="8"/>
      <c r="N165" s="8"/>
      <c r="O165" s="8"/>
      <c r="P165" s="9"/>
      <c r="Q165" s="10">
        <f>SUM(K165:P165)</f>
        <v>17.14</v>
      </c>
      <c r="R165" s="10">
        <f>J165+Q165</f>
        <v>24.67</v>
      </c>
      <c r="S165" s="16"/>
    </row>
    <row r="166" spans="1:19" ht="18" customHeight="1" x14ac:dyDescent="0.2">
      <c r="A166" s="52"/>
      <c r="B166" s="49"/>
      <c r="C166" s="7" t="s">
        <v>28</v>
      </c>
      <c r="D166" s="12"/>
      <c r="E166" s="12"/>
      <c r="F166" s="12"/>
      <c r="G166" s="12"/>
      <c r="H166" s="12"/>
      <c r="I166" s="13"/>
      <c r="J166" s="14">
        <f>SUM(D166:I166)</f>
        <v>0</v>
      </c>
      <c r="K166" s="15"/>
      <c r="L166" s="12"/>
      <c r="M166" s="12"/>
      <c r="N166" s="12"/>
      <c r="O166" s="12"/>
      <c r="P166" s="13"/>
      <c r="Q166" s="14">
        <f>SUM(K166:P166)</f>
        <v>0</v>
      </c>
      <c r="R166" s="14">
        <f>J166+Q166</f>
        <v>0</v>
      </c>
      <c r="S166" s="17"/>
    </row>
    <row r="167" spans="1:19" ht="18" customHeight="1" x14ac:dyDescent="0.2">
      <c r="A167" s="52"/>
      <c r="B167" s="49"/>
      <c r="C167" s="23" t="s">
        <v>29</v>
      </c>
      <c r="D167" s="24">
        <f t="shared" ref="D167:I167" si="75">D166-D165</f>
        <v>0</v>
      </c>
      <c r="E167" s="24">
        <f t="shared" si="75"/>
        <v>0</v>
      </c>
      <c r="F167" s="24">
        <f t="shared" si="75"/>
        <v>0</v>
      </c>
      <c r="G167" s="24">
        <f t="shared" si="75"/>
        <v>-2.56</v>
      </c>
      <c r="H167" s="24">
        <f t="shared" si="75"/>
        <v>-4.54</v>
      </c>
      <c r="I167" s="27">
        <f t="shared" si="75"/>
        <v>-0.43</v>
      </c>
      <c r="J167" s="30">
        <f>SUM(D167:I167)</f>
        <v>-7.5299999999999994</v>
      </c>
      <c r="K167" s="29">
        <f t="shared" ref="K167:P167" si="76">K166-K165</f>
        <v>-11.16</v>
      </c>
      <c r="L167" s="24">
        <f t="shared" si="76"/>
        <v>-5.98</v>
      </c>
      <c r="M167" s="24">
        <f t="shared" si="76"/>
        <v>0</v>
      </c>
      <c r="N167" s="24">
        <f t="shared" si="76"/>
        <v>0</v>
      </c>
      <c r="O167" s="24">
        <f t="shared" si="76"/>
        <v>0</v>
      </c>
      <c r="P167" s="27">
        <f t="shared" si="76"/>
        <v>0</v>
      </c>
      <c r="Q167" s="30">
        <f>SUM(K167:P167)</f>
        <v>-17.14</v>
      </c>
      <c r="R167" s="30">
        <f>J167+Q167</f>
        <v>-24.67</v>
      </c>
      <c r="S167" s="17"/>
    </row>
    <row r="168" spans="1:19" ht="18" customHeight="1" thickBot="1" x14ac:dyDescent="0.25">
      <c r="A168" s="53"/>
      <c r="B168" s="50"/>
      <c r="C168" s="25" t="s">
        <v>30</v>
      </c>
      <c r="D168" s="20"/>
      <c r="E168" s="20"/>
      <c r="F168" s="20"/>
      <c r="G168" s="20"/>
      <c r="H168" s="20"/>
      <c r="I168" s="28"/>
      <c r="J168" s="21">
        <f>I168</f>
        <v>0</v>
      </c>
      <c r="K168" s="22"/>
      <c r="L168" s="20"/>
      <c r="M168" s="20"/>
      <c r="N168" s="20"/>
      <c r="O168" s="20"/>
      <c r="P168" s="28"/>
      <c r="Q168" s="21">
        <f>P168</f>
        <v>0</v>
      </c>
      <c r="R168" s="21">
        <f>Q168</f>
        <v>0</v>
      </c>
      <c r="S168" s="18"/>
    </row>
    <row r="169" spans="1:19" ht="18" customHeight="1" x14ac:dyDescent="0.2">
      <c r="A169" s="51">
        <v>35</v>
      </c>
      <c r="B169" s="48" t="s">
        <v>94</v>
      </c>
      <c r="C169" s="31" t="s">
        <v>27</v>
      </c>
      <c r="D169" s="8"/>
      <c r="E169" s="8">
        <v>0.66</v>
      </c>
      <c r="F169" s="8">
        <v>1.1399999999999999</v>
      </c>
      <c r="G169" s="8">
        <v>0.75</v>
      </c>
      <c r="H169" s="8">
        <v>0.63</v>
      </c>
      <c r="I169" s="9"/>
      <c r="J169" s="10">
        <f>SUM(D169:I169)</f>
        <v>3.1799999999999997</v>
      </c>
      <c r="K169" s="11"/>
      <c r="L169" s="8">
        <v>1.08</v>
      </c>
      <c r="M169" s="8">
        <v>4.22</v>
      </c>
      <c r="N169" s="8">
        <v>0.36</v>
      </c>
      <c r="O169" s="8"/>
      <c r="P169" s="9"/>
      <c r="Q169" s="10">
        <f>SUM(K169:P169)</f>
        <v>5.66</v>
      </c>
      <c r="R169" s="10">
        <f>J169+Q169</f>
        <v>8.84</v>
      </c>
      <c r="S169" s="16"/>
    </row>
    <row r="170" spans="1:19" ht="18" customHeight="1" x14ac:dyDescent="0.2">
      <c r="A170" s="52"/>
      <c r="B170" s="49"/>
      <c r="C170" s="7" t="s">
        <v>28</v>
      </c>
      <c r="D170" s="12">
        <v>0.24</v>
      </c>
      <c r="E170" s="12"/>
      <c r="F170" s="12"/>
      <c r="G170" s="12">
        <v>1.43</v>
      </c>
      <c r="H170" s="12"/>
      <c r="I170" s="13"/>
      <c r="J170" s="14">
        <f>SUM(D170:I170)</f>
        <v>1.67</v>
      </c>
      <c r="K170" s="15"/>
      <c r="L170" s="12"/>
      <c r="M170" s="12"/>
      <c r="N170" s="12"/>
      <c r="O170" s="12"/>
      <c r="P170" s="13"/>
      <c r="Q170" s="14">
        <f>SUM(K170:P170)</f>
        <v>0</v>
      </c>
      <c r="R170" s="14">
        <f>J170+Q170</f>
        <v>1.67</v>
      </c>
      <c r="S170" s="17"/>
    </row>
    <row r="171" spans="1:19" ht="18" customHeight="1" x14ac:dyDescent="0.2">
      <c r="A171" s="52"/>
      <c r="B171" s="49"/>
      <c r="C171" s="23" t="s">
        <v>29</v>
      </c>
      <c r="D171" s="24">
        <f t="shared" ref="D171:I171" si="77">D170-D169</f>
        <v>0.24</v>
      </c>
      <c r="E171" s="24">
        <f t="shared" si="77"/>
        <v>-0.66</v>
      </c>
      <c r="F171" s="24">
        <f t="shared" si="77"/>
        <v>-1.1399999999999999</v>
      </c>
      <c r="G171" s="24">
        <f t="shared" si="77"/>
        <v>0.67999999999999994</v>
      </c>
      <c r="H171" s="24">
        <f t="shared" si="77"/>
        <v>-0.63</v>
      </c>
      <c r="I171" s="27">
        <f t="shared" si="77"/>
        <v>0</v>
      </c>
      <c r="J171" s="30">
        <f>SUM(D171:I171)</f>
        <v>-1.5100000000000002</v>
      </c>
      <c r="K171" s="29">
        <f t="shared" ref="K171:P171" si="78">K170-K169</f>
        <v>0</v>
      </c>
      <c r="L171" s="24">
        <f t="shared" si="78"/>
        <v>-1.08</v>
      </c>
      <c r="M171" s="24">
        <f t="shared" si="78"/>
        <v>-4.22</v>
      </c>
      <c r="N171" s="24">
        <f t="shared" si="78"/>
        <v>-0.36</v>
      </c>
      <c r="O171" s="24">
        <f t="shared" si="78"/>
        <v>0</v>
      </c>
      <c r="P171" s="27">
        <f t="shared" si="78"/>
        <v>0</v>
      </c>
      <c r="Q171" s="30">
        <f>SUM(K171:P171)</f>
        <v>-5.66</v>
      </c>
      <c r="R171" s="30">
        <f>J171+Q171</f>
        <v>-7.17</v>
      </c>
      <c r="S171" s="17"/>
    </row>
    <row r="172" spans="1:19" ht="18" customHeight="1" thickBot="1" x14ac:dyDescent="0.25">
      <c r="A172" s="53"/>
      <c r="B172" s="50"/>
      <c r="C172" s="25" t="s">
        <v>30</v>
      </c>
      <c r="D172" s="20"/>
      <c r="E172" s="20"/>
      <c r="F172" s="20"/>
      <c r="G172" s="20"/>
      <c r="H172" s="20"/>
      <c r="I172" s="28"/>
      <c r="J172" s="21">
        <f>I172</f>
        <v>0</v>
      </c>
      <c r="K172" s="22"/>
      <c r="L172" s="20"/>
      <c r="M172" s="20"/>
      <c r="N172" s="20"/>
      <c r="O172" s="20"/>
      <c r="P172" s="28"/>
      <c r="Q172" s="21">
        <f>P172</f>
        <v>0</v>
      </c>
      <c r="R172" s="21">
        <f>Q172</f>
        <v>0</v>
      </c>
      <c r="S172" s="18"/>
    </row>
    <row r="173" spans="1:19" ht="18" customHeight="1" x14ac:dyDescent="0.2">
      <c r="A173" s="51">
        <v>36</v>
      </c>
      <c r="B173" s="48" t="s">
        <v>95</v>
      </c>
      <c r="C173" s="31" t="s">
        <v>27</v>
      </c>
      <c r="D173" s="8"/>
      <c r="E173" s="8">
        <v>0.93</v>
      </c>
      <c r="F173" s="8">
        <v>0.3</v>
      </c>
      <c r="G173" s="8">
        <v>0.6</v>
      </c>
      <c r="H173" s="8">
        <v>0.15</v>
      </c>
      <c r="I173" s="9"/>
      <c r="J173" s="10">
        <f>SUM(D173:I173)</f>
        <v>1.98</v>
      </c>
      <c r="K173" s="11"/>
      <c r="L173" s="8">
        <v>3.46</v>
      </c>
      <c r="M173" s="8">
        <v>10.7</v>
      </c>
      <c r="N173" s="8">
        <v>3.18</v>
      </c>
      <c r="O173" s="8"/>
      <c r="P173" s="9"/>
      <c r="Q173" s="10">
        <f>SUM(K173:P173)</f>
        <v>17.34</v>
      </c>
      <c r="R173" s="10">
        <f>J173+Q173</f>
        <v>19.32</v>
      </c>
      <c r="S173" s="16"/>
    </row>
    <row r="174" spans="1:19" ht="18" customHeight="1" x14ac:dyDescent="0.2">
      <c r="A174" s="52"/>
      <c r="B174" s="49"/>
      <c r="C174" s="7" t="s">
        <v>28</v>
      </c>
      <c r="D174" s="12"/>
      <c r="E174" s="12"/>
      <c r="F174" s="12"/>
      <c r="G174" s="12"/>
      <c r="H174" s="12"/>
      <c r="I174" s="13"/>
      <c r="J174" s="14">
        <f>SUM(D174:I174)</f>
        <v>0</v>
      </c>
      <c r="K174" s="15"/>
      <c r="L174" s="12"/>
      <c r="M174" s="12"/>
      <c r="N174" s="12"/>
      <c r="O174" s="12"/>
      <c r="P174" s="13"/>
      <c r="Q174" s="14">
        <f>SUM(K174:P174)</f>
        <v>0</v>
      </c>
      <c r="R174" s="14">
        <f>J174+Q174</f>
        <v>0</v>
      </c>
      <c r="S174" s="17"/>
    </row>
    <row r="175" spans="1:19" ht="18" customHeight="1" x14ac:dyDescent="0.2">
      <c r="A175" s="52"/>
      <c r="B175" s="49"/>
      <c r="C175" s="23" t="s">
        <v>29</v>
      </c>
      <c r="D175" s="24">
        <f t="shared" ref="D175:I175" si="79">D174-D173</f>
        <v>0</v>
      </c>
      <c r="E175" s="24">
        <f t="shared" si="79"/>
        <v>-0.93</v>
      </c>
      <c r="F175" s="24">
        <f t="shared" si="79"/>
        <v>-0.3</v>
      </c>
      <c r="G175" s="24">
        <f t="shared" si="79"/>
        <v>-0.6</v>
      </c>
      <c r="H175" s="24">
        <f t="shared" si="79"/>
        <v>-0.15</v>
      </c>
      <c r="I175" s="27">
        <f t="shared" si="79"/>
        <v>0</v>
      </c>
      <c r="J175" s="30">
        <f>SUM(D175:I175)</f>
        <v>-1.98</v>
      </c>
      <c r="K175" s="29">
        <f t="shared" ref="K175:P175" si="80">K174-K173</f>
        <v>0</v>
      </c>
      <c r="L175" s="24">
        <f t="shared" si="80"/>
        <v>-3.46</v>
      </c>
      <c r="M175" s="24">
        <f t="shared" si="80"/>
        <v>-10.7</v>
      </c>
      <c r="N175" s="24">
        <f t="shared" si="80"/>
        <v>-3.18</v>
      </c>
      <c r="O175" s="24">
        <f t="shared" si="80"/>
        <v>0</v>
      </c>
      <c r="P175" s="27">
        <f t="shared" si="80"/>
        <v>0</v>
      </c>
      <c r="Q175" s="30">
        <f>SUM(K175:P175)</f>
        <v>-17.34</v>
      </c>
      <c r="R175" s="30">
        <f>J175+Q175</f>
        <v>-19.32</v>
      </c>
      <c r="S175" s="17"/>
    </row>
    <row r="176" spans="1:19" ht="18" customHeight="1" thickBot="1" x14ac:dyDescent="0.25">
      <c r="A176" s="53"/>
      <c r="B176" s="50"/>
      <c r="C176" s="25" t="s">
        <v>30</v>
      </c>
      <c r="D176" s="20"/>
      <c r="E176" s="20"/>
      <c r="F176" s="20"/>
      <c r="G176" s="20"/>
      <c r="H176" s="20"/>
      <c r="I176" s="28"/>
      <c r="J176" s="21">
        <f>I176</f>
        <v>0</v>
      </c>
      <c r="K176" s="22"/>
      <c r="L176" s="20"/>
      <c r="M176" s="20"/>
      <c r="N176" s="20"/>
      <c r="O176" s="20"/>
      <c r="P176" s="28"/>
      <c r="Q176" s="21">
        <f>P176</f>
        <v>0</v>
      </c>
      <c r="R176" s="21">
        <f>Q176</f>
        <v>0</v>
      </c>
      <c r="S176" s="18"/>
    </row>
    <row r="177" spans="1:19" ht="18" customHeight="1" x14ac:dyDescent="0.2">
      <c r="A177" s="51">
        <v>37</v>
      </c>
      <c r="B177" s="48"/>
      <c r="C177" s="31" t="s">
        <v>27</v>
      </c>
      <c r="D177" s="8"/>
      <c r="E177" s="8"/>
      <c r="F177" s="8"/>
      <c r="G177" s="8"/>
      <c r="H177" s="8"/>
      <c r="I177" s="9"/>
      <c r="J177" s="10">
        <f>SUM(D177:I177)</f>
        <v>0</v>
      </c>
      <c r="K177" s="11"/>
      <c r="L177" s="8"/>
      <c r="M177" s="8"/>
      <c r="N177" s="8"/>
      <c r="O177" s="8"/>
      <c r="P177" s="9"/>
      <c r="Q177" s="10">
        <f>SUM(K177:P177)</f>
        <v>0</v>
      </c>
      <c r="R177" s="10">
        <f>J177+Q177</f>
        <v>0</v>
      </c>
      <c r="S177" s="16"/>
    </row>
    <row r="178" spans="1:19" ht="18" customHeight="1" x14ac:dyDescent="0.2">
      <c r="A178" s="52"/>
      <c r="B178" s="49"/>
      <c r="C178" s="7" t="s">
        <v>28</v>
      </c>
      <c r="D178" s="12"/>
      <c r="E178" s="12"/>
      <c r="F178" s="12"/>
      <c r="G178" s="12"/>
      <c r="H178" s="12"/>
      <c r="I178" s="13"/>
      <c r="J178" s="14">
        <f>SUM(D178:I178)</f>
        <v>0</v>
      </c>
      <c r="K178" s="15"/>
      <c r="L178" s="12"/>
      <c r="M178" s="12"/>
      <c r="N178" s="12"/>
      <c r="O178" s="12"/>
      <c r="P178" s="13"/>
      <c r="Q178" s="14">
        <f>SUM(K178:P178)</f>
        <v>0</v>
      </c>
      <c r="R178" s="14">
        <f>J178+Q178</f>
        <v>0</v>
      </c>
      <c r="S178" s="17"/>
    </row>
    <row r="179" spans="1:19" ht="18" customHeight="1" x14ac:dyDescent="0.2">
      <c r="A179" s="52"/>
      <c r="B179" s="49"/>
      <c r="C179" s="23" t="s">
        <v>29</v>
      </c>
      <c r="D179" s="24">
        <f t="shared" ref="D179:I179" si="81">D178-D177</f>
        <v>0</v>
      </c>
      <c r="E179" s="24">
        <f t="shared" si="81"/>
        <v>0</v>
      </c>
      <c r="F179" s="24">
        <f t="shared" si="81"/>
        <v>0</v>
      </c>
      <c r="G179" s="24">
        <f t="shared" si="81"/>
        <v>0</v>
      </c>
      <c r="H179" s="24">
        <f t="shared" si="81"/>
        <v>0</v>
      </c>
      <c r="I179" s="27">
        <f t="shared" si="81"/>
        <v>0</v>
      </c>
      <c r="J179" s="30">
        <f>SUM(D179:I179)</f>
        <v>0</v>
      </c>
      <c r="K179" s="29">
        <f t="shared" ref="K179:P179" si="82">K178-K177</f>
        <v>0</v>
      </c>
      <c r="L179" s="24">
        <f t="shared" si="82"/>
        <v>0</v>
      </c>
      <c r="M179" s="24">
        <f t="shared" si="82"/>
        <v>0</v>
      </c>
      <c r="N179" s="24">
        <f t="shared" si="82"/>
        <v>0</v>
      </c>
      <c r="O179" s="24">
        <f t="shared" si="82"/>
        <v>0</v>
      </c>
      <c r="P179" s="27">
        <f t="shared" si="82"/>
        <v>0</v>
      </c>
      <c r="Q179" s="30">
        <f>SUM(K179:P179)</f>
        <v>0</v>
      </c>
      <c r="R179" s="30">
        <f>J179+Q179</f>
        <v>0</v>
      </c>
      <c r="S179" s="17"/>
    </row>
    <row r="180" spans="1:19" ht="18" customHeight="1" thickBot="1" x14ac:dyDescent="0.25">
      <c r="A180" s="53"/>
      <c r="B180" s="50"/>
      <c r="C180" s="25" t="s">
        <v>30</v>
      </c>
      <c r="D180" s="20"/>
      <c r="E180" s="20"/>
      <c r="F180" s="20"/>
      <c r="G180" s="20"/>
      <c r="H180" s="20"/>
      <c r="I180" s="28"/>
      <c r="J180" s="21">
        <f>I180</f>
        <v>0</v>
      </c>
      <c r="K180" s="22"/>
      <c r="L180" s="20"/>
      <c r="M180" s="20"/>
      <c r="N180" s="20"/>
      <c r="O180" s="20"/>
      <c r="P180" s="28"/>
      <c r="Q180" s="21">
        <f>P180</f>
        <v>0</v>
      </c>
      <c r="R180" s="21">
        <f>Q180</f>
        <v>0</v>
      </c>
      <c r="S180" s="18"/>
    </row>
    <row r="181" spans="1:19" ht="18" customHeight="1" x14ac:dyDescent="0.2">
      <c r="A181" s="51">
        <v>38</v>
      </c>
      <c r="B181" s="48"/>
      <c r="C181" s="31" t="s">
        <v>27</v>
      </c>
      <c r="D181" s="8"/>
      <c r="E181" s="8"/>
      <c r="F181" s="8"/>
      <c r="G181" s="8"/>
      <c r="H181" s="8"/>
      <c r="I181" s="9"/>
      <c r="J181" s="10">
        <f>SUM(D181:I181)</f>
        <v>0</v>
      </c>
      <c r="K181" s="11"/>
      <c r="L181" s="8"/>
      <c r="M181" s="8"/>
      <c r="N181" s="8"/>
      <c r="O181" s="8"/>
      <c r="P181" s="9"/>
      <c r="Q181" s="10">
        <f>SUM(K181:P181)</f>
        <v>0</v>
      </c>
      <c r="R181" s="10">
        <f>J181+Q181</f>
        <v>0</v>
      </c>
      <c r="S181" s="16"/>
    </row>
    <row r="182" spans="1:19" ht="18" customHeight="1" x14ac:dyDescent="0.2">
      <c r="A182" s="52"/>
      <c r="B182" s="49"/>
      <c r="C182" s="7" t="s">
        <v>28</v>
      </c>
      <c r="D182" s="12"/>
      <c r="E182" s="12"/>
      <c r="F182" s="12"/>
      <c r="G182" s="12"/>
      <c r="H182" s="12"/>
      <c r="I182" s="13"/>
      <c r="J182" s="14">
        <f>SUM(D182:I182)</f>
        <v>0</v>
      </c>
      <c r="K182" s="15"/>
      <c r="L182" s="12"/>
      <c r="M182" s="12"/>
      <c r="N182" s="12"/>
      <c r="O182" s="12"/>
      <c r="P182" s="13"/>
      <c r="Q182" s="14">
        <f>SUM(K182:P182)</f>
        <v>0</v>
      </c>
      <c r="R182" s="14">
        <f>J182+Q182</f>
        <v>0</v>
      </c>
      <c r="S182" s="17"/>
    </row>
    <row r="183" spans="1:19" ht="18" customHeight="1" x14ac:dyDescent="0.2">
      <c r="A183" s="52"/>
      <c r="B183" s="49"/>
      <c r="C183" s="23" t="s">
        <v>29</v>
      </c>
      <c r="D183" s="24">
        <f t="shared" ref="D183:I183" si="83">D182-D181</f>
        <v>0</v>
      </c>
      <c r="E183" s="24">
        <f t="shared" si="83"/>
        <v>0</v>
      </c>
      <c r="F183" s="24">
        <f t="shared" si="83"/>
        <v>0</v>
      </c>
      <c r="G183" s="24">
        <f t="shared" si="83"/>
        <v>0</v>
      </c>
      <c r="H183" s="24">
        <f t="shared" si="83"/>
        <v>0</v>
      </c>
      <c r="I183" s="27">
        <f t="shared" si="83"/>
        <v>0</v>
      </c>
      <c r="J183" s="30">
        <f>SUM(D183:I183)</f>
        <v>0</v>
      </c>
      <c r="K183" s="29">
        <f t="shared" ref="K183:P183" si="84">K182-K181</f>
        <v>0</v>
      </c>
      <c r="L183" s="24">
        <f t="shared" si="84"/>
        <v>0</v>
      </c>
      <c r="M183" s="24">
        <f t="shared" si="84"/>
        <v>0</v>
      </c>
      <c r="N183" s="24">
        <f t="shared" si="84"/>
        <v>0</v>
      </c>
      <c r="O183" s="24">
        <f t="shared" si="84"/>
        <v>0</v>
      </c>
      <c r="P183" s="27">
        <f t="shared" si="84"/>
        <v>0</v>
      </c>
      <c r="Q183" s="30">
        <f>SUM(K183:P183)</f>
        <v>0</v>
      </c>
      <c r="R183" s="30">
        <f>J183+Q183</f>
        <v>0</v>
      </c>
      <c r="S183" s="17"/>
    </row>
    <row r="184" spans="1:19" ht="18" customHeight="1" thickBot="1" x14ac:dyDescent="0.25">
      <c r="A184" s="53"/>
      <c r="B184" s="50"/>
      <c r="C184" s="25" t="s">
        <v>30</v>
      </c>
      <c r="D184" s="20"/>
      <c r="E184" s="20"/>
      <c r="F184" s="20"/>
      <c r="G184" s="20"/>
      <c r="H184" s="20"/>
      <c r="I184" s="28"/>
      <c r="J184" s="21">
        <f>I184</f>
        <v>0</v>
      </c>
      <c r="K184" s="22"/>
      <c r="L184" s="20"/>
      <c r="M184" s="20"/>
      <c r="N184" s="20"/>
      <c r="O184" s="20"/>
      <c r="P184" s="28"/>
      <c r="Q184" s="21">
        <f>P184</f>
        <v>0</v>
      </c>
      <c r="R184" s="21">
        <f>Q184</f>
        <v>0</v>
      </c>
      <c r="S184" s="18"/>
    </row>
    <row r="185" spans="1:19" ht="18" customHeight="1" x14ac:dyDescent="0.2">
      <c r="A185" s="51">
        <v>39</v>
      </c>
      <c r="B185" s="48"/>
      <c r="C185" s="31" t="s">
        <v>27</v>
      </c>
      <c r="D185" s="8"/>
      <c r="E185" s="8"/>
      <c r="F185" s="8"/>
      <c r="G185" s="8"/>
      <c r="H185" s="8"/>
      <c r="I185" s="9"/>
      <c r="J185" s="10">
        <f>SUM(D185:I185)</f>
        <v>0</v>
      </c>
      <c r="K185" s="11"/>
      <c r="L185" s="8"/>
      <c r="M185" s="8"/>
      <c r="N185" s="8"/>
      <c r="O185" s="8"/>
      <c r="P185" s="9"/>
      <c r="Q185" s="10">
        <f>SUM(K185:P185)</f>
        <v>0</v>
      </c>
      <c r="R185" s="10">
        <f>J185+Q185</f>
        <v>0</v>
      </c>
      <c r="S185" s="16"/>
    </row>
    <row r="186" spans="1:19" ht="18" customHeight="1" x14ac:dyDescent="0.2">
      <c r="A186" s="52"/>
      <c r="B186" s="49"/>
      <c r="C186" s="7" t="s">
        <v>28</v>
      </c>
      <c r="D186" s="12"/>
      <c r="E186" s="12"/>
      <c r="F186" s="12"/>
      <c r="G186" s="12"/>
      <c r="H186" s="12"/>
      <c r="I186" s="13"/>
      <c r="J186" s="14">
        <f>SUM(D186:I186)</f>
        <v>0</v>
      </c>
      <c r="K186" s="15"/>
      <c r="L186" s="12"/>
      <c r="M186" s="12"/>
      <c r="N186" s="12"/>
      <c r="O186" s="12"/>
      <c r="P186" s="13"/>
      <c r="Q186" s="14">
        <f>SUM(K186:P186)</f>
        <v>0</v>
      </c>
      <c r="R186" s="14">
        <f>J186+Q186</f>
        <v>0</v>
      </c>
      <c r="S186" s="17"/>
    </row>
    <row r="187" spans="1:19" ht="18" customHeight="1" x14ac:dyDescent="0.2">
      <c r="A187" s="52"/>
      <c r="B187" s="49"/>
      <c r="C187" s="23" t="s">
        <v>29</v>
      </c>
      <c r="D187" s="24">
        <f t="shared" ref="D187:I187" si="85">D186-D185</f>
        <v>0</v>
      </c>
      <c r="E187" s="24">
        <f t="shared" si="85"/>
        <v>0</v>
      </c>
      <c r="F187" s="24">
        <f t="shared" si="85"/>
        <v>0</v>
      </c>
      <c r="G187" s="24">
        <f t="shared" si="85"/>
        <v>0</v>
      </c>
      <c r="H187" s="24">
        <f t="shared" si="85"/>
        <v>0</v>
      </c>
      <c r="I187" s="27">
        <f t="shared" si="85"/>
        <v>0</v>
      </c>
      <c r="J187" s="30">
        <f>SUM(D187:I187)</f>
        <v>0</v>
      </c>
      <c r="K187" s="29">
        <f t="shared" ref="K187:P187" si="86">K186-K185</f>
        <v>0</v>
      </c>
      <c r="L187" s="24">
        <f t="shared" si="86"/>
        <v>0</v>
      </c>
      <c r="M187" s="24">
        <f t="shared" si="86"/>
        <v>0</v>
      </c>
      <c r="N187" s="24">
        <f t="shared" si="86"/>
        <v>0</v>
      </c>
      <c r="O187" s="24">
        <f t="shared" si="86"/>
        <v>0</v>
      </c>
      <c r="P187" s="27">
        <f t="shared" si="86"/>
        <v>0</v>
      </c>
      <c r="Q187" s="30">
        <f>SUM(K187:P187)</f>
        <v>0</v>
      </c>
      <c r="R187" s="30">
        <f>J187+Q187</f>
        <v>0</v>
      </c>
      <c r="S187" s="17"/>
    </row>
    <row r="188" spans="1:19" ht="18" customHeight="1" thickBot="1" x14ac:dyDescent="0.25">
      <c r="A188" s="53"/>
      <c r="B188" s="50"/>
      <c r="C188" s="25" t="s">
        <v>30</v>
      </c>
      <c r="D188" s="20"/>
      <c r="E188" s="20"/>
      <c r="F188" s="20"/>
      <c r="G188" s="20"/>
      <c r="H188" s="20"/>
      <c r="I188" s="28"/>
      <c r="J188" s="21">
        <f>I188</f>
        <v>0</v>
      </c>
      <c r="K188" s="22"/>
      <c r="L188" s="20"/>
      <c r="M188" s="20"/>
      <c r="N188" s="20"/>
      <c r="O188" s="20"/>
      <c r="P188" s="28"/>
      <c r="Q188" s="21">
        <f>P188</f>
        <v>0</v>
      </c>
      <c r="R188" s="21">
        <f>Q188</f>
        <v>0</v>
      </c>
      <c r="S188" s="18"/>
    </row>
    <row r="189" spans="1:19" ht="18" customHeight="1" x14ac:dyDescent="0.2">
      <c r="A189" s="51"/>
      <c r="B189" s="48"/>
      <c r="C189" s="31" t="s">
        <v>27</v>
      </c>
      <c r="D189" s="8"/>
      <c r="E189" s="8"/>
      <c r="F189" s="8"/>
      <c r="G189" s="8"/>
      <c r="H189" s="8"/>
      <c r="I189" s="9"/>
      <c r="J189" s="10">
        <f>SUM(D189:I189)</f>
        <v>0</v>
      </c>
      <c r="K189" s="11"/>
      <c r="L189" s="8"/>
      <c r="M189" s="8"/>
      <c r="N189" s="8"/>
      <c r="O189" s="8"/>
      <c r="P189" s="9"/>
      <c r="Q189" s="10">
        <f>SUM(K189:P189)</f>
        <v>0</v>
      </c>
      <c r="R189" s="10">
        <f>J189+Q189</f>
        <v>0</v>
      </c>
      <c r="S189" s="16"/>
    </row>
    <row r="190" spans="1:19" ht="18" customHeight="1" x14ac:dyDescent="0.2">
      <c r="A190" s="52"/>
      <c r="B190" s="49"/>
      <c r="C190" s="7" t="s">
        <v>28</v>
      </c>
      <c r="D190" s="12"/>
      <c r="E190" s="12"/>
      <c r="F190" s="12"/>
      <c r="G190" s="12"/>
      <c r="H190" s="12"/>
      <c r="I190" s="13"/>
      <c r="J190" s="14">
        <f>SUM(D190:I190)</f>
        <v>0</v>
      </c>
      <c r="K190" s="15"/>
      <c r="L190" s="12"/>
      <c r="M190" s="12"/>
      <c r="N190" s="12"/>
      <c r="O190" s="12"/>
      <c r="P190" s="13"/>
      <c r="Q190" s="14">
        <f>SUM(K190:P190)</f>
        <v>0</v>
      </c>
      <c r="R190" s="14">
        <f>J190+Q190</f>
        <v>0</v>
      </c>
      <c r="S190" s="17"/>
    </row>
    <row r="191" spans="1:19" ht="18" customHeight="1" x14ac:dyDescent="0.2">
      <c r="A191" s="52"/>
      <c r="B191" s="49"/>
      <c r="C191" s="23" t="s">
        <v>29</v>
      </c>
      <c r="D191" s="24">
        <f t="shared" ref="D191:I191" si="87">D190-D189</f>
        <v>0</v>
      </c>
      <c r="E191" s="24">
        <f t="shared" si="87"/>
        <v>0</v>
      </c>
      <c r="F191" s="24">
        <f t="shared" si="87"/>
        <v>0</v>
      </c>
      <c r="G191" s="24">
        <f t="shared" si="87"/>
        <v>0</v>
      </c>
      <c r="H191" s="24">
        <f t="shared" si="87"/>
        <v>0</v>
      </c>
      <c r="I191" s="27">
        <f t="shared" si="87"/>
        <v>0</v>
      </c>
      <c r="J191" s="30">
        <f>SUM(D191:I191)</f>
        <v>0</v>
      </c>
      <c r="K191" s="29">
        <f t="shared" ref="K191:P191" si="88">K190-K189</f>
        <v>0</v>
      </c>
      <c r="L191" s="24">
        <f t="shared" si="88"/>
        <v>0</v>
      </c>
      <c r="M191" s="24">
        <f t="shared" si="88"/>
        <v>0</v>
      </c>
      <c r="N191" s="24">
        <f t="shared" si="88"/>
        <v>0</v>
      </c>
      <c r="O191" s="24">
        <f t="shared" si="88"/>
        <v>0</v>
      </c>
      <c r="P191" s="27">
        <f t="shared" si="88"/>
        <v>0</v>
      </c>
      <c r="Q191" s="30">
        <f>SUM(K191:P191)</f>
        <v>0</v>
      </c>
      <c r="R191" s="30">
        <f>J191+Q191</f>
        <v>0</v>
      </c>
      <c r="S191" s="17"/>
    </row>
    <row r="192" spans="1:19" ht="18" customHeight="1" thickBot="1" x14ac:dyDescent="0.25">
      <c r="A192" s="53"/>
      <c r="B192" s="50"/>
      <c r="C192" s="25" t="s">
        <v>30</v>
      </c>
      <c r="D192" s="20"/>
      <c r="E192" s="20"/>
      <c r="F192" s="20"/>
      <c r="G192" s="20"/>
      <c r="H192" s="20"/>
      <c r="I192" s="28"/>
      <c r="J192" s="21">
        <f>I192</f>
        <v>0</v>
      </c>
      <c r="K192" s="22"/>
      <c r="L192" s="20"/>
      <c r="M192" s="20"/>
      <c r="N192" s="20"/>
      <c r="O192" s="20"/>
      <c r="P192" s="28"/>
      <c r="Q192" s="21">
        <f>P192</f>
        <v>0</v>
      </c>
      <c r="R192" s="21">
        <f>Q192</f>
        <v>0</v>
      </c>
      <c r="S192" s="18"/>
    </row>
    <row r="193" spans="1:19" ht="18" customHeight="1" x14ac:dyDescent="0.2">
      <c r="A193" s="51"/>
      <c r="B193" s="48"/>
      <c r="C193" s="31" t="s">
        <v>27</v>
      </c>
      <c r="D193" s="8"/>
      <c r="E193" s="8"/>
      <c r="F193" s="8"/>
      <c r="G193" s="8"/>
      <c r="H193" s="8"/>
      <c r="I193" s="9"/>
      <c r="J193" s="10">
        <f>SUM(D193:I193)</f>
        <v>0</v>
      </c>
      <c r="K193" s="11"/>
      <c r="L193" s="8"/>
      <c r="M193" s="8"/>
      <c r="N193" s="8"/>
      <c r="O193" s="8"/>
      <c r="P193" s="9"/>
      <c r="Q193" s="10">
        <f>SUM(K193:P193)</f>
        <v>0</v>
      </c>
      <c r="R193" s="10">
        <f>J193+Q193</f>
        <v>0</v>
      </c>
      <c r="S193" s="16"/>
    </row>
    <row r="194" spans="1:19" ht="18" customHeight="1" x14ac:dyDescent="0.2">
      <c r="A194" s="52"/>
      <c r="B194" s="49"/>
      <c r="C194" s="7" t="s">
        <v>28</v>
      </c>
      <c r="D194" s="12"/>
      <c r="E194" s="12"/>
      <c r="F194" s="12"/>
      <c r="G194" s="12"/>
      <c r="H194" s="12"/>
      <c r="I194" s="13"/>
      <c r="J194" s="14">
        <f>SUM(D194:I194)</f>
        <v>0</v>
      </c>
      <c r="K194" s="15"/>
      <c r="L194" s="12"/>
      <c r="M194" s="12"/>
      <c r="N194" s="12"/>
      <c r="O194" s="12"/>
      <c r="P194" s="13"/>
      <c r="Q194" s="14">
        <f>SUM(K194:P194)</f>
        <v>0</v>
      </c>
      <c r="R194" s="14">
        <f>J194+Q194</f>
        <v>0</v>
      </c>
      <c r="S194" s="17"/>
    </row>
    <row r="195" spans="1:19" ht="18" customHeight="1" x14ac:dyDescent="0.2">
      <c r="A195" s="52"/>
      <c r="B195" s="49"/>
      <c r="C195" s="23" t="s">
        <v>29</v>
      </c>
      <c r="D195" s="24">
        <f t="shared" ref="D195:I195" si="89">D194-D193</f>
        <v>0</v>
      </c>
      <c r="E195" s="24">
        <f t="shared" si="89"/>
        <v>0</v>
      </c>
      <c r="F195" s="24">
        <f t="shared" si="89"/>
        <v>0</v>
      </c>
      <c r="G195" s="24">
        <f t="shared" si="89"/>
        <v>0</v>
      </c>
      <c r="H195" s="24">
        <f t="shared" si="89"/>
        <v>0</v>
      </c>
      <c r="I195" s="27">
        <f t="shared" si="89"/>
        <v>0</v>
      </c>
      <c r="J195" s="30">
        <f>SUM(D195:I195)</f>
        <v>0</v>
      </c>
      <c r="K195" s="29">
        <f t="shared" ref="K195:P195" si="90">K194-K193</f>
        <v>0</v>
      </c>
      <c r="L195" s="24">
        <f t="shared" si="90"/>
        <v>0</v>
      </c>
      <c r="M195" s="24">
        <f t="shared" si="90"/>
        <v>0</v>
      </c>
      <c r="N195" s="24">
        <f t="shared" si="90"/>
        <v>0</v>
      </c>
      <c r="O195" s="24">
        <f t="shared" si="90"/>
        <v>0</v>
      </c>
      <c r="P195" s="27">
        <f t="shared" si="90"/>
        <v>0</v>
      </c>
      <c r="Q195" s="30">
        <f>SUM(K195:P195)</f>
        <v>0</v>
      </c>
      <c r="R195" s="30">
        <f>J195+Q195</f>
        <v>0</v>
      </c>
      <c r="S195" s="17"/>
    </row>
    <row r="196" spans="1:19" ht="18" customHeight="1" thickBot="1" x14ac:dyDescent="0.25">
      <c r="A196" s="53"/>
      <c r="B196" s="50"/>
      <c r="C196" s="25" t="s">
        <v>30</v>
      </c>
      <c r="D196" s="20"/>
      <c r="E196" s="20"/>
      <c r="F196" s="20"/>
      <c r="G196" s="20"/>
      <c r="H196" s="20"/>
      <c r="I196" s="28"/>
      <c r="J196" s="21">
        <f>I196</f>
        <v>0</v>
      </c>
      <c r="K196" s="22"/>
      <c r="L196" s="20"/>
      <c r="M196" s="20"/>
      <c r="N196" s="20"/>
      <c r="O196" s="20"/>
      <c r="P196" s="28"/>
      <c r="Q196" s="21">
        <f>P196</f>
        <v>0</v>
      </c>
      <c r="R196" s="21">
        <f>Q196</f>
        <v>0</v>
      </c>
      <c r="S196" s="18"/>
    </row>
    <row r="197" spans="1:19" ht="18" customHeight="1" x14ac:dyDescent="0.2">
      <c r="A197" s="51"/>
      <c r="B197" s="54" t="s">
        <v>49</v>
      </c>
      <c r="C197" s="31" t="s">
        <v>27</v>
      </c>
      <c r="D197" s="41">
        <f t="shared" ref="D197:I198" si="91">D9+D17+D29+D37+D45+D53+D57+D65+D73+D81+D97+D105+D113+D121+D129+D141+D153+D165+D169+D173+D177+D181+D185+D189+D193+D5+D13+D21+D41+D49+D61+D69+D77+D85+D89+D101+D109+D117+D125+D137+D145+D157</f>
        <v>29.509999999999994</v>
      </c>
      <c r="E197" s="41">
        <f t="shared" si="91"/>
        <v>38.180000000000007</v>
      </c>
      <c r="F197" s="41">
        <f t="shared" si="91"/>
        <v>66.55</v>
      </c>
      <c r="G197" s="41">
        <f t="shared" si="91"/>
        <v>104.76</v>
      </c>
      <c r="H197" s="41">
        <f t="shared" si="91"/>
        <v>101.62000000000002</v>
      </c>
      <c r="I197" s="41">
        <f t="shared" si="91"/>
        <v>83.21</v>
      </c>
      <c r="J197" s="10">
        <f>SUM(D197:I197)</f>
        <v>423.83</v>
      </c>
      <c r="K197" s="41">
        <f t="shared" ref="K197:P198" si="92">K9+K17+K29+K37+K45+K53+K57+K65+K73+K81+K97+K105+K113+K121+K129+K141+K153+K165+K169+K173+K177+K181+K185+K189+K193+K5+K13+K21+K41+K49+K61+K69+K77+K85+K89+K101+K109+K117+K125+K137+K145+K157</f>
        <v>95.070000000000007</v>
      </c>
      <c r="L197" s="41">
        <f t="shared" si="92"/>
        <v>148.48000000000002</v>
      </c>
      <c r="M197" s="41">
        <f t="shared" si="92"/>
        <v>124.72</v>
      </c>
      <c r="N197" s="41">
        <f t="shared" si="92"/>
        <v>75.010000000000005</v>
      </c>
      <c r="O197" s="41">
        <f t="shared" si="92"/>
        <v>11.1</v>
      </c>
      <c r="P197" s="41">
        <f t="shared" si="92"/>
        <v>14.889999999999997</v>
      </c>
      <c r="Q197" s="10">
        <f>SUM(K197:P197)</f>
        <v>469.27</v>
      </c>
      <c r="R197" s="10">
        <f>J197+Q197</f>
        <v>893.09999999999991</v>
      </c>
      <c r="S197" s="16"/>
    </row>
    <row r="198" spans="1:19" ht="18" customHeight="1" x14ac:dyDescent="0.2">
      <c r="A198" s="52"/>
      <c r="B198" s="49"/>
      <c r="C198" s="7" t="s">
        <v>28</v>
      </c>
      <c r="D198" s="12">
        <f t="shared" si="91"/>
        <v>18.8</v>
      </c>
      <c r="E198" s="12">
        <f t="shared" si="91"/>
        <v>22.92</v>
      </c>
      <c r="F198" s="12">
        <f t="shared" si="91"/>
        <v>27.840000000000003</v>
      </c>
      <c r="G198" s="12">
        <f t="shared" si="91"/>
        <v>38.900000000000006</v>
      </c>
      <c r="H198" s="12">
        <f t="shared" si="91"/>
        <v>0</v>
      </c>
      <c r="I198" s="12">
        <f t="shared" si="91"/>
        <v>0</v>
      </c>
      <c r="J198" s="14">
        <f>SUM(D198:I198)</f>
        <v>108.46000000000001</v>
      </c>
      <c r="K198" s="42">
        <f t="shared" si="92"/>
        <v>0</v>
      </c>
      <c r="L198" s="42">
        <f t="shared" si="92"/>
        <v>0</v>
      </c>
      <c r="M198" s="42">
        <f t="shared" si="92"/>
        <v>0</v>
      </c>
      <c r="N198" s="42">
        <f t="shared" si="92"/>
        <v>0</v>
      </c>
      <c r="O198" s="42">
        <f t="shared" si="92"/>
        <v>0</v>
      </c>
      <c r="P198" s="42">
        <f t="shared" si="92"/>
        <v>0</v>
      </c>
      <c r="Q198" s="14">
        <f>SUM(K198:P198)</f>
        <v>0</v>
      </c>
      <c r="R198" s="14">
        <f>J198+Q198</f>
        <v>108.46000000000001</v>
      </c>
      <c r="S198" s="17"/>
    </row>
    <row r="199" spans="1:19" ht="18" customHeight="1" x14ac:dyDescent="0.2">
      <c r="A199" s="52"/>
      <c r="B199" s="49"/>
      <c r="C199" s="23" t="s">
        <v>29</v>
      </c>
      <c r="D199" s="24">
        <f t="shared" ref="D199:I199" si="93">D198-D197</f>
        <v>-10.709999999999994</v>
      </c>
      <c r="E199" s="24">
        <f t="shared" si="93"/>
        <v>-15.260000000000005</v>
      </c>
      <c r="F199" s="24">
        <f t="shared" si="93"/>
        <v>-38.709999999999994</v>
      </c>
      <c r="G199" s="24">
        <f t="shared" si="93"/>
        <v>-65.86</v>
      </c>
      <c r="H199" s="24">
        <f t="shared" si="93"/>
        <v>-101.62000000000002</v>
      </c>
      <c r="I199" s="27">
        <f t="shared" si="93"/>
        <v>-83.21</v>
      </c>
      <c r="J199" s="30">
        <f>SUM(D199:I199)</f>
        <v>-315.37</v>
      </c>
      <c r="K199" s="29">
        <f t="shared" ref="K199:P199" si="94">K198-K197</f>
        <v>-95.070000000000007</v>
      </c>
      <c r="L199" s="24">
        <f t="shared" si="94"/>
        <v>-148.48000000000002</v>
      </c>
      <c r="M199" s="24">
        <f t="shared" si="94"/>
        <v>-124.72</v>
      </c>
      <c r="N199" s="24">
        <f t="shared" si="94"/>
        <v>-75.010000000000005</v>
      </c>
      <c r="O199" s="24">
        <f t="shared" si="94"/>
        <v>-11.1</v>
      </c>
      <c r="P199" s="27">
        <f t="shared" si="94"/>
        <v>-14.889999999999997</v>
      </c>
      <c r="Q199" s="30">
        <f>SUM(K199:P199)</f>
        <v>-469.27</v>
      </c>
      <c r="R199" s="30">
        <f>J199+Q199</f>
        <v>-784.64</v>
      </c>
      <c r="S199" s="17"/>
    </row>
    <row r="200" spans="1:19" ht="18" customHeight="1" thickBot="1" x14ac:dyDescent="0.25">
      <c r="A200" s="53"/>
      <c r="B200" s="50"/>
      <c r="C200" s="25" t="s">
        <v>30</v>
      </c>
      <c r="D200" s="20"/>
      <c r="E200" s="20"/>
      <c r="F200" s="20"/>
      <c r="G200" s="20"/>
      <c r="H200" s="20"/>
      <c r="I200" s="28"/>
      <c r="J200" s="21">
        <f>I200</f>
        <v>0</v>
      </c>
      <c r="K200" s="22"/>
      <c r="L200" s="20"/>
      <c r="M200" s="20"/>
      <c r="N200" s="20"/>
      <c r="O200" s="20"/>
      <c r="P200" s="28"/>
      <c r="Q200" s="21">
        <f>P200</f>
        <v>0</v>
      </c>
      <c r="R200" s="21">
        <f>Q200</f>
        <v>0</v>
      </c>
      <c r="S200" s="18"/>
    </row>
    <row r="201" spans="1:19" ht="18" customHeight="1" x14ac:dyDescent="0.2">
      <c r="B201" s="48" t="s">
        <v>96</v>
      </c>
      <c r="C201" s="31" t="s">
        <v>27</v>
      </c>
      <c r="D201" s="8">
        <v>14.18</v>
      </c>
      <c r="E201" s="8">
        <v>2.82</v>
      </c>
      <c r="F201" s="8"/>
      <c r="G201" s="8"/>
      <c r="H201" s="8"/>
      <c r="I201" s="9">
        <v>0.68</v>
      </c>
      <c r="J201" s="10">
        <f>SUM(D201:I201)</f>
        <v>17.68</v>
      </c>
      <c r="K201" s="11"/>
      <c r="L201" s="8"/>
      <c r="M201" s="8">
        <v>4.66</v>
      </c>
      <c r="N201" s="8">
        <v>4.16</v>
      </c>
      <c r="O201" s="8">
        <v>6.25</v>
      </c>
      <c r="P201" s="9">
        <v>9.25</v>
      </c>
      <c r="Q201" s="10">
        <f>SUM(K201:P201)</f>
        <v>24.32</v>
      </c>
      <c r="R201" s="10">
        <f>J201+Q201</f>
        <v>42</v>
      </c>
      <c r="S201" s="16"/>
    </row>
    <row r="202" spans="1:19" ht="18" customHeight="1" x14ac:dyDescent="0.2">
      <c r="B202" s="49"/>
      <c r="C202" s="7" t="s">
        <v>28</v>
      </c>
      <c r="D202" s="12">
        <v>1.96</v>
      </c>
      <c r="E202" s="12"/>
      <c r="F202" s="12">
        <v>2</v>
      </c>
      <c r="G202" s="12"/>
      <c r="H202" s="12"/>
      <c r="I202" s="13"/>
      <c r="J202" s="14">
        <f>SUM(D202:I202)</f>
        <v>3.96</v>
      </c>
      <c r="K202" s="15"/>
      <c r="L202" s="12"/>
      <c r="M202" s="12"/>
      <c r="N202" s="12"/>
      <c r="O202" s="12"/>
      <c r="P202" s="13"/>
      <c r="Q202" s="14">
        <f>SUM(K202:P202)</f>
        <v>0</v>
      </c>
      <c r="R202" s="14">
        <f>J202+Q202</f>
        <v>3.96</v>
      </c>
      <c r="S202" s="17"/>
    </row>
    <row r="203" spans="1:19" ht="18" customHeight="1" x14ac:dyDescent="0.2">
      <c r="B203" s="49"/>
      <c r="C203" s="23" t="s">
        <v>29</v>
      </c>
      <c r="D203" s="24">
        <f t="shared" ref="D203" si="95">D202-D201</f>
        <v>-12.219999999999999</v>
      </c>
      <c r="E203" s="24">
        <f t="shared" ref="E203" si="96">E202-E201</f>
        <v>-2.82</v>
      </c>
      <c r="F203" s="24">
        <f t="shared" ref="F203" si="97">F202-F201</f>
        <v>2</v>
      </c>
      <c r="G203" s="24">
        <f t="shared" ref="G203" si="98">G202-G201</f>
        <v>0</v>
      </c>
      <c r="H203" s="24">
        <f t="shared" ref="H203" si="99">H202-H201</f>
        <v>0</v>
      </c>
      <c r="I203" s="27">
        <f t="shared" ref="I203" si="100">I202-I201</f>
        <v>-0.68</v>
      </c>
      <c r="J203" s="30">
        <f>SUM(D203:I203)</f>
        <v>-13.719999999999999</v>
      </c>
      <c r="K203" s="29">
        <f t="shared" ref="K203" si="101">K202-K201</f>
        <v>0</v>
      </c>
      <c r="L203" s="24">
        <f t="shared" ref="L203" si="102">L202-L201</f>
        <v>0</v>
      </c>
      <c r="M203" s="24">
        <f t="shared" ref="M203" si="103">M202-M201</f>
        <v>-4.66</v>
      </c>
      <c r="N203" s="24">
        <f t="shared" ref="N203" si="104">N202-N201</f>
        <v>-4.16</v>
      </c>
      <c r="O203" s="24">
        <f t="shared" ref="O203" si="105">O202-O201</f>
        <v>-6.25</v>
      </c>
      <c r="P203" s="27">
        <f t="shared" ref="P203" si="106">P202-P201</f>
        <v>-9.25</v>
      </c>
      <c r="Q203" s="30">
        <f>SUM(K203:P203)</f>
        <v>-24.32</v>
      </c>
      <c r="R203" s="30">
        <f>J203+Q203</f>
        <v>-38.04</v>
      </c>
      <c r="S203" s="17"/>
    </row>
    <row r="204" spans="1:19" ht="18" customHeight="1" thickBot="1" x14ac:dyDescent="0.25">
      <c r="B204" s="50"/>
      <c r="C204" s="25" t="s">
        <v>30</v>
      </c>
      <c r="D204" s="20"/>
      <c r="E204" s="20"/>
      <c r="F204" s="20"/>
      <c r="G204" s="20"/>
      <c r="H204" s="20"/>
      <c r="I204" s="28"/>
      <c r="J204" s="21">
        <f>I204</f>
        <v>0</v>
      </c>
      <c r="K204" s="22"/>
      <c r="L204" s="20"/>
      <c r="M204" s="20"/>
      <c r="N204" s="20"/>
      <c r="O204" s="20"/>
      <c r="P204" s="28"/>
      <c r="Q204" s="21">
        <f>P204</f>
        <v>0</v>
      </c>
      <c r="R204" s="21">
        <f>Q204</f>
        <v>0</v>
      </c>
      <c r="S204" s="18"/>
    </row>
    <row r="205" spans="1:19" ht="18" customHeight="1" x14ac:dyDescent="0.2">
      <c r="B205" s="48" t="s">
        <v>134</v>
      </c>
      <c r="C205" s="31" t="s">
        <v>27</v>
      </c>
      <c r="D205" s="8"/>
      <c r="E205" s="8"/>
      <c r="F205" s="8"/>
      <c r="G205" s="8"/>
      <c r="H205" s="8"/>
      <c r="I205" s="9"/>
      <c r="J205" s="10">
        <f>SUM(D205:I205)</f>
        <v>0</v>
      </c>
      <c r="K205" s="11"/>
      <c r="L205" s="8"/>
      <c r="M205" s="8"/>
      <c r="N205" s="8"/>
      <c r="O205" s="8"/>
      <c r="P205" s="9"/>
      <c r="Q205" s="10">
        <f>SUM(K205:P205)</f>
        <v>0</v>
      </c>
      <c r="R205" s="10">
        <f>J205+Q205</f>
        <v>0</v>
      </c>
      <c r="S205" s="16"/>
    </row>
    <row r="206" spans="1:19" ht="18" customHeight="1" x14ac:dyDescent="0.2">
      <c r="B206" s="49"/>
      <c r="C206" s="7" t="s">
        <v>28</v>
      </c>
      <c r="D206" s="12"/>
      <c r="E206" s="12"/>
      <c r="F206" s="12"/>
      <c r="G206" s="12">
        <v>9.7200000000000006</v>
      </c>
      <c r="H206" s="12"/>
      <c r="I206" s="13"/>
      <c r="J206" s="14">
        <f>SUM(D206:I206)</f>
        <v>9.7200000000000006</v>
      </c>
      <c r="K206" s="15"/>
      <c r="L206" s="12"/>
      <c r="M206" s="12"/>
      <c r="N206" s="12"/>
      <c r="O206" s="12"/>
      <c r="P206" s="13"/>
      <c r="Q206" s="14">
        <f>SUM(K206:P206)</f>
        <v>0</v>
      </c>
      <c r="R206" s="14">
        <f>J206+Q206</f>
        <v>9.7200000000000006</v>
      </c>
      <c r="S206" s="17"/>
    </row>
    <row r="207" spans="1:19" ht="18" customHeight="1" x14ac:dyDescent="0.2">
      <c r="B207" s="49"/>
      <c r="C207" s="23" t="s">
        <v>29</v>
      </c>
      <c r="D207" s="24">
        <f t="shared" ref="D207:I207" si="107">D206-D205</f>
        <v>0</v>
      </c>
      <c r="E207" s="24">
        <f t="shared" si="107"/>
        <v>0</v>
      </c>
      <c r="F207" s="24">
        <f t="shared" si="107"/>
        <v>0</v>
      </c>
      <c r="G207" s="24">
        <f t="shared" si="107"/>
        <v>9.7200000000000006</v>
      </c>
      <c r="H207" s="24">
        <f t="shared" si="107"/>
        <v>0</v>
      </c>
      <c r="I207" s="27">
        <f t="shared" si="107"/>
        <v>0</v>
      </c>
      <c r="J207" s="30">
        <f>SUM(D207:I207)</f>
        <v>9.7200000000000006</v>
      </c>
      <c r="K207" s="29">
        <f t="shared" ref="K207:P207" si="108">K206-K205</f>
        <v>0</v>
      </c>
      <c r="L207" s="24">
        <f t="shared" si="108"/>
        <v>0</v>
      </c>
      <c r="M207" s="24">
        <f t="shared" si="108"/>
        <v>0</v>
      </c>
      <c r="N207" s="24">
        <f t="shared" si="108"/>
        <v>0</v>
      </c>
      <c r="O207" s="24">
        <f t="shared" si="108"/>
        <v>0</v>
      </c>
      <c r="P207" s="27">
        <f t="shared" si="108"/>
        <v>0</v>
      </c>
      <c r="Q207" s="30">
        <f>SUM(K207:P207)</f>
        <v>0</v>
      </c>
      <c r="R207" s="30">
        <f>J207+Q207</f>
        <v>9.7200000000000006</v>
      </c>
      <c r="S207" s="17"/>
    </row>
    <row r="208" spans="1:19" ht="18" customHeight="1" thickBot="1" x14ac:dyDescent="0.25">
      <c r="B208" s="50"/>
      <c r="C208" s="25" t="s">
        <v>30</v>
      </c>
      <c r="D208" s="20"/>
      <c r="E208" s="20"/>
      <c r="F208" s="20"/>
      <c r="G208" s="20"/>
      <c r="H208" s="20"/>
      <c r="I208" s="28"/>
      <c r="J208" s="21">
        <f>I208</f>
        <v>0</v>
      </c>
      <c r="K208" s="22"/>
      <c r="L208" s="20"/>
      <c r="M208" s="20"/>
      <c r="N208" s="20"/>
      <c r="O208" s="20"/>
      <c r="P208" s="28"/>
      <c r="Q208" s="21">
        <f>P208</f>
        <v>0</v>
      </c>
      <c r="R208" s="21">
        <f>Q208</f>
        <v>0</v>
      </c>
      <c r="S208" s="18"/>
    </row>
    <row r="209" spans="2:19" ht="18" customHeight="1" x14ac:dyDescent="0.2">
      <c r="B209" s="54" t="s">
        <v>51</v>
      </c>
      <c r="C209" s="31" t="s">
        <v>27</v>
      </c>
      <c r="D209" s="8">
        <f t="shared" ref="D209:I210" si="109">D197+D205</f>
        <v>29.509999999999994</v>
      </c>
      <c r="E209" s="8">
        <f t="shared" si="109"/>
        <v>38.180000000000007</v>
      </c>
      <c r="F209" s="8">
        <f t="shared" si="109"/>
        <v>66.55</v>
      </c>
      <c r="G209" s="8">
        <f t="shared" si="109"/>
        <v>104.76</v>
      </c>
      <c r="H209" s="8">
        <f t="shared" si="109"/>
        <v>101.62000000000002</v>
      </c>
      <c r="I209" s="9">
        <f t="shared" si="109"/>
        <v>83.21</v>
      </c>
      <c r="J209" s="10">
        <f>SUM(D209:I209)</f>
        <v>423.83</v>
      </c>
      <c r="K209" s="11">
        <f t="shared" ref="K209:P210" si="110">K197+K205</f>
        <v>95.070000000000007</v>
      </c>
      <c r="L209" s="8">
        <f t="shared" si="110"/>
        <v>148.48000000000002</v>
      </c>
      <c r="M209" s="8">
        <f t="shared" si="110"/>
        <v>124.72</v>
      </c>
      <c r="N209" s="8">
        <f t="shared" si="110"/>
        <v>75.010000000000005</v>
      </c>
      <c r="O209" s="8">
        <f t="shared" si="110"/>
        <v>11.1</v>
      </c>
      <c r="P209" s="9">
        <f t="shared" si="110"/>
        <v>14.889999999999997</v>
      </c>
      <c r="Q209" s="10">
        <f>SUM(K209:P209)</f>
        <v>469.27</v>
      </c>
      <c r="R209" s="10">
        <f>J209+Q209</f>
        <v>893.09999999999991</v>
      </c>
      <c r="S209" s="16"/>
    </row>
    <row r="210" spans="2:19" ht="18" customHeight="1" x14ac:dyDescent="0.2">
      <c r="B210" s="49"/>
      <c r="C210" s="7" t="s">
        <v>28</v>
      </c>
      <c r="D210" s="12">
        <f t="shared" si="109"/>
        <v>18.8</v>
      </c>
      <c r="E210" s="12">
        <f t="shared" si="109"/>
        <v>22.92</v>
      </c>
      <c r="F210" s="12">
        <f t="shared" si="109"/>
        <v>27.840000000000003</v>
      </c>
      <c r="G210" s="12">
        <f t="shared" si="109"/>
        <v>48.620000000000005</v>
      </c>
      <c r="H210" s="12">
        <f t="shared" si="109"/>
        <v>0</v>
      </c>
      <c r="I210" s="13">
        <f t="shared" si="109"/>
        <v>0</v>
      </c>
      <c r="J210" s="14">
        <f>SUM(D210:I210)</f>
        <v>118.18</v>
      </c>
      <c r="K210" s="15">
        <f t="shared" si="110"/>
        <v>0</v>
      </c>
      <c r="L210" s="12">
        <f t="shared" si="110"/>
        <v>0</v>
      </c>
      <c r="M210" s="12">
        <f t="shared" si="110"/>
        <v>0</v>
      </c>
      <c r="N210" s="12">
        <f t="shared" si="110"/>
        <v>0</v>
      </c>
      <c r="O210" s="12">
        <f t="shared" si="110"/>
        <v>0</v>
      </c>
      <c r="P210" s="13">
        <f t="shared" si="110"/>
        <v>0</v>
      </c>
      <c r="Q210" s="14">
        <f>SUM(K210:P210)</f>
        <v>0</v>
      </c>
      <c r="R210" s="14">
        <f>J210+Q210</f>
        <v>118.18</v>
      </c>
      <c r="S210" s="17"/>
    </row>
    <row r="211" spans="2:19" ht="18" customHeight="1" x14ac:dyDescent="0.2">
      <c r="B211" s="49"/>
      <c r="C211" s="23" t="s">
        <v>29</v>
      </c>
      <c r="D211" s="24">
        <f t="shared" ref="D211:I211" si="111">D210-D209</f>
        <v>-10.709999999999994</v>
      </c>
      <c r="E211" s="24">
        <f t="shared" si="111"/>
        <v>-15.260000000000005</v>
      </c>
      <c r="F211" s="24">
        <f t="shared" si="111"/>
        <v>-38.709999999999994</v>
      </c>
      <c r="G211" s="24">
        <f t="shared" si="111"/>
        <v>-56.14</v>
      </c>
      <c r="H211" s="24">
        <f t="shared" si="111"/>
        <v>-101.62000000000002</v>
      </c>
      <c r="I211" s="27">
        <f t="shared" si="111"/>
        <v>-83.21</v>
      </c>
      <c r="J211" s="30">
        <f>SUM(D211:I211)</f>
        <v>-305.64999999999998</v>
      </c>
      <c r="K211" s="29">
        <f t="shared" ref="K211:P211" si="112">K210-K209</f>
        <v>-95.070000000000007</v>
      </c>
      <c r="L211" s="24">
        <f t="shared" si="112"/>
        <v>-148.48000000000002</v>
      </c>
      <c r="M211" s="24">
        <f t="shared" si="112"/>
        <v>-124.72</v>
      </c>
      <c r="N211" s="24">
        <f t="shared" si="112"/>
        <v>-75.010000000000005</v>
      </c>
      <c r="O211" s="24">
        <f t="shared" si="112"/>
        <v>-11.1</v>
      </c>
      <c r="P211" s="27">
        <f t="shared" si="112"/>
        <v>-14.889999999999997</v>
      </c>
      <c r="Q211" s="30">
        <f>SUM(K211:P211)</f>
        <v>-469.27</v>
      </c>
      <c r="R211" s="30">
        <f>J211+Q211</f>
        <v>-774.92</v>
      </c>
      <c r="S211" s="17"/>
    </row>
    <row r="212" spans="2:19" ht="18" customHeight="1" thickBot="1" x14ac:dyDescent="0.25">
      <c r="B212" s="50"/>
      <c r="C212" s="25" t="s">
        <v>30</v>
      </c>
      <c r="D212" s="20">
        <f t="shared" ref="D212:I212" si="113">D200+D208</f>
        <v>0</v>
      </c>
      <c r="E212" s="20">
        <f t="shared" si="113"/>
        <v>0</v>
      </c>
      <c r="F212" s="20">
        <f t="shared" si="113"/>
        <v>0</v>
      </c>
      <c r="G212" s="20">
        <f t="shared" si="113"/>
        <v>0</v>
      </c>
      <c r="H212" s="20">
        <f t="shared" si="113"/>
        <v>0</v>
      </c>
      <c r="I212" s="28">
        <f t="shared" si="113"/>
        <v>0</v>
      </c>
      <c r="J212" s="21">
        <f>I212</f>
        <v>0</v>
      </c>
      <c r="K212" s="22">
        <f t="shared" ref="K212:P212" si="114">K200+K208</f>
        <v>0</v>
      </c>
      <c r="L212" s="20">
        <f t="shared" si="114"/>
        <v>0</v>
      </c>
      <c r="M212" s="20">
        <f t="shared" si="114"/>
        <v>0</v>
      </c>
      <c r="N212" s="20">
        <f t="shared" si="114"/>
        <v>0</v>
      </c>
      <c r="O212" s="20">
        <f t="shared" si="114"/>
        <v>0</v>
      </c>
      <c r="P212" s="28">
        <f t="shared" si="114"/>
        <v>0</v>
      </c>
      <c r="Q212" s="21">
        <f>P212</f>
        <v>0</v>
      </c>
      <c r="R212" s="21">
        <f>Q212</f>
        <v>0</v>
      </c>
      <c r="S212" s="18"/>
    </row>
  </sheetData>
  <mergeCells count="101">
    <mergeCell ref="A5:A8"/>
    <mergeCell ref="A125:A128"/>
    <mergeCell ref="B65:B68"/>
    <mergeCell ref="B205:B208"/>
    <mergeCell ref="A109:A112"/>
    <mergeCell ref="B197:B200"/>
    <mergeCell ref="A9:A12"/>
    <mergeCell ref="B89:B92"/>
    <mergeCell ref="B129:B132"/>
    <mergeCell ref="B25:B28"/>
    <mergeCell ref="B85:B88"/>
    <mergeCell ref="B201:B204"/>
    <mergeCell ref="B5:B8"/>
    <mergeCell ref="A13:A16"/>
    <mergeCell ref="B189:B192"/>
    <mergeCell ref="B113:B116"/>
    <mergeCell ref="B173:B176"/>
    <mergeCell ref="A73:A76"/>
    <mergeCell ref="B141:B144"/>
    <mergeCell ref="A161:A164"/>
    <mergeCell ref="A157:A160"/>
    <mergeCell ref="B165:B168"/>
    <mergeCell ref="B21:B24"/>
    <mergeCell ref="B9:B12"/>
    <mergeCell ref="B69:B72"/>
    <mergeCell ref="A129:A132"/>
    <mergeCell ref="B209:B212"/>
    <mergeCell ref="A57:A60"/>
    <mergeCell ref="B133:B136"/>
    <mergeCell ref="A121:A124"/>
    <mergeCell ref="A77:A80"/>
    <mergeCell ref="B45:B48"/>
    <mergeCell ref="B125:B128"/>
    <mergeCell ref="B97:B100"/>
    <mergeCell ref="A197:A200"/>
    <mergeCell ref="B109:B112"/>
    <mergeCell ref="A173:A176"/>
    <mergeCell ref="A69:A72"/>
    <mergeCell ref="A25:A28"/>
    <mergeCell ref="B17:B20"/>
    <mergeCell ref="A89:A92"/>
    <mergeCell ref="B157:B160"/>
    <mergeCell ref="B33:B36"/>
    <mergeCell ref="A21:A24"/>
    <mergeCell ref="B101:B104"/>
    <mergeCell ref="A145:A148"/>
    <mergeCell ref="B145:B148"/>
    <mergeCell ref="B73:B76"/>
    <mergeCell ref="B57:B60"/>
    <mergeCell ref="B137:B140"/>
    <mergeCell ref="A101:A104"/>
    <mergeCell ref="A97:A100"/>
    <mergeCell ref="A29:A32"/>
    <mergeCell ref="A81:A84"/>
    <mergeCell ref="B49:B52"/>
    <mergeCell ref="A117:A120"/>
    <mergeCell ref="B93:B96"/>
    <mergeCell ref="B117:B120"/>
    <mergeCell ref="A41:A44"/>
    <mergeCell ref="A133:A136"/>
    <mergeCell ref="A33:A36"/>
    <mergeCell ref="A193:A196"/>
    <mergeCell ref="B105:B108"/>
    <mergeCell ref="B161:B164"/>
    <mergeCell ref="B181:B184"/>
    <mergeCell ref="A185:A188"/>
    <mergeCell ref="B193:B196"/>
    <mergeCell ref="B177:B180"/>
    <mergeCell ref="B29:B32"/>
    <mergeCell ref="A37:A40"/>
    <mergeCell ref="A189:A192"/>
    <mergeCell ref="B185:B188"/>
    <mergeCell ref="A153:A156"/>
    <mergeCell ref="A177:A180"/>
    <mergeCell ref="B169:B172"/>
    <mergeCell ref="A169:A172"/>
    <mergeCell ref="A149:A152"/>
    <mergeCell ref="B13:B16"/>
    <mergeCell ref="B53:B56"/>
    <mergeCell ref="A113:A116"/>
    <mergeCell ref="A17:A20"/>
    <mergeCell ref="A53:A56"/>
    <mergeCell ref="B37:B40"/>
    <mergeCell ref="A141:A144"/>
    <mergeCell ref="A181:A184"/>
    <mergeCell ref="A93:A96"/>
    <mergeCell ref="A165:A168"/>
    <mergeCell ref="B41:B44"/>
    <mergeCell ref="A49:A52"/>
    <mergeCell ref="A45:A48"/>
    <mergeCell ref="B77:B80"/>
    <mergeCell ref="A137:A140"/>
    <mergeCell ref="B61:B64"/>
    <mergeCell ref="A65:A68"/>
    <mergeCell ref="A105:A108"/>
    <mergeCell ref="B81:B84"/>
    <mergeCell ref="A85:A88"/>
    <mergeCell ref="B153:B156"/>
    <mergeCell ref="A61:A64"/>
    <mergeCell ref="B149:B152"/>
    <mergeCell ref="B121:B124"/>
  </mergeCells>
  <phoneticPr fontId="1"/>
  <printOptions horizontalCentered="1"/>
  <pageMargins left="0.23622047244094491" right="0.23622047244094491" top="0.74803149606299213" bottom="0.74803149606299213" header="0.31496062992125978" footer="0.31496062992125978"/>
  <pageSetup paperSize="8" scale="61" fitToHeight="2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S176"/>
  <sheetViews>
    <sheetView zoomScaleNormal="100" workbookViewId="0">
      <pane xSplit="3" ySplit="4" topLeftCell="D170" activePane="bottomRight" state="frozen"/>
      <selection activeCell="I122" sqref="I122"/>
      <selection pane="topRight" activeCell="I122" sqref="I122"/>
      <selection pane="bottomLeft" activeCell="I122" sqref="I122"/>
      <selection pane="bottomRight" activeCell="G176" sqref="G176"/>
    </sheetView>
  </sheetViews>
  <sheetFormatPr defaultRowHeight="13" x14ac:dyDescent="0.2"/>
  <cols>
    <col min="1" max="1" width="5.26953125" style="47" customWidth="1"/>
    <col min="2" max="2" width="21" style="47" customWidth="1"/>
    <col min="3" max="3" width="9" style="47" bestFit="1" customWidth="1"/>
    <col min="18" max="18" width="10.08984375" style="47" bestFit="1" customWidth="1"/>
    <col min="19" max="19" width="35.7265625" style="47" bestFit="1" customWidth="1"/>
  </cols>
  <sheetData>
    <row r="1" spans="1:19" ht="16.5" customHeight="1" x14ac:dyDescent="0.2">
      <c r="A1" s="1" t="s">
        <v>97</v>
      </c>
      <c r="G1" s="1" t="s">
        <v>1</v>
      </c>
      <c r="S1" s="39" t="s">
        <v>2</v>
      </c>
    </row>
    <row r="2" spans="1:19" ht="13.5" customHeight="1" x14ac:dyDescent="0.2">
      <c r="B2" s="1"/>
      <c r="G2" s="1"/>
      <c r="S2" s="39"/>
    </row>
    <row r="3" spans="1:19" ht="13.5" customHeight="1" thickBot="1" x14ac:dyDescent="0.25">
      <c r="K3" s="19"/>
      <c r="S3" s="39" t="s">
        <v>7</v>
      </c>
    </row>
    <row r="4" spans="1:19" ht="27" customHeight="1" thickBot="1" x14ac:dyDescent="0.25">
      <c r="A4" s="26"/>
      <c r="B4" s="2" t="s">
        <v>53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3" t="s">
        <v>15</v>
      </c>
      <c r="J4" s="4" t="s">
        <v>16</v>
      </c>
      <c r="K4" s="5" t="s">
        <v>17</v>
      </c>
      <c r="L4" s="2" t="s">
        <v>18</v>
      </c>
      <c r="M4" s="2" t="s">
        <v>19</v>
      </c>
      <c r="N4" s="2" t="s">
        <v>20</v>
      </c>
      <c r="O4" s="2" t="s">
        <v>21</v>
      </c>
      <c r="P4" s="3" t="s">
        <v>22</v>
      </c>
      <c r="Q4" s="4" t="s">
        <v>23</v>
      </c>
      <c r="R4" s="4" t="s">
        <v>24</v>
      </c>
      <c r="S4" s="6" t="s">
        <v>25</v>
      </c>
    </row>
    <row r="5" spans="1:19" ht="18" customHeight="1" x14ac:dyDescent="0.2">
      <c r="A5" s="51">
        <v>1</v>
      </c>
      <c r="B5" s="48" t="s">
        <v>98</v>
      </c>
      <c r="C5" s="31" t="s">
        <v>27</v>
      </c>
      <c r="D5" s="8"/>
      <c r="E5" s="8"/>
      <c r="F5" s="8">
        <v>0.56000000000000005</v>
      </c>
      <c r="G5" s="8">
        <v>3.44</v>
      </c>
      <c r="H5" s="8">
        <v>2.38</v>
      </c>
      <c r="I5" s="9">
        <v>3.2</v>
      </c>
      <c r="J5" s="10">
        <f>SUM(D5:I5)</f>
        <v>9.58</v>
      </c>
      <c r="K5" s="11">
        <v>1.2</v>
      </c>
      <c r="L5" s="8">
        <v>0.56000000000000005</v>
      </c>
      <c r="M5" s="8">
        <v>0.14000000000000001</v>
      </c>
      <c r="N5" s="8">
        <v>2.72</v>
      </c>
      <c r="O5" s="8">
        <v>1.2</v>
      </c>
      <c r="P5" s="9">
        <v>0.64</v>
      </c>
      <c r="Q5" s="10">
        <f>SUM(K5:P5)</f>
        <v>6.46</v>
      </c>
      <c r="R5" s="10">
        <f>J5+Q5</f>
        <v>16.04</v>
      </c>
      <c r="S5" s="16"/>
    </row>
    <row r="6" spans="1:19" ht="18" customHeight="1" x14ac:dyDescent="0.2">
      <c r="A6" s="52"/>
      <c r="B6" s="49"/>
      <c r="C6" s="7" t="s">
        <v>28</v>
      </c>
      <c r="D6" s="12"/>
      <c r="E6" s="12">
        <v>0.38</v>
      </c>
      <c r="F6" s="12">
        <v>0.06</v>
      </c>
      <c r="G6" s="12">
        <v>1.24</v>
      </c>
      <c r="H6" s="12"/>
      <c r="I6" s="13"/>
      <c r="J6" s="14">
        <f>SUM(D6:I6)</f>
        <v>1.68</v>
      </c>
      <c r="K6" s="15"/>
      <c r="L6" s="12"/>
      <c r="M6" s="12"/>
      <c r="N6" s="12"/>
      <c r="O6" s="12"/>
      <c r="P6" s="13"/>
      <c r="Q6" s="14">
        <f>SUM(K6:P6)</f>
        <v>0</v>
      </c>
      <c r="R6" s="14">
        <f>J6+Q6</f>
        <v>1.68</v>
      </c>
      <c r="S6" s="17"/>
    </row>
    <row r="7" spans="1:19" ht="18" customHeight="1" x14ac:dyDescent="0.2">
      <c r="A7" s="52"/>
      <c r="B7" s="49"/>
      <c r="C7" s="23" t="s">
        <v>29</v>
      </c>
      <c r="D7" s="24">
        <f t="shared" ref="D7:I7" si="0">D6-D5</f>
        <v>0</v>
      </c>
      <c r="E7" s="24">
        <f t="shared" si="0"/>
        <v>0.38</v>
      </c>
      <c r="F7" s="24">
        <f t="shared" si="0"/>
        <v>-0.5</v>
      </c>
      <c r="G7" s="24">
        <f t="shared" si="0"/>
        <v>-2.2000000000000002</v>
      </c>
      <c r="H7" s="24">
        <f t="shared" si="0"/>
        <v>-2.38</v>
      </c>
      <c r="I7" s="27">
        <f t="shared" si="0"/>
        <v>-3.2</v>
      </c>
      <c r="J7" s="30">
        <f>SUM(D7:I7)</f>
        <v>-7.9</v>
      </c>
      <c r="K7" s="29">
        <f t="shared" ref="K7:P7" si="1">K6-K5</f>
        <v>-1.2</v>
      </c>
      <c r="L7" s="24">
        <f t="shared" si="1"/>
        <v>-0.56000000000000005</v>
      </c>
      <c r="M7" s="24">
        <f t="shared" si="1"/>
        <v>-0.14000000000000001</v>
      </c>
      <c r="N7" s="24">
        <f t="shared" si="1"/>
        <v>-2.72</v>
      </c>
      <c r="O7" s="24">
        <f t="shared" si="1"/>
        <v>-1.2</v>
      </c>
      <c r="P7" s="27">
        <f t="shared" si="1"/>
        <v>-0.64</v>
      </c>
      <c r="Q7" s="30">
        <f>SUM(K7:P7)</f>
        <v>-6.46</v>
      </c>
      <c r="R7" s="30">
        <f>J7+Q7</f>
        <v>-14.36</v>
      </c>
      <c r="S7" s="17"/>
    </row>
    <row r="8" spans="1:19" ht="18" customHeight="1" thickBot="1" x14ac:dyDescent="0.25">
      <c r="A8" s="53"/>
      <c r="B8" s="50"/>
      <c r="C8" s="25" t="s">
        <v>30</v>
      </c>
      <c r="D8" s="20"/>
      <c r="E8" s="20"/>
      <c r="F8" s="20"/>
      <c r="G8" s="20"/>
      <c r="H8" s="20"/>
      <c r="I8" s="28"/>
      <c r="J8" s="21">
        <f>I8</f>
        <v>0</v>
      </c>
      <c r="K8" s="22"/>
      <c r="L8" s="20"/>
      <c r="M8" s="20"/>
      <c r="N8" s="20"/>
      <c r="O8" s="20"/>
      <c r="P8" s="28"/>
      <c r="Q8" s="21">
        <f>P8</f>
        <v>0</v>
      </c>
      <c r="R8" s="21">
        <f>Q8</f>
        <v>0</v>
      </c>
      <c r="S8" s="18"/>
    </row>
    <row r="9" spans="1:19" ht="18" customHeight="1" thickBot="1" x14ac:dyDescent="0.25">
      <c r="A9" s="56">
        <v>1</v>
      </c>
      <c r="B9" s="58" t="s">
        <v>99</v>
      </c>
      <c r="C9" s="31" t="s">
        <v>27</v>
      </c>
      <c r="D9" s="8"/>
      <c r="E9" s="8"/>
      <c r="F9" s="8"/>
      <c r="G9" s="8">
        <v>1.2</v>
      </c>
      <c r="H9" s="8">
        <v>0.66</v>
      </c>
      <c r="I9" s="9">
        <v>0.6</v>
      </c>
      <c r="J9" s="10">
        <f>SUM(D9:I9)</f>
        <v>2.46</v>
      </c>
      <c r="K9" s="11">
        <v>0.6</v>
      </c>
      <c r="L9" s="8">
        <v>0.36</v>
      </c>
      <c r="M9" s="8"/>
      <c r="N9" s="8">
        <v>1.44</v>
      </c>
      <c r="O9" s="8">
        <v>0.92</v>
      </c>
      <c r="P9" s="9">
        <v>0.34</v>
      </c>
      <c r="Q9" s="10">
        <f>SUM(K9:P9)</f>
        <v>3.6599999999999997</v>
      </c>
      <c r="R9" s="10">
        <f>J9+Q9</f>
        <v>6.1199999999999992</v>
      </c>
      <c r="S9" s="16"/>
    </row>
    <row r="10" spans="1:19" ht="18" customHeight="1" x14ac:dyDescent="0.2">
      <c r="A10" s="52"/>
      <c r="B10" s="49"/>
      <c r="C10" s="7" t="s">
        <v>28</v>
      </c>
      <c r="D10" s="12"/>
      <c r="E10" s="12">
        <v>0.12</v>
      </c>
      <c r="F10" s="12">
        <v>0.24</v>
      </c>
      <c r="G10" s="12">
        <v>0.86</v>
      </c>
      <c r="H10" s="12"/>
      <c r="I10" s="13"/>
      <c r="J10" s="14">
        <f>SUM(D10:I10)</f>
        <v>1.22</v>
      </c>
      <c r="K10" s="15"/>
      <c r="L10" s="12"/>
      <c r="M10" s="12"/>
      <c r="N10" s="12"/>
      <c r="O10" s="12"/>
      <c r="P10" s="13"/>
      <c r="Q10" s="14">
        <f>SUM(K10:P10)</f>
        <v>0</v>
      </c>
      <c r="R10" s="14">
        <f>J10+Q10</f>
        <v>1.22</v>
      </c>
      <c r="S10" s="17"/>
    </row>
    <row r="11" spans="1:19" ht="18" customHeight="1" x14ac:dyDescent="0.2">
      <c r="A11" s="52"/>
      <c r="B11" s="49"/>
      <c r="C11" s="23" t="s">
        <v>29</v>
      </c>
      <c r="D11" s="24">
        <f t="shared" ref="D11:I11" si="2">D10-D9</f>
        <v>0</v>
      </c>
      <c r="E11" s="24">
        <f t="shared" si="2"/>
        <v>0.12</v>
      </c>
      <c r="F11" s="24">
        <f t="shared" si="2"/>
        <v>0.24</v>
      </c>
      <c r="G11" s="24">
        <f t="shared" si="2"/>
        <v>-0.33999999999999997</v>
      </c>
      <c r="H11" s="24">
        <f t="shared" si="2"/>
        <v>-0.66</v>
      </c>
      <c r="I11" s="27">
        <f t="shared" si="2"/>
        <v>-0.6</v>
      </c>
      <c r="J11" s="30">
        <f>SUM(D11:I11)</f>
        <v>-1.24</v>
      </c>
      <c r="K11" s="29">
        <f t="shared" ref="K11:P11" si="3">K10-K9</f>
        <v>-0.6</v>
      </c>
      <c r="L11" s="24">
        <f t="shared" si="3"/>
        <v>-0.36</v>
      </c>
      <c r="M11" s="24">
        <f t="shared" si="3"/>
        <v>0</v>
      </c>
      <c r="N11" s="24">
        <f t="shared" si="3"/>
        <v>-1.44</v>
      </c>
      <c r="O11" s="24">
        <f t="shared" si="3"/>
        <v>-0.92</v>
      </c>
      <c r="P11" s="27">
        <f t="shared" si="3"/>
        <v>-0.34</v>
      </c>
      <c r="Q11" s="30">
        <f>SUM(K11:P11)</f>
        <v>-3.6599999999999997</v>
      </c>
      <c r="R11" s="30">
        <f>J11+Q11</f>
        <v>-4.8999999999999995</v>
      </c>
      <c r="S11" s="17"/>
    </row>
    <row r="12" spans="1:19" ht="18" customHeight="1" thickBot="1" x14ac:dyDescent="0.25">
      <c r="A12" s="57"/>
      <c r="B12" s="59"/>
      <c r="C12" s="25" t="s">
        <v>30</v>
      </c>
      <c r="D12" s="20"/>
      <c r="E12" s="20"/>
      <c r="F12" s="20"/>
      <c r="G12" s="20"/>
      <c r="H12" s="20"/>
      <c r="I12" s="28"/>
      <c r="J12" s="21">
        <f>I12</f>
        <v>0</v>
      </c>
      <c r="K12" s="22"/>
      <c r="L12" s="20"/>
      <c r="M12" s="20"/>
      <c r="N12" s="20"/>
      <c r="O12" s="20"/>
      <c r="P12" s="28"/>
      <c r="Q12" s="21">
        <f>P12</f>
        <v>0</v>
      </c>
      <c r="R12" s="21">
        <f>Q12</f>
        <v>0</v>
      </c>
      <c r="S12" s="18"/>
    </row>
    <row r="13" spans="1:19" ht="18" customHeight="1" x14ac:dyDescent="0.2">
      <c r="A13" s="51">
        <v>2</v>
      </c>
      <c r="B13" s="48" t="s">
        <v>100</v>
      </c>
      <c r="C13" s="31" t="s">
        <v>27</v>
      </c>
      <c r="D13" s="8"/>
      <c r="E13" s="8"/>
      <c r="F13" s="8">
        <v>3.34</v>
      </c>
      <c r="G13" s="8">
        <v>13</v>
      </c>
      <c r="H13" s="8">
        <v>10.32</v>
      </c>
      <c r="I13" s="9">
        <v>5.0199999999999996</v>
      </c>
      <c r="J13" s="10">
        <f>SUM(D13:I13)</f>
        <v>31.68</v>
      </c>
      <c r="K13" s="11">
        <v>6.34</v>
      </c>
      <c r="L13" s="8">
        <v>3.26</v>
      </c>
      <c r="M13" s="8">
        <v>8.18</v>
      </c>
      <c r="N13" s="8">
        <v>5.62</v>
      </c>
      <c r="O13" s="8">
        <v>1.36</v>
      </c>
      <c r="P13" s="9">
        <v>1.48</v>
      </c>
      <c r="Q13" s="10">
        <f>SUM(K13:P13)</f>
        <v>26.240000000000002</v>
      </c>
      <c r="R13" s="10">
        <f>J13+Q13</f>
        <v>57.92</v>
      </c>
      <c r="S13" s="16"/>
    </row>
    <row r="14" spans="1:19" ht="18" customHeight="1" x14ac:dyDescent="0.2">
      <c r="A14" s="52"/>
      <c r="B14" s="49"/>
      <c r="C14" s="7" t="s">
        <v>28</v>
      </c>
      <c r="D14" s="12">
        <v>2.92</v>
      </c>
      <c r="E14" s="12">
        <v>1.34</v>
      </c>
      <c r="F14" s="12">
        <v>3.680000000000001</v>
      </c>
      <c r="G14" s="12">
        <v>12.22</v>
      </c>
      <c r="H14" s="12"/>
      <c r="I14" s="13"/>
      <c r="J14" s="14">
        <f>SUM(D14:I14)</f>
        <v>20.160000000000004</v>
      </c>
      <c r="K14" s="15"/>
      <c r="L14" s="12"/>
      <c r="M14" s="12"/>
      <c r="N14" s="12"/>
      <c r="O14" s="12"/>
      <c r="P14" s="13"/>
      <c r="Q14" s="14">
        <f>SUM(K14:P14)</f>
        <v>0</v>
      </c>
      <c r="R14" s="14">
        <f>J14+Q14</f>
        <v>20.160000000000004</v>
      </c>
      <c r="S14" s="17"/>
    </row>
    <row r="15" spans="1:19" ht="18" customHeight="1" x14ac:dyDescent="0.2">
      <c r="A15" s="52"/>
      <c r="B15" s="49"/>
      <c r="C15" s="23" t="s">
        <v>29</v>
      </c>
      <c r="D15" s="24">
        <f t="shared" ref="D15:I15" si="4">D14-D13</f>
        <v>2.92</v>
      </c>
      <c r="E15" s="24">
        <f t="shared" si="4"/>
        <v>1.34</v>
      </c>
      <c r="F15" s="24">
        <f t="shared" si="4"/>
        <v>0.34000000000000119</v>
      </c>
      <c r="G15" s="24">
        <f t="shared" si="4"/>
        <v>-0.77999999999999936</v>
      </c>
      <c r="H15" s="24">
        <f t="shared" si="4"/>
        <v>-10.32</v>
      </c>
      <c r="I15" s="27">
        <f t="shared" si="4"/>
        <v>-5.0199999999999996</v>
      </c>
      <c r="J15" s="30">
        <f>SUM(D15:I15)</f>
        <v>-11.519999999999998</v>
      </c>
      <c r="K15" s="29">
        <f t="shared" ref="K15:P15" si="5">K14-K13</f>
        <v>-6.34</v>
      </c>
      <c r="L15" s="24">
        <f t="shared" si="5"/>
        <v>-3.26</v>
      </c>
      <c r="M15" s="24">
        <f t="shared" si="5"/>
        <v>-8.18</v>
      </c>
      <c r="N15" s="24">
        <f t="shared" si="5"/>
        <v>-5.62</v>
      </c>
      <c r="O15" s="24">
        <f t="shared" si="5"/>
        <v>-1.36</v>
      </c>
      <c r="P15" s="27">
        <f t="shared" si="5"/>
        <v>-1.48</v>
      </c>
      <c r="Q15" s="30">
        <f>SUM(K15:P15)</f>
        <v>-26.240000000000002</v>
      </c>
      <c r="R15" s="30">
        <f>J15+Q15</f>
        <v>-37.76</v>
      </c>
      <c r="S15" s="17"/>
    </row>
    <row r="16" spans="1:19" ht="18" customHeight="1" thickBot="1" x14ac:dyDescent="0.25">
      <c r="A16" s="53"/>
      <c r="B16" s="50"/>
      <c r="C16" s="25" t="s">
        <v>30</v>
      </c>
      <c r="D16" s="20"/>
      <c r="E16" s="20"/>
      <c r="F16" s="20"/>
      <c r="G16" s="20"/>
      <c r="H16" s="20"/>
      <c r="I16" s="28"/>
      <c r="J16" s="21">
        <f>I16</f>
        <v>0</v>
      </c>
      <c r="K16" s="22"/>
      <c r="L16" s="20"/>
      <c r="M16" s="20"/>
      <c r="N16" s="20"/>
      <c r="O16" s="20"/>
      <c r="P16" s="28"/>
      <c r="Q16" s="21">
        <f>P16</f>
        <v>0</v>
      </c>
      <c r="R16" s="21">
        <f>Q16</f>
        <v>0</v>
      </c>
      <c r="S16" s="18"/>
    </row>
    <row r="17" spans="1:19" ht="18" customHeight="1" x14ac:dyDescent="0.2">
      <c r="A17" s="51">
        <v>3</v>
      </c>
      <c r="B17" s="48" t="s">
        <v>101</v>
      </c>
      <c r="C17" s="31" t="s">
        <v>27</v>
      </c>
      <c r="D17" s="8"/>
      <c r="E17" s="8"/>
      <c r="F17" s="8">
        <v>0.7</v>
      </c>
      <c r="G17" s="8">
        <v>5.44</v>
      </c>
      <c r="H17" s="8">
        <v>10.654999999999999</v>
      </c>
      <c r="I17" s="9">
        <v>6.7</v>
      </c>
      <c r="J17" s="10">
        <f>SUM(D17:I17)</f>
        <v>23.495000000000001</v>
      </c>
      <c r="K17" s="11">
        <v>3.38</v>
      </c>
      <c r="L17" s="8">
        <v>33.04</v>
      </c>
      <c r="M17" s="8"/>
      <c r="N17" s="8"/>
      <c r="O17" s="8"/>
      <c r="P17" s="9"/>
      <c r="Q17" s="10">
        <f>SUM(K17:P17)</f>
        <v>36.42</v>
      </c>
      <c r="R17" s="10">
        <f>J17+Q17</f>
        <v>59.915000000000006</v>
      </c>
      <c r="S17" s="16"/>
    </row>
    <row r="18" spans="1:19" ht="18" customHeight="1" x14ac:dyDescent="0.2">
      <c r="A18" s="52"/>
      <c r="B18" s="49"/>
      <c r="C18" s="7" t="s">
        <v>28</v>
      </c>
      <c r="D18" s="12"/>
      <c r="E18" s="12"/>
      <c r="F18" s="12"/>
      <c r="G18" s="12"/>
      <c r="H18" s="12"/>
      <c r="I18" s="13"/>
      <c r="J18" s="14">
        <f>SUM(D18:I18)</f>
        <v>0</v>
      </c>
      <c r="K18" s="15"/>
      <c r="L18" s="12"/>
      <c r="M18" s="12"/>
      <c r="N18" s="12"/>
      <c r="O18" s="12"/>
      <c r="P18" s="13"/>
      <c r="Q18" s="14">
        <f>SUM(K18:P18)</f>
        <v>0</v>
      </c>
      <c r="R18" s="14">
        <f>J18+Q18</f>
        <v>0</v>
      </c>
      <c r="S18" s="17"/>
    </row>
    <row r="19" spans="1:19" ht="18" customHeight="1" x14ac:dyDescent="0.2">
      <c r="A19" s="52"/>
      <c r="B19" s="49"/>
      <c r="C19" s="23" t="s">
        <v>29</v>
      </c>
      <c r="D19" s="24">
        <f t="shared" ref="D19:I19" si="6">D18-D17</f>
        <v>0</v>
      </c>
      <c r="E19" s="24">
        <f t="shared" si="6"/>
        <v>0</v>
      </c>
      <c r="F19" s="24">
        <f t="shared" si="6"/>
        <v>-0.7</v>
      </c>
      <c r="G19" s="24">
        <f t="shared" si="6"/>
        <v>-5.44</v>
      </c>
      <c r="H19" s="24">
        <f t="shared" si="6"/>
        <v>-10.654999999999999</v>
      </c>
      <c r="I19" s="27">
        <f t="shared" si="6"/>
        <v>-6.7</v>
      </c>
      <c r="J19" s="30">
        <f>SUM(D19:I19)</f>
        <v>-23.495000000000001</v>
      </c>
      <c r="K19" s="29">
        <f t="shared" ref="K19:P19" si="7">K18-K17</f>
        <v>-3.38</v>
      </c>
      <c r="L19" s="24">
        <f t="shared" si="7"/>
        <v>-33.04</v>
      </c>
      <c r="M19" s="24">
        <f t="shared" si="7"/>
        <v>0</v>
      </c>
      <c r="N19" s="24">
        <f t="shared" si="7"/>
        <v>0</v>
      </c>
      <c r="O19" s="24">
        <f t="shared" si="7"/>
        <v>0</v>
      </c>
      <c r="P19" s="27">
        <f t="shared" si="7"/>
        <v>0</v>
      </c>
      <c r="Q19" s="30">
        <f>SUM(K19:P19)</f>
        <v>-36.42</v>
      </c>
      <c r="R19" s="30">
        <f>J19+Q19</f>
        <v>-59.915000000000006</v>
      </c>
      <c r="S19" s="17"/>
    </row>
    <row r="20" spans="1:19" ht="18" customHeight="1" thickBot="1" x14ac:dyDescent="0.25">
      <c r="A20" s="53"/>
      <c r="B20" s="50"/>
      <c r="C20" s="25" t="s">
        <v>30</v>
      </c>
      <c r="D20" s="20"/>
      <c r="E20" s="20"/>
      <c r="F20" s="20"/>
      <c r="G20" s="20"/>
      <c r="H20" s="20"/>
      <c r="I20" s="28"/>
      <c r="J20" s="21">
        <f>I20</f>
        <v>0</v>
      </c>
      <c r="K20" s="22"/>
      <c r="L20" s="20"/>
      <c r="M20" s="20"/>
      <c r="N20" s="20"/>
      <c r="O20" s="20"/>
      <c r="P20" s="28"/>
      <c r="Q20" s="21">
        <f>P20</f>
        <v>0</v>
      </c>
      <c r="R20" s="21">
        <f>Q20</f>
        <v>0</v>
      </c>
      <c r="S20" s="18"/>
    </row>
    <row r="21" spans="1:19" ht="18" customHeight="1" x14ac:dyDescent="0.2">
      <c r="A21" s="51">
        <v>4</v>
      </c>
      <c r="B21" s="48" t="s">
        <v>135</v>
      </c>
      <c r="C21" s="31" t="s">
        <v>27</v>
      </c>
      <c r="D21" s="8"/>
      <c r="E21" s="8"/>
      <c r="F21" s="8">
        <v>0.64</v>
      </c>
      <c r="G21" s="8">
        <v>0.78</v>
      </c>
      <c r="H21" s="8">
        <v>2.3199999999999998</v>
      </c>
      <c r="I21" s="9">
        <v>1.1599999999999999</v>
      </c>
      <c r="J21" s="10">
        <f>SUM(D21:I21)</f>
        <v>4.8999999999999995</v>
      </c>
      <c r="K21" s="11"/>
      <c r="L21" s="8"/>
      <c r="M21" s="8">
        <v>0.78</v>
      </c>
      <c r="N21" s="8">
        <v>4.4000000000000004</v>
      </c>
      <c r="O21" s="8">
        <v>1.1399999999999999</v>
      </c>
      <c r="P21" s="9">
        <v>0.34</v>
      </c>
      <c r="Q21" s="10">
        <f>SUM(K21:P21)</f>
        <v>6.66</v>
      </c>
      <c r="R21" s="10">
        <f>J21+Q21</f>
        <v>11.559999999999999</v>
      </c>
      <c r="S21" s="16"/>
    </row>
    <row r="22" spans="1:19" ht="18" customHeight="1" x14ac:dyDescent="0.2">
      <c r="A22" s="52"/>
      <c r="B22" s="49"/>
      <c r="C22" s="7" t="s">
        <v>28</v>
      </c>
      <c r="D22" s="12"/>
      <c r="E22" s="12"/>
      <c r="F22" s="12"/>
      <c r="G22" s="12">
        <v>1.02</v>
      </c>
      <c r="H22" s="12"/>
      <c r="I22" s="13"/>
      <c r="J22" s="14">
        <f>SUM(D22:I22)</f>
        <v>1.02</v>
      </c>
      <c r="K22" s="15"/>
      <c r="L22" s="12"/>
      <c r="M22" s="12"/>
      <c r="N22" s="12"/>
      <c r="O22" s="12"/>
      <c r="P22" s="13"/>
      <c r="Q22" s="14">
        <f>SUM(K22:P22)</f>
        <v>0</v>
      </c>
      <c r="R22" s="14">
        <f>J22+Q22</f>
        <v>1.02</v>
      </c>
      <c r="S22" s="17"/>
    </row>
    <row r="23" spans="1:19" ht="18" customHeight="1" x14ac:dyDescent="0.2">
      <c r="A23" s="52"/>
      <c r="B23" s="49"/>
      <c r="C23" s="23" t="s">
        <v>29</v>
      </c>
      <c r="D23" s="24">
        <f t="shared" ref="D23:I23" si="8">D22-D21</f>
        <v>0</v>
      </c>
      <c r="E23" s="24">
        <f t="shared" si="8"/>
        <v>0</v>
      </c>
      <c r="F23" s="24">
        <f t="shared" si="8"/>
        <v>-0.64</v>
      </c>
      <c r="G23" s="24">
        <f t="shared" si="8"/>
        <v>0.24</v>
      </c>
      <c r="H23" s="24">
        <f t="shared" si="8"/>
        <v>-2.3199999999999998</v>
      </c>
      <c r="I23" s="27">
        <f t="shared" si="8"/>
        <v>-1.1599999999999999</v>
      </c>
      <c r="J23" s="30">
        <f>SUM(D23:I23)</f>
        <v>-3.88</v>
      </c>
      <c r="K23" s="29">
        <f t="shared" ref="K23:P23" si="9">K22-K21</f>
        <v>0</v>
      </c>
      <c r="L23" s="24">
        <f t="shared" si="9"/>
        <v>0</v>
      </c>
      <c r="M23" s="24">
        <f t="shared" si="9"/>
        <v>-0.78</v>
      </c>
      <c r="N23" s="24">
        <f t="shared" si="9"/>
        <v>-4.4000000000000004</v>
      </c>
      <c r="O23" s="24">
        <f t="shared" si="9"/>
        <v>-1.1399999999999999</v>
      </c>
      <c r="P23" s="27">
        <f t="shared" si="9"/>
        <v>-0.34</v>
      </c>
      <c r="Q23" s="30">
        <f>SUM(K23:P23)</f>
        <v>-6.66</v>
      </c>
      <c r="R23" s="30">
        <f>J23+Q23</f>
        <v>-10.54</v>
      </c>
      <c r="S23" s="17"/>
    </row>
    <row r="24" spans="1:19" ht="18" customHeight="1" thickBot="1" x14ac:dyDescent="0.25">
      <c r="A24" s="53"/>
      <c r="B24" s="50"/>
      <c r="C24" s="25" t="s">
        <v>30</v>
      </c>
      <c r="D24" s="20"/>
      <c r="E24" s="20"/>
      <c r="F24" s="20"/>
      <c r="G24" s="20"/>
      <c r="H24" s="20"/>
      <c r="I24" s="28"/>
      <c r="J24" s="21">
        <f>I24</f>
        <v>0</v>
      </c>
      <c r="K24" s="22"/>
      <c r="L24" s="20"/>
      <c r="M24" s="20"/>
      <c r="N24" s="20"/>
      <c r="O24" s="20"/>
      <c r="P24" s="28"/>
      <c r="Q24" s="21">
        <f>P24</f>
        <v>0</v>
      </c>
      <c r="R24" s="21">
        <f>Q24</f>
        <v>0</v>
      </c>
      <c r="S24" s="18"/>
    </row>
    <row r="25" spans="1:19" ht="18" customHeight="1" thickBot="1" x14ac:dyDescent="0.25">
      <c r="A25" s="56">
        <v>5</v>
      </c>
      <c r="B25" s="58" t="s">
        <v>102</v>
      </c>
      <c r="C25" s="31" t="s">
        <v>27</v>
      </c>
      <c r="D25" s="8"/>
      <c r="E25" s="8"/>
      <c r="F25" s="8">
        <v>1.58</v>
      </c>
      <c r="G25" s="8">
        <v>2.78</v>
      </c>
      <c r="H25" s="8"/>
      <c r="I25" s="9">
        <v>1.66</v>
      </c>
      <c r="J25" s="10">
        <f>SUM(D25:I25)</f>
        <v>6.02</v>
      </c>
      <c r="K25" s="11">
        <v>0.98</v>
      </c>
      <c r="L25" s="8">
        <v>1.1000000000000001</v>
      </c>
      <c r="M25" s="8">
        <v>0.42</v>
      </c>
      <c r="N25" s="8">
        <v>3.02</v>
      </c>
      <c r="O25" s="8"/>
      <c r="P25" s="9"/>
      <c r="Q25" s="10">
        <f>SUM(K25:P25)</f>
        <v>5.52</v>
      </c>
      <c r="R25" s="10">
        <f>J25+Q25</f>
        <v>11.54</v>
      </c>
      <c r="S25" s="16"/>
    </row>
    <row r="26" spans="1:19" ht="18" customHeight="1" x14ac:dyDescent="0.2">
      <c r="A26" s="52"/>
      <c r="B26" s="49"/>
      <c r="C26" s="7" t="s">
        <v>28</v>
      </c>
      <c r="D26" s="12"/>
      <c r="E26" s="12"/>
      <c r="F26" s="12"/>
      <c r="G26" s="12">
        <v>2.92</v>
      </c>
      <c r="H26" s="12"/>
      <c r="I26" s="13"/>
      <c r="J26" s="14">
        <f>SUM(D26:I26)</f>
        <v>2.92</v>
      </c>
      <c r="K26" s="15"/>
      <c r="L26" s="12"/>
      <c r="M26" s="12"/>
      <c r="N26" s="12"/>
      <c r="O26" s="12"/>
      <c r="P26" s="13"/>
      <c r="Q26" s="14">
        <f>SUM(K26:P26)</f>
        <v>0</v>
      </c>
      <c r="R26" s="14">
        <f>J26+Q26</f>
        <v>2.92</v>
      </c>
      <c r="S26" s="17"/>
    </row>
    <row r="27" spans="1:19" ht="18" customHeight="1" x14ac:dyDescent="0.2">
      <c r="A27" s="52"/>
      <c r="B27" s="49"/>
      <c r="C27" s="23" t="s">
        <v>29</v>
      </c>
      <c r="D27" s="24">
        <f t="shared" ref="D27:I27" si="10">D26-D25</f>
        <v>0</v>
      </c>
      <c r="E27" s="24">
        <f t="shared" si="10"/>
        <v>0</v>
      </c>
      <c r="F27" s="24">
        <f t="shared" si="10"/>
        <v>-1.58</v>
      </c>
      <c r="G27" s="24">
        <f t="shared" si="10"/>
        <v>0.14000000000000012</v>
      </c>
      <c r="H27" s="24">
        <f t="shared" si="10"/>
        <v>0</v>
      </c>
      <c r="I27" s="27">
        <f t="shared" si="10"/>
        <v>-1.66</v>
      </c>
      <c r="J27" s="30">
        <f>SUM(D27:I27)</f>
        <v>-3.0999999999999996</v>
      </c>
      <c r="K27" s="29">
        <f t="shared" ref="K27:P27" si="11">K26-K25</f>
        <v>-0.98</v>
      </c>
      <c r="L27" s="24">
        <f t="shared" si="11"/>
        <v>-1.1000000000000001</v>
      </c>
      <c r="M27" s="24">
        <f t="shared" si="11"/>
        <v>-0.42</v>
      </c>
      <c r="N27" s="24">
        <f t="shared" si="11"/>
        <v>-3.02</v>
      </c>
      <c r="O27" s="24">
        <f t="shared" si="11"/>
        <v>0</v>
      </c>
      <c r="P27" s="27">
        <f t="shared" si="11"/>
        <v>0</v>
      </c>
      <c r="Q27" s="30">
        <f>SUM(K27:P27)</f>
        <v>-5.52</v>
      </c>
      <c r="R27" s="30">
        <f>J27+Q27</f>
        <v>-8.6199999999999992</v>
      </c>
      <c r="S27" s="17"/>
    </row>
    <row r="28" spans="1:19" ht="18" customHeight="1" thickBot="1" x14ac:dyDescent="0.25">
      <c r="A28" s="57"/>
      <c r="B28" s="59"/>
      <c r="C28" s="25" t="s">
        <v>30</v>
      </c>
      <c r="D28" s="20"/>
      <c r="E28" s="20"/>
      <c r="F28" s="20"/>
      <c r="G28" s="20"/>
      <c r="H28" s="20"/>
      <c r="I28" s="28"/>
      <c r="J28" s="21">
        <f>I28</f>
        <v>0</v>
      </c>
      <c r="K28" s="22"/>
      <c r="L28" s="20"/>
      <c r="M28" s="20"/>
      <c r="N28" s="20"/>
      <c r="O28" s="20"/>
      <c r="P28" s="28"/>
      <c r="Q28" s="21">
        <f>P28</f>
        <v>0</v>
      </c>
      <c r="R28" s="21">
        <f>Q28</f>
        <v>0</v>
      </c>
      <c r="S28" s="18"/>
    </row>
    <row r="29" spans="1:19" ht="18" customHeight="1" thickBot="1" x14ac:dyDescent="0.25">
      <c r="A29" s="56">
        <v>5</v>
      </c>
      <c r="B29" s="58" t="s">
        <v>103</v>
      </c>
      <c r="C29" s="31" t="s">
        <v>27</v>
      </c>
      <c r="D29" s="8"/>
      <c r="E29" s="8"/>
      <c r="F29" s="8"/>
      <c r="G29" s="8">
        <v>0.24</v>
      </c>
      <c r="H29" s="8">
        <v>0.28000000000000003</v>
      </c>
      <c r="I29" s="9">
        <v>0.6</v>
      </c>
      <c r="J29" s="10">
        <f>SUM(D29:I29)</f>
        <v>1.1200000000000001</v>
      </c>
      <c r="K29" s="11">
        <v>0.2</v>
      </c>
      <c r="L29" s="8"/>
      <c r="M29" s="8"/>
      <c r="N29" s="8"/>
      <c r="O29" s="8"/>
      <c r="P29" s="9"/>
      <c r="Q29" s="10">
        <f>SUM(K29:P29)</f>
        <v>0.2</v>
      </c>
      <c r="R29" s="10">
        <f>J29+Q29</f>
        <v>1.32</v>
      </c>
      <c r="S29" s="16"/>
    </row>
    <row r="30" spans="1:19" ht="18" customHeight="1" x14ac:dyDescent="0.2">
      <c r="A30" s="52"/>
      <c r="B30" s="49"/>
      <c r="C30" s="7" t="s">
        <v>28</v>
      </c>
      <c r="D30" s="12"/>
      <c r="E30" s="12"/>
      <c r="F30" s="12"/>
      <c r="G30" s="12"/>
      <c r="H30" s="12"/>
      <c r="I30" s="13"/>
      <c r="J30" s="14">
        <f>SUM(D30:I30)</f>
        <v>0</v>
      </c>
      <c r="K30" s="15"/>
      <c r="L30" s="12"/>
      <c r="M30" s="12"/>
      <c r="N30" s="12"/>
      <c r="O30" s="12"/>
      <c r="P30" s="13"/>
      <c r="Q30" s="14">
        <f>SUM(K30:P30)</f>
        <v>0</v>
      </c>
      <c r="R30" s="14">
        <f>J30+Q30</f>
        <v>0</v>
      </c>
      <c r="S30" s="17"/>
    </row>
    <row r="31" spans="1:19" ht="18" customHeight="1" x14ac:dyDescent="0.2">
      <c r="A31" s="52"/>
      <c r="B31" s="49"/>
      <c r="C31" s="23" t="s">
        <v>29</v>
      </c>
      <c r="D31" s="24">
        <f t="shared" ref="D31:I31" si="12">D30-D29</f>
        <v>0</v>
      </c>
      <c r="E31" s="24">
        <f t="shared" si="12"/>
        <v>0</v>
      </c>
      <c r="F31" s="24">
        <f t="shared" si="12"/>
        <v>0</v>
      </c>
      <c r="G31" s="24">
        <f t="shared" si="12"/>
        <v>-0.24</v>
      </c>
      <c r="H31" s="24">
        <f t="shared" si="12"/>
        <v>-0.28000000000000003</v>
      </c>
      <c r="I31" s="27">
        <f t="shared" si="12"/>
        <v>-0.6</v>
      </c>
      <c r="J31" s="30">
        <f>SUM(D31:I31)</f>
        <v>-1.1200000000000001</v>
      </c>
      <c r="K31" s="29">
        <f t="shared" ref="K31:P31" si="13">K30-K29</f>
        <v>-0.2</v>
      </c>
      <c r="L31" s="24">
        <f t="shared" si="13"/>
        <v>0</v>
      </c>
      <c r="M31" s="24">
        <f t="shared" si="13"/>
        <v>0</v>
      </c>
      <c r="N31" s="24">
        <f t="shared" si="13"/>
        <v>0</v>
      </c>
      <c r="O31" s="24">
        <f t="shared" si="13"/>
        <v>0</v>
      </c>
      <c r="P31" s="27">
        <f t="shared" si="13"/>
        <v>0</v>
      </c>
      <c r="Q31" s="30">
        <f>SUM(K31:P31)</f>
        <v>-0.2</v>
      </c>
      <c r="R31" s="30">
        <f>J31+Q31</f>
        <v>-1.32</v>
      </c>
      <c r="S31" s="17"/>
    </row>
    <row r="32" spans="1:19" ht="18" customHeight="1" thickBot="1" x14ac:dyDescent="0.25">
      <c r="A32" s="57"/>
      <c r="B32" s="59"/>
      <c r="C32" s="25" t="s">
        <v>30</v>
      </c>
      <c r="D32" s="20"/>
      <c r="E32" s="20"/>
      <c r="F32" s="20"/>
      <c r="G32" s="20"/>
      <c r="H32" s="20"/>
      <c r="I32" s="28"/>
      <c r="J32" s="21">
        <f>I32</f>
        <v>0</v>
      </c>
      <c r="K32" s="22"/>
      <c r="L32" s="20"/>
      <c r="M32" s="20"/>
      <c r="N32" s="20"/>
      <c r="O32" s="20"/>
      <c r="P32" s="28"/>
      <c r="Q32" s="21">
        <f>P32</f>
        <v>0</v>
      </c>
      <c r="R32" s="21">
        <f>Q32</f>
        <v>0</v>
      </c>
      <c r="S32" s="18"/>
    </row>
    <row r="33" spans="1:19" ht="18" customHeight="1" x14ac:dyDescent="0.2">
      <c r="A33" s="51">
        <v>6</v>
      </c>
      <c r="B33" s="48" t="s">
        <v>104</v>
      </c>
      <c r="C33" s="31" t="s">
        <v>27</v>
      </c>
      <c r="D33" s="8"/>
      <c r="E33" s="8"/>
      <c r="F33" s="8">
        <v>1.9</v>
      </c>
      <c r="G33" s="8">
        <v>24.337</v>
      </c>
      <c r="H33" s="8">
        <v>7.56</v>
      </c>
      <c r="I33" s="9">
        <v>4.6399999999999997</v>
      </c>
      <c r="J33" s="10">
        <f>SUM(D33:I33)</f>
        <v>38.436999999999998</v>
      </c>
      <c r="K33" s="11">
        <v>2.8</v>
      </c>
      <c r="L33" s="8">
        <v>4.66</v>
      </c>
      <c r="M33" s="8">
        <v>4.08</v>
      </c>
      <c r="N33" s="8">
        <v>2.1800000000000002</v>
      </c>
      <c r="O33" s="8"/>
      <c r="P33" s="9"/>
      <c r="Q33" s="10">
        <f>SUM(K33:P33)</f>
        <v>13.719999999999999</v>
      </c>
      <c r="R33" s="10">
        <f>J33+Q33</f>
        <v>52.156999999999996</v>
      </c>
      <c r="S33" s="16"/>
    </row>
    <row r="34" spans="1:19" ht="18" customHeight="1" x14ac:dyDescent="0.2">
      <c r="A34" s="52"/>
      <c r="B34" s="49"/>
      <c r="C34" s="7" t="s">
        <v>28</v>
      </c>
      <c r="D34" s="12"/>
      <c r="E34" s="12"/>
      <c r="F34" s="12"/>
      <c r="G34" s="12">
        <v>3.66</v>
      </c>
      <c r="H34" s="12"/>
      <c r="I34" s="13"/>
      <c r="J34" s="14">
        <f>SUM(D34:I34)</f>
        <v>3.66</v>
      </c>
      <c r="K34" s="15"/>
      <c r="L34" s="12"/>
      <c r="M34" s="12"/>
      <c r="N34" s="12"/>
      <c r="O34" s="12"/>
      <c r="P34" s="13"/>
      <c r="Q34" s="14">
        <f>SUM(K34:P34)</f>
        <v>0</v>
      </c>
      <c r="R34" s="14">
        <f>J34+Q34</f>
        <v>3.66</v>
      </c>
      <c r="S34" s="17"/>
    </row>
    <row r="35" spans="1:19" ht="18" customHeight="1" x14ac:dyDescent="0.2">
      <c r="A35" s="52"/>
      <c r="B35" s="49"/>
      <c r="C35" s="23" t="s">
        <v>29</v>
      </c>
      <c r="D35" s="24">
        <f t="shared" ref="D35:I35" si="14">D34-D33</f>
        <v>0</v>
      </c>
      <c r="E35" s="24">
        <f t="shared" si="14"/>
        <v>0</v>
      </c>
      <c r="F35" s="24">
        <f t="shared" si="14"/>
        <v>-1.9</v>
      </c>
      <c r="G35" s="24">
        <f t="shared" si="14"/>
        <v>-20.677</v>
      </c>
      <c r="H35" s="24">
        <f t="shared" si="14"/>
        <v>-7.56</v>
      </c>
      <c r="I35" s="27">
        <f t="shared" si="14"/>
        <v>-4.6399999999999997</v>
      </c>
      <c r="J35" s="30">
        <f>SUM(D35:I35)</f>
        <v>-34.776999999999994</v>
      </c>
      <c r="K35" s="29">
        <f t="shared" ref="K35:P35" si="15">K34-K33</f>
        <v>-2.8</v>
      </c>
      <c r="L35" s="24">
        <f t="shared" si="15"/>
        <v>-4.66</v>
      </c>
      <c r="M35" s="24">
        <f t="shared" si="15"/>
        <v>-4.08</v>
      </c>
      <c r="N35" s="24">
        <f t="shared" si="15"/>
        <v>-2.1800000000000002</v>
      </c>
      <c r="O35" s="24">
        <f t="shared" si="15"/>
        <v>0</v>
      </c>
      <c r="P35" s="27">
        <f t="shared" si="15"/>
        <v>0</v>
      </c>
      <c r="Q35" s="30">
        <f>SUM(K35:P35)</f>
        <v>-13.719999999999999</v>
      </c>
      <c r="R35" s="30">
        <f>J35+Q35</f>
        <v>-48.496999999999993</v>
      </c>
      <c r="S35" s="17"/>
    </row>
    <row r="36" spans="1:19" ht="18" customHeight="1" thickBot="1" x14ac:dyDescent="0.25">
      <c r="A36" s="53"/>
      <c r="B36" s="50"/>
      <c r="C36" s="25" t="s">
        <v>30</v>
      </c>
      <c r="D36" s="20"/>
      <c r="E36" s="20"/>
      <c r="F36" s="20"/>
      <c r="G36" s="20"/>
      <c r="H36" s="20"/>
      <c r="I36" s="28"/>
      <c r="J36" s="21">
        <f>I36</f>
        <v>0</v>
      </c>
      <c r="K36" s="22"/>
      <c r="L36" s="20"/>
      <c r="M36" s="20"/>
      <c r="N36" s="20"/>
      <c r="O36" s="20"/>
      <c r="P36" s="28"/>
      <c r="Q36" s="21">
        <f>P36</f>
        <v>0</v>
      </c>
      <c r="R36" s="21">
        <f>Q36</f>
        <v>0</v>
      </c>
      <c r="S36" s="18"/>
    </row>
    <row r="37" spans="1:19" ht="18" customHeight="1" x14ac:dyDescent="0.2">
      <c r="A37" s="51">
        <v>6</v>
      </c>
      <c r="B37" s="48" t="s">
        <v>105</v>
      </c>
      <c r="C37" s="31" t="s">
        <v>27</v>
      </c>
      <c r="D37" s="8"/>
      <c r="E37" s="8"/>
      <c r="F37" s="8"/>
      <c r="G37" s="8">
        <v>0.95</v>
      </c>
      <c r="H37" s="8">
        <v>1.1000000000000001</v>
      </c>
      <c r="I37" s="9">
        <v>0.94</v>
      </c>
      <c r="J37" s="10">
        <f>SUM(D37:I37)</f>
        <v>2.9899999999999998</v>
      </c>
      <c r="K37" s="11">
        <v>0.82</v>
      </c>
      <c r="L37" s="8">
        <v>1.44</v>
      </c>
      <c r="M37" s="8"/>
      <c r="N37" s="8"/>
      <c r="O37" s="8"/>
      <c r="P37" s="9"/>
      <c r="Q37" s="10">
        <f>SUM(K37:P37)</f>
        <v>2.2599999999999998</v>
      </c>
      <c r="R37" s="10">
        <f>J37+Q37</f>
        <v>5.25</v>
      </c>
      <c r="S37" s="16"/>
    </row>
    <row r="38" spans="1:19" ht="18" customHeight="1" x14ac:dyDescent="0.2">
      <c r="A38" s="52"/>
      <c r="B38" s="49"/>
      <c r="C38" s="7" t="s">
        <v>28</v>
      </c>
      <c r="D38" s="12"/>
      <c r="E38" s="12"/>
      <c r="F38" s="12"/>
      <c r="G38" s="12"/>
      <c r="H38" s="12"/>
      <c r="I38" s="13"/>
      <c r="J38" s="14">
        <f>SUM(D38:I38)</f>
        <v>0</v>
      </c>
      <c r="K38" s="15"/>
      <c r="L38" s="12"/>
      <c r="M38" s="12"/>
      <c r="N38" s="12"/>
      <c r="O38" s="12"/>
      <c r="P38" s="13"/>
      <c r="Q38" s="14">
        <f>SUM(K38:P38)</f>
        <v>0</v>
      </c>
      <c r="R38" s="14">
        <f>J38+Q38</f>
        <v>0</v>
      </c>
      <c r="S38" s="17"/>
    </row>
    <row r="39" spans="1:19" ht="18" customHeight="1" x14ac:dyDescent="0.2">
      <c r="A39" s="52"/>
      <c r="B39" s="49"/>
      <c r="C39" s="23" t="s">
        <v>29</v>
      </c>
      <c r="D39" s="24">
        <f t="shared" ref="D39:I39" si="16">D38-D37</f>
        <v>0</v>
      </c>
      <c r="E39" s="24">
        <f t="shared" si="16"/>
        <v>0</v>
      </c>
      <c r="F39" s="24">
        <f t="shared" si="16"/>
        <v>0</v>
      </c>
      <c r="G39" s="24">
        <f t="shared" si="16"/>
        <v>-0.95</v>
      </c>
      <c r="H39" s="24">
        <f t="shared" si="16"/>
        <v>-1.1000000000000001</v>
      </c>
      <c r="I39" s="27">
        <f t="shared" si="16"/>
        <v>-0.94</v>
      </c>
      <c r="J39" s="30">
        <f>SUM(D39:I39)</f>
        <v>-2.9899999999999998</v>
      </c>
      <c r="K39" s="29">
        <f t="shared" ref="K39:P39" si="17">K38-K37</f>
        <v>-0.82</v>
      </c>
      <c r="L39" s="24">
        <f t="shared" si="17"/>
        <v>-1.44</v>
      </c>
      <c r="M39" s="24">
        <f t="shared" si="17"/>
        <v>0</v>
      </c>
      <c r="N39" s="24">
        <f t="shared" si="17"/>
        <v>0</v>
      </c>
      <c r="O39" s="24">
        <f t="shared" si="17"/>
        <v>0</v>
      </c>
      <c r="P39" s="27">
        <f t="shared" si="17"/>
        <v>0</v>
      </c>
      <c r="Q39" s="30">
        <f>SUM(K39:P39)</f>
        <v>-2.2599999999999998</v>
      </c>
      <c r="R39" s="30">
        <f>J39+Q39</f>
        <v>-5.25</v>
      </c>
      <c r="S39" s="17"/>
    </row>
    <row r="40" spans="1:19" ht="18" customHeight="1" thickBot="1" x14ac:dyDescent="0.25">
      <c r="A40" s="53"/>
      <c r="B40" s="50"/>
      <c r="C40" s="25" t="s">
        <v>30</v>
      </c>
      <c r="D40" s="20"/>
      <c r="E40" s="20"/>
      <c r="F40" s="20"/>
      <c r="G40" s="20"/>
      <c r="H40" s="20"/>
      <c r="I40" s="28"/>
      <c r="J40" s="21">
        <f>I40</f>
        <v>0</v>
      </c>
      <c r="K40" s="22"/>
      <c r="L40" s="20"/>
      <c r="M40" s="20"/>
      <c r="N40" s="20"/>
      <c r="O40" s="20"/>
      <c r="P40" s="28"/>
      <c r="Q40" s="21">
        <f>P40</f>
        <v>0</v>
      </c>
      <c r="R40" s="21">
        <f>Q40</f>
        <v>0</v>
      </c>
      <c r="S40" s="18"/>
    </row>
    <row r="41" spans="1:19" ht="18" customHeight="1" thickBot="1" x14ac:dyDescent="0.25">
      <c r="A41" s="56">
        <v>7</v>
      </c>
      <c r="B41" s="60" t="s">
        <v>106</v>
      </c>
      <c r="C41" s="31" t="s">
        <v>27</v>
      </c>
      <c r="D41" s="8"/>
      <c r="E41" s="8"/>
      <c r="F41" s="8">
        <v>5.26</v>
      </c>
      <c r="G41" s="8">
        <v>23.58</v>
      </c>
      <c r="H41" s="8">
        <v>7.88</v>
      </c>
      <c r="I41" s="9">
        <v>18.18</v>
      </c>
      <c r="J41" s="10">
        <f>SUM(D41:I41)</f>
        <v>54.9</v>
      </c>
      <c r="K41" s="11">
        <v>20.88</v>
      </c>
      <c r="L41" s="8">
        <v>13.06</v>
      </c>
      <c r="M41" s="8">
        <v>5.19</v>
      </c>
      <c r="N41" s="8">
        <v>5.0199999999999996</v>
      </c>
      <c r="O41" s="8">
        <v>4.080000000000001</v>
      </c>
      <c r="P41" s="9">
        <v>2.29</v>
      </c>
      <c r="Q41" s="10">
        <f>SUM(K41:P41)</f>
        <v>50.519999999999989</v>
      </c>
      <c r="R41" s="10">
        <f>J41+Q41</f>
        <v>105.41999999999999</v>
      </c>
      <c r="S41" s="16"/>
    </row>
    <row r="42" spans="1:19" ht="18" customHeight="1" x14ac:dyDescent="0.2">
      <c r="A42" s="52"/>
      <c r="B42" s="49"/>
      <c r="C42" s="7" t="s">
        <v>28</v>
      </c>
      <c r="D42" s="12">
        <v>6.3099999999999987</v>
      </c>
      <c r="E42" s="12">
        <v>5.13</v>
      </c>
      <c r="F42" s="12">
        <v>5.4300000000000006</v>
      </c>
      <c r="G42" s="12">
        <v>6.67</v>
      </c>
      <c r="H42" s="12"/>
      <c r="I42" s="13"/>
      <c r="J42" s="14">
        <f>SUM(D42:I42)</f>
        <v>23.54</v>
      </c>
      <c r="K42" s="15"/>
      <c r="L42" s="12"/>
      <c r="M42" s="12"/>
      <c r="N42" s="12"/>
      <c r="O42" s="12"/>
      <c r="P42" s="13"/>
      <c r="Q42" s="14">
        <f>SUM(K42:P42)</f>
        <v>0</v>
      </c>
      <c r="R42" s="14">
        <f>J42+Q42</f>
        <v>23.54</v>
      </c>
      <c r="S42" s="17"/>
    </row>
    <row r="43" spans="1:19" ht="18" customHeight="1" x14ac:dyDescent="0.2">
      <c r="A43" s="52"/>
      <c r="B43" s="49"/>
      <c r="C43" s="23" t="s">
        <v>29</v>
      </c>
      <c r="D43" s="24">
        <f t="shared" ref="D43:I43" si="18">D42-D41</f>
        <v>6.3099999999999987</v>
      </c>
      <c r="E43" s="24">
        <f t="shared" si="18"/>
        <v>5.13</v>
      </c>
      <c r="F43" s="24">
        <f t="shared" si="18"/>
        <v>0.17000000000000082</v>
      </c>
      <c r="G43" s="24">
        <f t="shared" si="18"/>
        <v>-16.909999999999997</v>
      </c>
      <c r="H43" s="24">
        <f t="shared" si="18"/>
        <v>-7.88</v>
      </c>
      <c r="I43" s="27">
        <f t="shared" si="18"/>
        <v>-18.18</v>
      </c>
      <c r="J43" s="30">
        <f>SUM(D43:I43)</f>
        <v>-31.359999999999996</v>
      </c>
      <c r="K43" s="29">
        <f t="shared" ref="K43:P43" si="19">K42-K41</f>
        <v>-20.88</v>
      </c>
      <c r="L43" s="24">
        <f t="shared" si="19"/>
        <v>-13.06</v>
      </c>
      <c r="M43" s="24">
        <f t="shared" si="19"/>
        <v>-5.19</v>
      </c>
      <c r="N43" s="24">
        <f t="shared" si="19"/>
        <v>-5.0199999999999996</v>
      </c>
      <c r="O43" s="24">
        <f t="shared" si="19"/>
        <v>-4.080000000000001</v>
      </c>
      <c r="P43" s="27">
        <f t="shared" si="19"/>
        <v>-2.29</v>
      </c>
      <c r="Q43" s="30">
        <f>SUM(K43:P43)</f>
        <v>-50.519999999999989</v>
      </c>
      <c r="R43" s="30">
        <f>J43+Q43</f>
        <v>-81.879999999999981</v>
      </c>
      <c r="S43" s="17"/>
    </row>
    <row r="44" spans="1:19" ht="18" customHeight="1" thickBot="1" x14ac:dyDescent="0.25">
      <c r="A44" s="57"/>
      <c r="B44" s="59"/>
      <c r="C44" s="25" t="s">
        <v>30</v>
      </c>
      <c r="D44" s="20"/>
      <c r="E44" s="20"/>
      <c r="F44" s="20"/>
      <c r="G44" s="20"/>
      <c r="H44" s="20"/>
      <c r="I44" s="28"/>
      <c r="J44" s="21">
        <f>I44</f>
        <v>0</v>
      </c>
      <c r="K44" s="22"/>
      <c r="L44" s="20"/>
      <c r="M44" s="20"/>
      <c r="N44" s="20"/>
      <c r="O44" s="20"/>
      <c r="P44" s="28"/>
      <c r="Q44" s="21">
        <f>P44</f>
        <v>0</v>
      </c>
      <c r="R44" s="21">
        <f>Q44</f>
        <v>0</v>
      </c>
      <c r="S44" s="18"/>
    </row>
    <row r="45" spans="1:19" ht="18" customHeight="1" thickBot="1" x14ac:dyDescent="0.25">
      <c r="A45" s="56">
        <v>7</v>
      </c>
      <c r="B45" s="60" t="s">
        <v>107</v>
      </c>
      <c r="C45" s="31" t="s">
        <v>27</v>
      </c>
      <c r="D45" s="8"/>
      <c r="E45" s="8"/>
      <c r="F45" s="8"/>
      <c r="G45" s="8"/>
      <c r="H45" s="8">
        <v>0.95</v>
      </c>
      <c r="I45" s="9">
        <v>0.9</v>
      </c>
      <c r="J45" s="10">
        <f>SUM(D45:I45)</f>
        <v>1.85</v>
      </c>
      <c r="K45" s="11">
        <v>0.06</v>
      </c>
      <c r="L45" s="8">
        <v>0.3</v>
      </c>
      <c r="M45" s="8"/>
      <c r="N45" s="8"/>
      <c r="O45" s="8"/>
      <c r="P45" s="9"/>
      <c r="Q45" s="10">
        <f>SUM(K45:P45)</f>
        <v>0.36</v>
      </c>
      <c r="R45" s="10">
        <f>J45+Q45</f>
        <v>2.21</v>
      </c>
      <c r="S45" s="16"/>
    </row>
    <row r="46" spans="1:19" ht="18" customHeight="1" x14ac:dyDescent="0.2">
      <c r="A46" s="52"/>
      <c r="B46" s="49"/>
      <c r="C46" s="7" t="s">
        <v>28</v>
      </c>
      <c r="D46" s="12"/>
      <c r="E46" s="12"/>
      <c r="F46" s="12"/>
      <c r="G46" s="12"/>
      <c r="H46" s="12"/>
      <c r="I46" s="13"/>
      <c r="J46" s="14">
        <f>SUM(D46:I46)</f>
        <v>0</v>
      </c>
      <c r="K46" s="15"/>
      <c r="L46" s="12"/>
      <c r="M46" s="12"/>
      <c r="N46" s="12"/>
      <c r="O46" s="12"/>
      <c r="P46" s="13"/>
      <c r="Q46" s="14">
        <f>SUM(K46:P46)</f>
        <v>0</v>
      </c>
      <c r="R46" s="14">
        <f>J46+Q46</f>
        <v>0</v>
      </c>
      <c r="S46" s="17"/>
    </row>
    <row r="47" spans="1:19" ht="18" customHeight="1" x14ac:dyDescent="0.2">
      <c r="A47" s="52"/>
      <c r="B47" s="49"/>
      <c r="C47" s="23" t="s">
        <v>29</v>
      </c>
      <c r="D47" s="24">
        <f t="shared" ref="D47:I47" si="20">D46-D45</f>
        <v>0</v>
      </c>
      <c r="E47" s="24">
        <f t="shared" si="20"/>
        <v>0</v>
      </c>
      <c r="F47" s="24">
        <f t="shared" si="20"/>
        <v>0</v>
      </c>
      <c r="G47" s="24">
        <f t="shared" si="20"/>
        <v>0</v>
      </c>
      <c r="H47" s="24">
        <f t="shared" si="20"/>
        <v>-0.95</v>
      </c>
      <c r="I47" s="27">
        <f t="shared" si="20"/>
        <v>-0.9</v>
      </c>
      <c r="J47" s="30">
        <f>SUM(D47:I47)</f>
        <v>-1.85</v>
      </c>
      <c r="K47" s="29">
        <f t="shared" ref="K47:P47" si="21">K46-K45</f>
        <v>-0.06</v>
      </c>
      <c r="L47" s="24">
        <f t="shared" si="21"/>
        <v>-0.3</v>
      </c>
      <c r="M47" s="24">
        <f t="shared" si="21"/>
        <v>0</v>
      </c>
      <c r="N47" s="24">
        <f t="shared" si="21"/>
        <v>0</v>
      </c>
      <c r="O47" s="24">
        <f t="shared" si="21"/>
        <v>0</v>
      </c>
      <c r="P47" s="27">
        <f t="shared" si="21"/>
        <v>0</v>
      </c>
      <c r="Q47" s="30">
        <f>SUM(K47:P47)</f>
        <v>-0.36</v>
      </c>
      <c r="R47" s="30">
        <f>J47+Q47</f>
        <v>-2.21</v>
      </c>
      <c r="S47" s="17"/>
    </row>
    <row r="48" spans="1:19" ht="18" customHeight="1" thickBot="1" x14ac:dyDescent="0.25">
      <c r="A48" s="57"/>
      <c r="B48" s="59"/>
      <c r="C48" s="25" t="s">
        <v>30</v>
      </c>
      <c r="D48" s="20"/>
      <c r="E48" s="20"/>
      <c r="F48" s="20"/>
      <c r="G48" s="20"/>
      <c r="H48" s="20"/>
      <c r="I48" s="28"/>
      <c r="J48" s="21">
        <f>I48</f>
        <v>0</v>
      </c>
      <c r="K48" s="22"/>
      <c r="L48" s="20"/>
      <c r="M48" s="20"/>
      <c r="N48" s="20"/>
      <c r="O48" s="20"/>
      <c r="P48" s="28"/>
      <c r="Q48" s="21">
        <f>P48</f>
        <v>0</v>
      </c>
      <c r="R48" s="21">
        <f>Q48</f>
        <v>0</v>
      </c>
      <c r="S48" s="18"/>
    </row>
    <row r="49" spans="1:19" ht="18" customHeight="1" x14ac:dyDescent="0.2">
      <c r="A49" s="51">
        <v>8</v>
      </c>
      <c r="B49" s="55" t="s">
        <v>108</v>
      </c>
      <c r="C49" s="31" t="s">
        <v>27</v>
      </c>
      <c r="D49" s="8"/>
      <c r="E49" s="8"/>
      <c r="F49" s="8">
        <v>0.12</v>
      </c>
      <c r="G49" s="8">
        <v>0.8</v>
      </c>
      <c r="H49" s="8">
        <v>2.6949999999999998</v>
      </c>
      <c r="I49" s="9">
        <v>6.86</v>
      </c>
      <c r="J49" s="10">
        <f>SUM(D49:I49)</f>
        <v>10.475</v>
      </c>
      <c r="K49" s="11">
        <v>3.54</v>
      </c>
      <c r="L49" s="8">
        <v>0.62</v>
      </c>
      <c r="M49" s="8">
        <v>6.02</v>
      </c>
      <c r="N49" s="8">
        <v>0.82</v>
      </c>
      <c r="O49" s="8"/>
      <c r="P49" s="9"/>
      <c r="Q49" s="10">
        <f>SUM(K49:P49)</f>
        <v>11</v>
      </c>
      <c r="R49" s="10">
        <f>J49+Q49</f>
        <v>21.475000000000001</v>
      </c>
      <c r="S49" s="16"/>
    </row>
    <row r="50" spans="1:19" ht="18" customHeight="1" x14ac:dyDescent="0.2">
      <c r="A50" s="52"/>
      <c r="B50" s="49"/>
      <c r="C50" s="7" t="s">
        <v>28</v>
      </c>
      <c r="D50" s="12"/>
      <c r="E50" s="12"/>
      <c r="F50" s="12"/>
      <c r="G50" s="12">
        <v>2.82</v>
      </c>
      <c r="H50" s="12"/>
      <c r="I50" s="13"/>
      <c r="J50" s="14">
        <f>SUM(D50:I50)</f>
        <v>2.82</v>
      </c>
      <c r="K50" s="15"/>
      <c r="L50" s="12"/>
      <c r="M50" s="12"/>
      <c r="N50" s="12"/>
      <c r="O50" s="12"/>
      <c r="P50" s="13"/>
      <c r="Q50" s="14">
        <f>SUM(K50:P50)</f>
        <v>0</v>
      </c>
      <c r="R50" s="14">
        <f>J50+Q50</f>
        <v>2.82</v>
      </c>
      <c r="S50" s="17"/>
    </row>
    <row r="51" spans="1:19" ht="18" customHeight="1" x14ac:dyDescent="0.2">
      <c r="A51" s="52"/>
      <c r="B51" s="49"/>
      <c r="C51" s="23" t="s">
        <v>29</v>
      </c>
      <c r="D51" s="24">
        <f t="shared" ref="D51:I51" si="22">D50-D49</f>
        <v>0</v>
      </c>
      <c r="E51" s="24">
        <f t="shared" si="22"/>
        <v>0</v>
      </c>
      <c r="F51" s="24">
        <f t="shared" si="22"/>
        <v>-0.12</v>
      </c>
      <c r="G51" s="24">
        <f t="shared" si="22"/>
        <v>2.0199999999999996</v>
      </c>
      <c r="H51" s="24">
        <f t="shared" si="22"/>
        <v>-2.6949999999999998</v>
      </c>
      <c r="I51" s="27">
        <f t="shared" si="22"/>
        <v>-6.86</v>
      </c>
      <c r="J51" s="30">
        <f>SUM(D51:I51)</f>
        <v>-7.6550000000000011</v>
      </c>
      <c r="K51" s="29">
        <f t="shared" ref="K51:P51" si="23">K50-K49</f>
        <v>-3.54</v>
      </c>
      <c r="L51" s="24">
        <f t="shared" si="23"/>
        <v>-0.62</v>
      </c>
      <c r="M51" s="24">
        <f t="shared" si="23"/>
        <v>-6.02</v>
      </c>
      <c r="N51" s="24">
        <f t="shared" si="23"/>
        <v>-0.82</v>
      </c>
      <c r="O51" s="24">
        <f t="shared" si="23"/>
        <v>0</v>
      </c>
      <c r="P51" s="27">
        <f t="shared" si="23"/>
        <v>0</v>
      </c>
      <c r="Q51" s="30">
        <f>SUM(K51:P51)</f>
        <v>-11</v>
      </c>
      <c r="R51" s="30">
        <f>J51+Q51</f>
        <v>-18.655000000000001</v>
      </c>
      <c r="S51" s="17"/>
    </row>
    <row r="52" spans="1:19" ht="18" customHeight="1" thickBot="1" x14ac:dyDescent="0.25">
      <c r="A52" s="53"/>
      <c r="B52" s="50"/>
      <c r="C52" s="25" t="s">
        <v>30</v>
      </c>
      <c r="D52" s="20"/>
      <c r="E52" s="20"/>
      <c r="F52" s="20"/>
      <c r="G52" s="20"/>
      <c r="H52" s="20"/>
      <c r="I52" s="28"/>
      <c r="J52" s="21">
        <f>I52</f>
        <v>0</v>
      </c>
      <c r="K52" s="22"/>
      <c r="L52" s="20"/>
      <c r="M52" s="20"/>
      <c r="N52" s="20"/>
      <c r="O52" s="20"/>
      <c r="P52" s="28"/>
      <c r="Q52" s="21">
        <f>P52</f>
        <v>0</v>
      </c>
      <c r="R52" s="21">
        <f>Q52</f>
        <v>0</v>
      </c>
      <c r="S52" s="18"/>
    </row>
    <row r="53" spans="1:19" ht="18" customHeight="1" x14ac:dyDescent="0.2">
      <c r="A53" s="51">
        <v>8</v>
      </c>
      <c r="B53" s="55" t="s">
        <v>109</v>
      </c>
      <c r="C53" s="31" t="s">
        <v>27</v>
      </c>
      <c r="D53" s="8"/>
      <c r="E53" s="8"/>
      <c r="F53" s="8"/>
      <c r="G53" s="8">
        <v>1.75</v>
      </c>
      <c r="H53" s="8">
        <v>0.7</v>
      </c>
      <c r="I53" s="9">
        <v>5.43</v>
      </c>
      <c r="J53" s="10">
        <f>SUM(D53:I53)</f>
        <v>7.88</v>
      </c>
      <c r="K53" s="11">
        <v>30.1</v>
      </c>
      <c r="L53" s="8">
        <v>3.91</v>
      </c>
      <c r="M53" s="8"/>
      <c r="N53" s="8"/>
      <c r="O53" s="8"/>
      <c r="P53" s="9"/>
      <c r="Q53" s="10">
        <f>SUM(K53:P53)</f>
        <v>34.010000000000005</v>
      </c>
      <c r="R53" s="10">
        <f>J53+Q53</f>
        <v>41.890000000000008</v>
      </c>
      <c r="S53" s="16"/>
    </row>
    <row r="54" spans="1:19" ht="18" customHeight="1" x14ac:dyDescent="0.2">
      <c r="A54" s="52"/>
      <c r="B54" s="49"/>
      <c r="C54" s="7" t="s">
        <v>28</v>
      </c>
      <c r="D54" s="12"/>
      <c r="E54" s="12"/>
      <c r="F54" s="12"/>
      <c r="G54" s="12"/>
      <c r="H54" s="12"/>
      <c r="I54" s="13"/>
      <c r="J54" s="14">
        <f>SUM(D54:I54)</f>
        <v>0</v>
      </c>
      <c r="K54" s="15"/>
      <c r="L54" s="12"/>
      <c r="M54" s="12"/>
      <c r="N54" s="12"/>
      <c r="O54" s="12"/>
      <c r="P54" s="13"/>
      <c r="Q54" s="14">
        <f>SUM(K54:P54)</f>
        <v>0</v>
      </c>
      <c r="R54" s="14">
        <f>J54+Q54</f>
        <v>0</v>
      </c>
      <c r="S54" s="17"/>
    </row>
    <row r="55" spans="1:19" ht="18" customHeight="1" x14ac:dyDescent="0.2">
      <c r="A55" s="52"/>
      <c r="B55" s="49"/>
      <c r="C55" s="23" t="s">
        <v>29</v>
      </c>
      <c r="D55" s="24">
        <f t="shared" ref="D55:I55" si="24">D54-D53</f>
        <v>0</v>
      </c>
      <c r="E55" s="24">
        <f t="shared" si="24"/>
        <v>0</v>
      </c>
      <c r="F55" s="24">
        <f t="shared" si="24"/>
        <v>0</v>
      </c>
      <c r="G55" s="24">
        <f t="shared" si="24"/>
        <v>-1.75</v>
      </c>
      <c r="H55" s="24">
        <f t="shared" si="24"/>
        <v>-0.7</v>
      </c>
      <c r="I55" s="27">
        <f t="shared" si="24"/>
        <v>-5.43</v>
      </c>
      <c r="J55" s="30">
        <f>SUM(D55:I55)</f>
        <v>-7.88</v>
      </c>
      <c r="K55" s="29">
        <f t="shared" ref="K55:P55" si="25">K54-K53</f>
        <v>-30.1</v>
      </c>
      <c r="L55" s="24">
        <f t="shared" si="25"/>
        <v>-3.91</v>
      </c>
      <c r="M55" s="24">
        <f t="shared" si="25"/>
        <v>0</v>
      </c>
      <c r="N55" s="24">
        <f t="shared" si="25"/>
        <v>0</v>
      </c>
      <c r="O55" s="24">
        <f t="shared" si="25"/>
        <v>0</v>
      </c>
      <c r="P55" s="27">
        <f t="shared" si="25"/>
        <v>0</v>
      </c>
      <c r="Q55" s="30">
        <f>SUM(K55:P55)</f>
        <v>-34.010000000000005</v>
      </c>
      <c r="R55" s="30">
        <f>J55+Q55</f>
        <v>-41.890000000000008</v>
      </c>
      <c r="S55" s="17"/>
    </row>
    <row r="56" spans="1:19" ht="18" customHeight="1" thickBot="1" x14ac:dyDescent="0.25">
      <c r="A56" s="53"/>
      <c r="B56" s="50"/>
      <c r="C56" s="25" t="s">
        <v>30</v>
      </c>
      <c r="D56" s="20"/>
      <c r="E56" s="20"/>
      <c r="F56" s="20"/>
      <c r="G56" s="20"/>
      <c r="H56" s="20"/>
      <c r="I56" s="28"/>
      <c r="J56" s="21">
        <f>I56</f>
        <v>0</v>
      </c>
      <c r="K56" s="22"/>
      <c r="L56" s="20"/>
      <c r="M56" s="20"/>
      <c r="N56" s="20"/>
      <c r="O56" s="20"/>
      <c r="P56" s="28"/>
      <c r="Q56" s="21">
        <f>P56</f>
        <v>0</v>
      </c>
      <c r="R56" s="21">
        <f>Q56</f>
        <v>0</v>
      </c>
      <c r="S56" s="18"/>
    </row>
    <row r="57" spans="1:19" ht="18" customHeight="1" x14ac:dyDescent="0.2">
      <c r="A57" s="51">
        <v>9</v>
      </c>
      <c r="B57" s="55" t="s">
        <v>110</v>
      </c>
      <c r="C57" s="31" t="s">
        <v>27</v>
      </c>
      <c r="D57" s="8"/>
      <c r="E57" s="8"/>
      <c r="F57" s="8">
        <v>0.2</v>
      </c>
      <c r="G57" s="8">
        <v>0.18</v>
      </c>
      <c r="H57" s="8"/>
      <c r="I57" s="9"/>
      <c r="J57" s="10">
        <f>SUM(D57:I57)</f>
        <v>0.38</v>
      </c>
      <c r="K57" s="11"/>
      <c r="L57" s="8"/>
      <c r="M57" s="8"/>
      <c r="N57" s="8"/>
      <c r="O57" s="8"/>
      <c r="P57" s="9"/>
      <c r="Q57" s="10">
        <f>SUM(K57:P57)</f>
        <v>0</v>
      </c>
      <c r="R57" s="10">
        <f>J57+Q57</f>
        <v>0.38</v>
      </c>
      <c r="S57" s="16"/>
    </row>
    <row r="58" spans="1:19" ht="18" customHeight="1" x14ac:dyDescent="0.2">
      <c r="A58" s="52"/>
      <c r="B58" s="49"/>
      <c r="C58" s="7" t="s">
        <v>28</v>
      </c>
      <c r="D58" s="12"/>
      <c r="E58" s="12"/>
      <c r="F58" s="12"/>
      <c r="G58" s="12">
        <v>0.18</v>
      </c>
      <c r="H58" s="12"/>
      <c r="I58" s="13"/>
      <c r="J58" s="14">
        <f>SUM(D58:I58)</f>
        <v>0.18</v>
      </c>
      <c r="K58" s="15"/>
      <c r="L58" s="12"/>
      <c r="M58" s="12"/>
      <c r="N58" s="12"/>
      <c r="O58" s="12"/>
      <c r="P58" s="13"/>
      <c r="Q58" s="14">
        <f>SUM(K58:P58)</f>
        <v>0</v>
      </c>
      <c r="R58" s="14">
        <f>J58+Q58</f>
        <v>0.18</v>
      </c>
      <c r="S58" s="17"/>
    </row>
    <row r="59" spans="1:19" ht="18" customHeight="1" x14ac:dyDescent="0.2">
      <c r="A59" s="52"/>
      <c r="B59" s="49"/>
      <c r="C59" s="23" t="s">
        <v>29</v>
      </c>
      <c r="D59" s="24">
        <f t="shared" ref="D59:I59" si="26">D58-D57</f>
        <v>0</v>
      </c>
      <c r="E59" s="24">
        <f t="shared" si="26"/>
        <v>0</v>
      </c>
      <c r="F59" s="24">
        <f t="shared" si="26"/>
        <v>-0.2</v>
      </c>
      <c r="G59" s="24">
        <f t="shared" si="26"/>
        <v>0</v>
      </c>
      <c r="H59" s="24">
        <f t="shared" si="26"/>
        <v>0</v>
      </c>
      <c r="I59" s="27">
        <f t="shared" si="26"/>
        <v>0</v>
      </c>
      <c r="J59" s="30">
        <f>SUM(D59:I59)</f>
        <v>-0.2</v>
      </c>
      <c r="K59" s="29">
        <f t="shared" ref="K59:P59" si="27">K58-K57</f>
        <v>0</v>
      </c>
      <c r="L59" s="24">
        <f t="shared" si="27"/>
        <v>0</v>
      </c>
      <c r="M59" s="24">
        <f t="shared" si="27"/>
        <v>0</v>
      </c>
      <c r="N59" s="24">
        <f t="shared" si="27"/>
        <v>0</v>
      </c>
      <c r="O59" s="24">
        <f t="shared" si="27"/>
        <v>0</v>
      </c>
      <c r="P59" s="27">
        <f t="shared" si="27"/>
        <v>0</v>
      </c>
      <c r="Q59" s="30">
        <f>SUM(K59:P59)</f>
        <v>0</v>
      </c>
      <c r="R59" s="30">
        <f>J59+Q59</f>
        <v>-0.2</v>
      </c>
      <c r="S59" s="17"/>
    </row>
    <row r="60" spans="1:19" ht="18" customHeight="1" thickBot="1" x14ac:dyDescent="0.25">
      <c r="A60" s="53"/>
      <c r="B60" s="50"/>
      <c r="C60" s="25" t="s">
        <v>30</v>
      </c>
      <c r="D60" s="20"/>
      <c r="E60" s="20"/>
      <c r="F60" s="20"/>
      <c r="G60" s="20"/>
      <c r="H60" s="20"/>
      <c r="I60" s="28"/>
      <c r="J60" s="21">
        <f>I60</f>
        <v>0</v>
      </c>
      <c r="K60" s="22"/>
      <c r="L60" s="20"/>
      <c r="M60" s="20"/>
      <c r="N60" s="20"/>
      <c r="O60" s="20"/>
      <c r="P60" s="28"/>
      <c r="Q60" s="21">
        <f>P60</f>
        <v>0</v>
      </c>
      <c r="R60" s="21">
        <f>Q60</f>
        <v>0</v>
      </c>
      <c r="S60" s="18"/>
    </row>
    <row r="61" spans="1:19" ht="18" customHeight="1" x14ac:dyDescent="0.2">
      <c r="A61" s="51">
        <v>10</v>
      </c>
      <c r="B61" s="48" t="s">
        <v>111</v>
      </c>
      <c r="C61" s="31" t="s">
        <v>27</v>
      </c>
      <c r="D61" s="8"/>
      <c r="E61" s="8"/>
      <c r="F61" s="8">
        <v>0.5</v>
      </c>
      <c r="G61" s="8">
        <v>1.69</v>
      </c>
      <c r="H61" s="8">
        <v>1.24</v>
      </c>
      <c r="I61" s="9"/>
      <c r="J61" s="10">
        <f>SUM(D61:I61)</f>
        <v>3.4299999999999997</v>
      </c>
      <c r="K61" s="11">
        <v>4.0199999999999996</v>
      </c>
      <c r="L61" s="8">
        <v>7.67</v>
      </c>
      <c r="M61" s="8"/>
      <c r="N61" s="8"/>
      <c r="O61" s="8"/>
      <c r="P61" s="9"/>
      <c r="Q61" s="10">
        <f>SUM(K61:P61)</f>
        <v>11.69</v>
      </c>
      <c r="R61" s="10">
        <f>J61+Q61</f>
        <v>15.12</v>
      </c>
      <c r="S61" s="16"/>
    </row>
    <row r="62" spans="1:19" ht="18" customHeight="1" x14ac:dyDescent="0.2">
      <c r="A62" s="52"/>
      <c r="B62" s="49"/>
      <c r="C62" s="7" t="s">
        <v>28</v>
      </c>
      <c r="D62" s="12"/>
      <c r="E62" s="12"/>
      <c r="F62" s="12"/>
      <c r="G62" s="12"/>
      <c r="H62" s="12"/>
      <c r="I62" s="13"/>
      <c r="J62" s="14">
        <f>SUM(D62:I62)</f>
        <v>0</v>
      </c>
      <c r="K62" s="15"/>
      <c r="L62" s="12"/>
      <c r="M62" s="12"/>
      <c r="N62" s="12"/>
      <c r="O62" s="12"/>
      <c r="P62" s="13"/>
      <c r="Q62" s="14">
        <f>SUM(K62:P62)</f>
        <v>0</v>
      </c>
      <c r="R62" s="14">
        <f>J62+Q62</f>
        <v>0</v>
      </c>
      <c r="S62" s="17"/>
    </row>
    <row r="63" spans="1:19" ht="18" customHeight="1" x14ac:dyDescent="0.2">
      <c r="A63" s="52"/>
      <c r="B63" s="49"/>
      <c r="C63" s="23" t="s">
        <v>29</v>
      </c>
      <c r="D63" s="24">
        <f t="shared" ref="D63:I63" si="28">D62-D61</f>
        <v>0</v>
      </c>
      <c r="E63" s="24">
        <f t="shared" si="28"/>
        <v>0</v>
      </c>
      <c r="F63" s="24">
        <f t="shared" si="28"/>
        <v>-0.5</v>
      </c>
      <c r="G63" s="24">
        <f t="shared" si="28"/>
        <v>-1.69</v>
      </c>
      <c r="H63" s="24">
        <f t="shared" si="28"/>
        <v>-1.24</v>
      </c>
      <c r="I63" s="27">
        <f t="shared" si="28"/>
        <v>0</v>
      </c>
      <c r="J63" s="30">
        <f>SUM(D63:I63)</f>
        <v>-3.4299999999999997</v>
      </c>
      <c r="K63" s="29">
        <f t="shared" ref="K63:P63" si="29">K62-K61</f>
        <v>-4.0199999999999996</v>
      </c>
      <c r="L63" s="24">
        <f t="shared" si="29"/>
        <v>-7.67</v>
      </c>
      <c r="M63" s="24">
        <f t="shared" si="29"/>
        <v>0</v>
      </c>
      <c r="N63" s="24">
        <f t="shared" si="29"/>
        <v>0</v>
      </c>
      <c r="O63" s="24">
        <f t="shared" si="29"/>
        <v>0</v>
      </c>
      <c r="P63" s="27">
        <f t="shared" si="29"/>
        <v>0</v>
      </c>
      <c r="Q63" s="30">
        <f>SUM(K63:P63)</f>
        <v>-11.69</v>
      </c>
      <c r="R63" s="30">
        <f>J63+Q63</f>
        <v>-15.12</v>
      </c>
      <c r="S63" s="17"/>
    </row>
    <row r="64" spans="1:19" ht="18" customHeight="1" thickBot="1" x14ac:dyDescent="0.25">
      <c r="A64" s="53"/>
      <c r="B64" s="50"/>
      <c r="C64" s="25" t="s">
        <v>30</v>
      </c>
      <c r="D64" s="20"/>
      <c r="E64" s="20"/>
      <c r="F64" s="20"/>
      <c r="G64" s="20"/>
      <c r="H64" s="20"/>
      <c r="I64" s="28"/>
      <c r="J64" s="21">
        <f>I64</f>
        <v>0</v>
      </c>
      <c r="K64" s="22"/>
      <c r="L64" s="20"/>
      <c r="M64" s="20"/>
      <c r="N64" s="20"/>
      <c r="O64" s="20"/>
      <c r="P64" s="28"/>
      <c r="Q64" s="21">
        <f>P64</f>
        <v>0</v>
      </c>
      <c r="R64" s="21">
        <f>Q64</f>
        <v>0</v>
      </c>
      <c r="S64" s="18"/>
    </row>
    <row r="65" spans="1:19" ht="18" customHeight="1" thickBot="1" x14ac:dyDescent="0.25">
      <c r="A65" s="56">
        <v>11</v>
      </c>
      <c r="B65" s="58" t="s">
        <v>112</v>
      </c>
      <c r="C65" s="31" t="s">
        <v>27</v>
      </c>
      <c r="D65" s="8"/>
      <c r="E65" s="8"/>
      <c r="F65" s="8"/>
      <c r="G65" s="8"/>
      <c r="H65" s="8">
        <v>3.74</v>
      </c>
      <c r="I65" s="9">
        <v>7.22</v>
      </c>
      <c r="J65" s="10">
        <f>SUM(D65:I65)</f>
        <v>10.96</v>
      </c>
      <c r="K65" s="11">
        <v>0.87</v>
      </c>
      <c r="L65" s="8">
        <v>3.61</v>
      </c>
      <c r="M65" s="8"/>
      <c r="N65" s="8"/>
      <c r="O65" s="8"/>
      <c r="P65" s="9"/>
      <c r="Q65" s="10">
        <f>SUM(K65:P65)</f>
        <v>4.4799999999999995</v>
      </c>
      <c r="R65" s="10">
        <f>J65+Q65</f>
        <v>15.440000000000001</v>
      </c>
      <c r="S65" s="16"/>
    </row>
    <row r="66" spans="1:19" ht="18" customHeight="1" x14ac:dyDescent="0.2">
      <c r="A66" s="52"/>
      <c r="B66" s="49"/>
      <c r="C66" s="7" t="s">
        <v>28</v>
      </c>
      <c r="D66" s="12"/>
      <c r="E66" s="12"/>
      <c r="F66" s="12"/>
      <c r="G66" s="12"/>
      <c r="H66" s="12"/>
      <c r="I66" s="13"/>
      <c r="J66" s="14">
        <f>SUM(D66:I66)</f>
        <v>0</v>
      </c>
      <c r="K66" s="15"/>
      <c r="L66" s="12"/>
      <c r="M66" s="12"/>
      <c r="N66" s="12"/>
      <c r="O66" s="12"/>
      <c r="P66" s="13"/>
      <c r="Q66" s="14">
        <f>SUM(K66:P66)</f>
        <v>0</v>
      </c>
      <c r="R66" s="14">
        <f>J66+Q66</f>
        <v>0</v>
      </c>
      <c r="S66" s="17"/>
    </row>
    <row r="67" spans="1:19" ht="18" customHeight="1" x14ac:dyDescent="0.2">
      <c r="A67" s="52"/>
      <c r="B67" s="49"/>
      <c r="C67" s="23" t="s">
        <v>29</v>
      </c>
      <c r="D67" s="24">
        <f t="shared" ref="D67:I67" si="30">D66-D65</f>
        <v>0</v>
      </c>
      <c r="E67" s="24">
        <f t="shared" si="30"/>
        <v>0</v>
      </c>
      <c r="F67" s="24">
        <f t="shared" si="30"/>
        <v>0</v>
      </c>
      <c r="G67" s="24">
        <f t="shared" si="30"/>
        <v>0</v>
      </c>
      <c r="H67" s="24">
        <f t="shared" si="30"/>
        <v>-3.74</v>
      </c>
      <c r="I67" s="27">
        <f t="shared" si="30"/>
        <v>-7.22</v>
      </c>
      <c r="J67" s="30">
        <f>SUM(D67:I67)</f>
        <v>-10.96</v>
      </c>
      <c r="K67" s="29">
        <f t="shared" ref="K67:P67" si="31">K66-K65</f>
        <v>-0.87</v>
      </c>
      <c r="L67" s="24">
        <f t="shared" si="31"/>
        <v>-3.61</v>
      </c>
      <c r="M67" s="24">
        <f t="shared" si="31"/>
        <v>0</v>
      </c>
      <c r="N67" s="24">
        <f t="shared" si="31"/>
        <v>0</v>
      </c>
      <c r="O67" s="24">
        <f t="shared" si="31"/>
        <v>0</v>
      </c>
      <c r="P67" s="27">
        <f t="shared" si="31"/>
        <v>0</v>
      </c>
      <c r="Q67" s="30">
        <f>SUM(K67:P67)</f>
        <v>-4.4799999999999995</v>
      </c>
      <c r="R67" s="30">
        <f>J67+Q67</f>
        <v>-15.440000000000001</v>
      </c>
      <c r="S67" s="17"/>
    </row>
    <row r="68" spans="1:19" ht="18" customHeight="1" thickBot="1" x14ac:dyDescent="0.25">
      <c r="A68" s="57"/>
      <c r="B68" s="59"/>
      <c r="C68" s="25" t="s">
        <v>30</v>
      </c>
      <c r="D68" s="20"/>
      <c r="E68" s="20"/>
      <c r="F68" s="20"/>
      <c r="G68" s="20"/>
      <c r="H68" s="20"/>
      <c r="I68" s="28"/>
      <c r="J68" s="21">
        <f>I68</f>
        <v>0</v>
      </c>
      <c r="K68" s="22"/>
      <c r="L68" s="20"/>
      <c r="M68" s="20"/>
      <c r="N68" s="20"/>
      <c r="O68" s="20"/>
      <c r="P68" s="28"/>
      <c r="Q68" s="21">
        <f>P68</f>
        <v>0</v>
      </c>
      <c r="R68" s="21">
        <f>Q68</f>
        <v>0</v>
      </c>
      <c r="S68" s="18"/>
    </row>
    <row r="69" spans="1:19" ht="18" customHeight="1" thickBot="1" x14ac:dyDescent="0.25">
      <c r="A69" s="56">
        <v>11</v>
      </c>
      <c r="B69" s="58" t="s">
        <v>113</v>
      </c>
      <c r="C69" s="31" t="s">
        <v>27</v>
      </c>
      <c r="D69" s="8"/>
      <c r="E69" s="8"/>
      <c r="F69" s="8"/>
      <c r="G69" s="8"/>
      <c r="H69" s="8">
        <v>3.74</v>
      </c>
      <c r="I69" s="9">
        <v>7.22</v>
      </c>
      <c r="J69" s="10">
        <f>SUM(D69:I69)</f>
        <v>10.96</v>
      </c>
      <c r="K69" s="11">
        <v>0.87</v>
      </c>
      <c r="L69" s="8">
        <v>3.61</v>
      </c>
      <c r="M69" s="8"/>
      <c r="N69" s="8">
        <v>1</v>
      </c>
      <c r="O69" s="8"/>
      <c r="P69" s="9"/>
      <c r="Q69" s="10">
        <f>SUM(K69:P69)</f>
        <v>5.4799999999999995</v>
      </c>
      <c r="R69" s="10">
        <f>J69+Q69</f>
        <v>16.440000000000001</v>
      </c>
      <c r="S69" s="16"/>
    </row>
    <row r="70" spans="1:19" ht="18" customHeight="1" x14ac:dyDescent="0.2">
      <c r="A70" s="52"/>
      <c r="B70" s="49"/>
      <c r="C70" s="7" t="s">
        <v>28</v>
      </c>
      <c r="D70" s="12"/>
      <c r="E70" s="12"/>
      <c r="F70" s="12"/>
      <c r="G70" s="12"/>
      <c r="H70" s="12"/>
      <c r="I70" s="13"/>
      <c r="J70" s="14">
        <f>SUM(D70:I70)</f>
        <v>0</v>
      </c>
      <c r="K70" s="15"/>
      <c r="L70" s="12"/>
      <c r="M70" s="12"/>
      <c r="N70" s="12"/>
      <c r="O70" s="12"/>
      <c r="P70" s="13"/>
      <c r="Q70" s="14">
        <f>SUM(K70:P70)</f>
        <v>0</v>
      </c>
      <c r="R70" s="14">
        <f>J70+Q70</f>
        <v>0</v>
      </c>
      <c r="S70" s="17"/>
    </row>
    <row r="71" spans="1:19" ht="18" customHeight="1" x14ac:dyDescent="0.2">
      <c r="A71" s="52"/>
      <c r="B71" s="49"/>
      <c r="C71" s="23" t="s">
        <v>29</v>
      </c>
      <c r="D71" s="24">
        <f t="shared" ref="D71:I71" si="32">D70-D69</f>
        <v>0</v>
      </c>
      <c r="E71" s="24">
        <f t="shared" si="32"/>
        <v>0</v>
      </c>
      <c r="F71" s="24">
        <f t="shared" si="32"/>
        <v>0</v>
      </c>
      <c r="G71" s="24">
        <f t="shared" si="32"/>
        <v>0</v>
      </c>
      <c r="H71" s="24">
        <f t="shared" si="32"/>
        <v>-3.74</v>
      </c>
      <c r="I71" s="27">
        <f t="shared" si="32"/>
        <v>-7.22</v>
      </c>
      <c r="J71" s="30">
        <f>SUM(D71:I71)</f>
        <v>-10.96</v>
      </c>
      <c r="K71" s="29">
        <f t="shared" ref="K71:P71" si="33">K70-K69</f>
        <v>-0.87</v>
      </c>
      <c r="L71" s="24">
        <f t="shared" si="33"/>
        <v>-3.61</v>
      </c>
      <c r="M71" s="24">
        <f t="shared" si="33"/>
        <v>0</v>
      </c>
      <c r="N71" s="24">
        <f t="shared" si="33"/>
        <v>-1</v>
      </c>
      <c r="O71" s="24">
        <f t="shared" si="33"/>
        <v>0</v>
      </c>
      <c r="P71" s="27">
        <f t="shared" si="33"/>
        <v>0</v>
      </c>
      <c r="Q71" s="30">
        <f>SUM(K71:P71)</f>
        <v>-5.4799999999999995</v>
      </c>
      <c r="R71" s="30">
        <f>J71+Q71</f>
        <v>-16.440000000000001</v>
      </c>
      <c r="S71" s="17"/>
    </row>
    <row r="72" spans="1:19" ht="18" customHeight="1" thickBot="1" x14ac:dyDescent="0.25">
      <c r="A72" s="57"/>
      <c r="B72" s="59"/>
      <c r="C72" s="25" t="s">
        <v>30</v>
      </c>
      <c r="D72" s="20"/>
      <c r="E72" s="20"/>
      <c r="F72" s="20"/>
      <c r="G72" s="20"/>
      <c r="H72" s="20"/>
      <c r="I72" s="28"/>
      <c r="J72" s="21">
        <f>I72</f>
        <v>0</v>
      </c>
      <c r="K72" s="22"/>
      <c r="L72" s="20"/>
      <c r="M72" s="20"/>
      <c r="N72" s="20"/>
      <c r="O72" s="20"/>
      <c r="P72" s="28"/>
      <c r="Q72" s="21">
        <f>P72</f>
        <v>0</v>
      </c>
      <c r="R72" s="21">
        <f>Q72</f>
        <v>0</v>
      </c>
      <c r="S72" s="18"/>
    </row>
    <row r="73" spans="1:19" ht="18" customHeight="1" thickBot="1" x14ac:dyDescent="0.25">
      <c r="A73" s="56">
        <v>11</v>
      </c>
      <c r="B73" s="58" t="s">
        <v>114</v>
      </c>
      <c r="C73" s="31" t="s">
        <v>27</v>
      </c>
      <c r="D73" s="8"/>
      <c r="E73" s="8"/>
      <c r="F73" s="8">
        <v>0.15</v>
      </c>
      <c r="G73" s="8"/>
      <c r="H73" s="8">
        <v>0.6</v>
      </c>
      <c r="I73" s="9">
        <v>2.99</v>
      </c>
      <c r="J73" s="10">
        <f>SUM(D73:I73)</f>
        <v>3.74</v>
      </c>
      <c r="K73" s="11">
        <v>1.7</v>
      </c>
      <c r="L73" s="8">
        <v>2.35</v>
      </c>
      <c r="M73" s="8">
        <v>3.64</v>
      </c>
      <c r="N73" s="8">
        <v>2.9</v>
      </c>
      <c r="O73" s="8">
        <v>0.66</v>
      </c>
      <c r="P73" s="9">
        <v>3.86</v>
      </c>
      <c r="Q73" s="10">
        <f>SUM(K73:P73)</f>
        <v>15.11</v>
      </c>
      <c r="R73" s="10">
        <f>J73+Q73</f>
        <v>18.850000000000001</v>
      </c>
      <c r="S73" s="16"/>
    </row>
    <row r="74" spans="1:19" ht="18" customHeight="1" x14ac:dyDescent="0.2">
      <c r="A74" s="52"/>
      <c r="B74" s="49"/>
      <c r="C74" s="7" t="s">
        <v>28</v>
      </c>
      <c r="D74" s="12">
        <v>10.220000000000001</v>
      </c>
      <c r="E74" s="12">
        <v>2.2799999999999998</v>
      </c>
      <c r="F74" s="12">
        <v>1.18</v>
      </c>
      <c r="G74" s="12">
        <v>2.2999999999999998</v>
      </c>
      <c r="H74" s="12"/>
      <c r="I74" s="13"/>
      <c r="J74" s="14">
        <f>SUM(D74:I74)</f>
        <v>15.98</v>
      </c>
      <c r="K74" s="15"/>
      <c r="L74" s="12"/>
      <c r="M74" s="12"/>
      <c r="N74" s="12"/>
      <c r="O74" s="12"/>
      <c r="P74" s="13"/>
      <c r="Q74" s="14">
        <f>SUM(K74:P74)</f>
        <v>0</v>
      </c>
      <c r="R74" s="14">
        <f>J74+Q74</f>
        <v>15.98</v>
      </c>
      <c r="S74" s="17"/>
    </row>
    <row r="75" spans="1:19" ht="18" customHeight="1" x14ac:dyDescent="0.2">
      <c r="A75" s="52"/>
      <c r="B75" s="49"/>
      <c r="C75" s="23" t="s">
        <v>29</v>
      </c>
      <c r="D75" s="24">
        <f t="shared" ref="D75:I75" si="34">D74-D73</f>
        <v>10.220000000000001</v>
      </c>
      <c r="E75" s="24">
        <f t="shared" si="34"/>
        <v>2.2799999999999998</v>
      </c>
      <c r="F75" s="24">
        <f t="shared" si="34"/>
        <v>1.03</v>
      </c>
      <c r="G75" s="24">
        <f t="shared" si="34"/>
        <v>2.2999999999999998</v>
      </c>
      <c r="H75" s="24">
        <f t="shared" si="34"/>
        <v>-0.6</v>
      </c>
      <c r="I75" s="27">
        <f t="shared" si="34"/>
        <v>-2.99</v>
      </c>
      <c r="J75" s="30">
        <f>SUM(D75:I75)</f>
        <v>12.239999999999998</v>
      </c>
      <c r="K75" s="29">
        <f t="shared" ref="K75:P75" si="35">K74-K73</f>
        <v>-1.7</v>
      </c>
      <c r="L75" s="24">
        <f t="shared" si="35"/>
        <v>-2.35</v>
      </c>
      <c r="M75" s="24">
        <f t="shared" si="35"/>
        <v>-3.64</v>
      </c>
      <c r="N75" s="24">
        <f t="shared" si="35"/>
        <v>-2.9</v>
      </c>
      <c r="O75" s="24">
        <f t="shared" si="35"/>
        <v>-0.66</v>
      </c>
      <c r="P75" s="27">
        <f t="shared" si="35"/>
        <v>-3.86</v>
      </c>
      <c r="Q75" s="30">
        <f>SUM(K75:P75)</f>
        <v>-15.11</v>
      </c>
      <c r="R75" s="30">
        <f>J75+Q75</f>
        <v>-2.870000000000001</v>
      </c>
      <c r="S75" s="17"/>
    </row>
    <row r="76" spans="1:19" ht="18" customHeight="1" thickBot="1" x14ac:dyDescent="0.25">
      <c r="A76" s="57"/>
      <c r="B76" s="59"/>
      <c r="C76" s="25" t="s">
        <v>30</v>
      </c>
      <c r="D76" s="20"/>
      <c r="E76" s="20"/>
      <c r="F76" s="20"/>
      <c r="G76" s="20"/>
      <c r="H76" s="20"/>
      <c r="I76" s="28"/>
      <c r="J76" s="21">
        <f>I76</f>
        <v>0</v>
      </c>
      <c r="K76" s="22"/>
      <c r="L76" s="20"/>
      <c r="M76" s="20"/>
      <c r="N76" s="20"/>
      <c r="O76" s="20"/>
      <c r="P76" s="28"/>
      <c r="Q76" s="21">
        <f>P76</f>
        <v>0</v>
      </c>
      <c r="R76" s="21">
        <f>Q76</f>
        <v>0</v>
      </c>
      <c r="S76" s="18"/>
    </row>
    <row r="77" spans="1:19" ht="18" customHeight="1" x14ac:dyDescent="0.2">
      <c r="A77" s="51">
        <v>11</v>
      </c>
      <c r="B77" s="48" t="s">
        <v>115</v>
      </c>
      <c r="C77" s="31" t="s">
        <v>27</v>
      </c>
      <c r="D77" s="8"/>
      <c r="E77" s="8"/>
      <c r="F77" s="8"/>
      <c r="G77" s="8">
        <v>0.79</v>
      </c>
      <c r="H77" s="8">
        <v>1.24</v>
      </c>
      <c r="I77" s="9">
        <v>0.84</v>
      </c>
      <c r="J77" s="10">
        <f>SUM(D77:I77)</f>
        <v>2.87</v>
      </c>
      <c r="K77" s="11">
        <v>1.03</v>
      </c>
      <c r="L77" s="8">
        <v>2.3199999999999998</v>
      </c>
      <c r="M77" s="8"/>
      <c r="N77" s="8"/>
      <c r="O77" s="8"/>
      <c r="P77" s="9"/>
      <c r="Q77" s="10">
        <f>SUM(K77:P77)</f>
        <v>3.3499999999999996</v>
      </c>
      <c r="R77" s="10">
        <f>J77+Q77</f>
        <v>6.22</v>
      </c>
      <c r="S77" s="16"/>
    </row>
    <row r="78" spans="1:19" ht="18" customHeight="1" x14ac:dyDescent="0.2">
      <c r="A78" s="52"/>
      <c r="B78" s="49"/>
      <c r="C78" s="7" t="s">
        <v>28</v>
      </c>
      <c r="D78" s="12"/>
      <c r="E78" s="12"/>
      <c r="F78" s="12"/>
      <c r="G78" s="12"/>
      <c r="H78" s="12"/>
      <c r="I78" s="13"/>
      <c r="J78" s="14">
        <f>SUM(D78:I78)</f>
        <v>0</v>
      </c>
      <c r="K78" s="15"/>
      <c r="L78" s="12"/>
      <c r="M78" s="12"/>
      <c r="N78" s="12"/>
      <c r="O78" s="12"/>
      <c r="P78" s="13"/>
      <c r="Q78" s="14">
        <f>SUM(K78:P78)</f>
        <v>0</v>
      </c>
      <c r="R78" s="14">
        <f>J78+Q78</f>
        <v>0</v>
      </c>
      <c r="S78" s="17"/>
    </row>
    <row r="79" spans="1:19" ht="18" customHeight="1" x14ac:dyDescent="0.2">
      <c r="A79" s="52"/>
      <c r="B79" s="49"/>
      <c r="C79" s="23" t="s">
        <v>29</v>
      </c>
      <c r="D79" s="24">
        <f t="shared" ref="D79:I79" si="36">D78-D77</f>
        <v>0</v>
      </c>
      <c r="E79" s="24">
        <f t="shared" si="36"/>
        <v>0</v>
      </c>
      <c r="F79" s="24">
        <f t="shared" si="36"/>
        <v>0</v>
      </c>
      <c r="G79" s="24">
        <f t="shared" si="36"/>
        <v>-0.79</v>
      </c>
      <c r="H79" s="24">
        <f t="shared" si="36"/>
        <v>-1.24</v>
      </c>
      <c r="I79" s="27">
        <f t="shared" si="36"/>
        <v>-0.84</v>
      </c>
      <c r="J79" s="30">
        <f>SUM(D79:I79)</f>
        <v>-2.87</v>
      </c>
      <c r="K79" s="29">
        <f t="shared" ref="K79:P79" si="37">K78-K77</f>
        <v>-1.03</v>
      </c>
      <c r="L79" s="24">
        <f t="shared" si="37"/>
        <v>-2.3199999999999998</v>
      </c>
      <c r="M79" s="24">
        <f t="shared" si="37"/>
        <v>0</v>
      </c>
      <c r="N79" s="24">
        <f t="shared" si="37"/>
        <v>0</v>
      </c>
      <c r="O79" s="24">
        <f t="shared" si="37"/>
        <v>0</v>
      </c>
      <c r="P79" s="27">
        <f t="shared" si="37"/>
        <v>0</v>
      </c>
      <c r="Q79" s="30">
        <f>SUM(K79:P79)</f>
        <v>-3.3499999999999996</v>
      </c>
      <c r="R79" s="30">
        <f>J79+Q79</f>
        <v>-6.22</v>
      </c>
      <c r="S79" s="17"/>
    </row>
    <row r="80" spans="1:19" ht="18" customHeight="1" thickBot="1" x14ac:dyDescent="0.25">
      <c r="A80" s="53"/>
      <c r="B80" s="50"/>
      <c r="C80" s="25" t="s">
        <v>30</v>
      </c>
      <c r="D80" s="20"/>
      <c r="E80" s="20"/>
      <c r="F80" s="20"/>
      <c r="G80" s="20"/>
      <c r="H80" s="20"/>
      <c r="I80" s="28"/>
      <c r="J80" s="21">
        <f>I80</f>
        <v>0</v>
      </c>
      <c r="K80" s="22"/>
      <c r="L80" s="20"/>
      <c r="M80" s="20"/>
      <c r="N80" s="20"/>
      <c r="O80" s="20"/>
      <c r="P80" s="28"/>
      <c r="Q80" s="21">
        <f>P80</f>
        <v>0</v>
      </c>
      <c r="R80" s="21">
        <f>Q80</f>
        <v>0</v>
      </c>
      <c r="S80" s="18"/>
    </row>
    <row r="81" spans="1:19" ht="18" customHeight="1" x14ac:dyDescent="0.2">
      <c r="A81" s="51">
        <v>12</v>
      </c>
      <c r="B81" s="48" t="s">
        <v>116</v>
      </c>
      <c r="C81" s="31" t="s">
        <v>27</v>
      </c>
      <c r="D81" s="8"/>
      <c r="E81" s="8"/>
      <c r="F81" s="8">
        <v>0.78</v>
      </c>
      <c r="G81" s="8">
        <v>0.6</v>
      </c>
      <c r="H81" s="8">
        <v>6.78</v>
      </c>
      <c r="I81" s="9">
        <v>15.6</v>
      </c>
      <c r="J81" s="10">
        <f>SUM(D81:I81)</f>
        <v>23.759999999999998</v>
      </c>
      <c r="K81" s="11">
        <v>0.26</v>
      </c>
      <c r="L81" s="8">
        <v>3.14</v>
      </c>
      <c r="M81" s="8">
        <v>2.8</v>
      </c>
      <c r="N81" s="8">
        <v>0.34</v>
      </c>
      <c r="O81" s="8"/>
      <c r="P81" s="9"/>
      <c r="Q81" s="10">
        <f>SUM(K81:P81)</f>
        <v>6.54</v>
      </c>
      <c r="R81" s="10">
        <f>J81+Q81</f>
        <v>30.299999999999997</v>
      </c>
      <c r="S81" s="16"/>
    </row>
    <row r="82" spans="1:19" ht="18" customHeight="1" x14ac:dyDescent="0.2">
      <c r="A82" s="52"/>
      <c r="B82" s="49"/>
      <c r="C82" s="7" t="s">
        <v>28</v>
      </c>
      <c r="D82" s="12"/>
      <c r="E82" s="12"/>
      <c r="F82" s="12"/>
      <c r="G82" s="12">
        <v>0.67</v>
      </c>
      <c r="H82" s="12"/>
      <c r="I82" s="13"/>
      <c r="J82" s="14">
        <f>SUM(D82:I82)</f>
        <v>0.67</v>
      </c>
      <c r="K82" s="15"/>
      <c r="L82" s="12"/>
      <c r="M82" s="12"/>
      <c r="N82" s="12"/>
      <c r="O82" s="12"/>
      <c r="P82" s="13"/>
      <c r="Q82" s="14">
        <f>SUM(K82:P82)</f>
        <v>0</v>
      </c>
      <c r="R82" s="14">
        <f>J82+Q82</f>
        <v>0.67</v>
      </c>
      <c r="S82" s="17"/>
    </row>
    <row r="83" spans="1:19" ht="18" customHeight="1" x14ac:dyDescent="0.2">
      <c r="A83" s="52"/>
      <c r="B83" s="49"/>
      <c r="C83" s="23" t="s">
        <v>29</v>
      </c>
      <c r="D83" s="24"/>
      <c r="E83" s="24">
        <f>E82-E81</f>
        <v>0</v>
      </c>
      <c r="F83" s="24">
        <f>F82-F81</f>
        <v>-0.78</v>
      </c>
      <c r="G83" s="24">
        <f>G82-G81</f>
        <v>7.0000000000000062E-2</v>
      </c>
      <c r="H83" s="24">
        <f>H82-H81</f>
        <v>-6.78</v>
      </c>
      <c r="I83" s="27">
        <f>I82-I81</f>
        <v>-15.6</v>
      </c>
      <c r="J83" s="30">
        <f>SUM(D83:I83)</f>
        <v>-23.09</v>
      </c>
      <c r="K83" s="29">
        <f t="shared" ref="K83:P83" si="38">K82-K81</f>
        <v>-0.26</v>
      </c>
      <c r="L83" s="24">
        <f t="shared" si="38"/>
        <v>-3.14</v>
      </c>
      <c r="M83" s="24">
        <f t="shared" si="38"/>
        <v>-2.8</v>
      </c>
      <c r="N83" s="24">
        <f t="shared" si="38"/>
        <v>-0.34</v>
      </c>
      <c r="O83" s="24">
        <f t="shared" si="38"/>
        <v>0</v>
      </c>
      <c r="P83" s="27">
        <f t="shared" si="38"/>
        <v>0</v>
      </c>
      <c r="Q83" s="30">
        <f>SUM(K83:P83)</f>
        <v>-6.54</v>
      </c>
      <c r="R83" s="30">
        <f>J83+Q83</f>
        <v>-29.63</v>
      </c>
      <c r="S83" s="17"/>
    </row>
    <row r="84" spans="1:19" ht="18" customHeight="1" thickBot="1" x14ac:dyDescent="0.25">
      <c r="A84" s="53"/>
      <c r="B84" s="50"/>
      <c r="C84" s="25" t="s">
        <v>30</v>
      </c>
      <c r="D84" s="20"/>
      <c r="E84" s="20"/>
      <c r="F84" s="20"/>
      <c r="G84" s="20"/>
      <c r="H84" s="20"/>
      <c r="I84" s="28"/>
      <c r="J84" s="21">
        <f>I84</f>
        <v>0</v>
      </c>
      <c r="K84" s="22"/>
      <c r="L84" s="20"/>
      <c r="M84" s="20"/>
      <c r="N84" s="20"/>
      <c r="O84" s="20"/>
      <c r="P84" s="28"/>
      <c r="Q84" s="21">
        <f>P84</f>
        <v>0</v>
      </c>
      <c r="R84" s="21">
        <f>Q84</f>
        <v>0</v>
      </c>
      <c r="S84" s="18"/>
    </row>
    <row r="85" spans="1:19" ht="18" customHeight="1" thickBot="1" x14ac:dyDescent="0.25">
      <c r="A85" s="56">
        <v>13</v>
      </c>
      <c r="B85" s="58" t="s">
        <v>117</v>
      </c>
      <c r="C85" s="31" t="s">
        <v>27</v>
      </c>
      <c r="D85" s="8"/>
      <c r="E85" s="8"/>
      <c r="F85" s="8"/>
      <c r="G85" s="8">
        <v>2.06</v>
      </c>
      <c r="H85" s="8">
        <v>7.72</v>
      </c>
      <c r="I85" s="9">
        <v>4.25</v>
      </c>
      <c r="J85" s="10">
        <f>SUM(D85:I85)</f>
        <v>14.03</v>
      </c>
      <c r="K85" s="11">
        <v>11.98</v>
      </c>
      <c r="L85" s="8">
        <v>9.98</v>
      </c>
      <c r="M85" s="8"/>
      <c r="N85" s="8"/>
      <c r="O85" s="8"/>
      <c r="P85" s="9"/>
      <c r="Q85" s="10">
        <f>SUM(K85:P85)</f>
        <v>21.96</v>
      </c>
      <c r="R85" s="10">
        <f>J85+Q85</f>
        <v>35.99</v>
      </c>
      <c r="S85" s="16"/>
    </row>
    <row r="86" spans="1:19" ht="18" customHeight="1" x14ac:dyDescent="0.2">
      <c r="A86" s="52"/>
      <c r="B86" s="49"/>
      <c r="C86" s="7" t="s">
        <v>28</v>
      </c>
      <c r="D86" s="12"/>
      <c r="E86" s="12"/>
      <c r="F86" s="12"/>
      <c r="G86" s="12"/>
      <c r="H86" s="12"/>
      <c r="I86" s="13"/>
      <c r="J86" s="14">
        <f>SUM(D86:I86)</f>
        <v>0</v>
      </c>
      <c r="K86" s="15"/>
      <c r="L86" s="12"/>
      <c r="M86" s="12"/>
      <c r="N86" s="12"/>
      <c r="O86" s="12"/>
      <c r="P86" s="13"/>
      <c r="Q86" s="14">
        <f>SUM(K86:P86)</f>
        <v>0</v>
      </c>
      <c r="R86" s="14">
        <f>J86+Q86</f>
        <v>0</v>
      </c>
      <c r="S86" s="17"/>
    </row>
    <row r="87" spans="1:19" ht="18" customHeight="1" x14ac:dyDescent="0.2">
      <c r="A87" s="52"/>
      <c r="B87" s="49"/>
      <c r="C87" s="23" t="s">
        <v>29</v>
      </c>
      <c r="D87" s="24">
        <f t="shared" ref="D87:I87" si="39">D86-D85</f>
        <v>0</v>
      </c>
      <c r="E87" s="24">
        <f t="shared" si="39"/>
        <v>0</v>
      </c>
      <c r="F87" s="24">
        <f t="shared" si="39"/>
        <v>0</v>
      </c>
      <c r="G87" s="24">
        <f t="shared" si="39"/>
        <v>-2.06</v>
      </c>
      <c r="H87" s="24">
        <f t="shared" si="39"/>
        <v>-7.72</v>
      </c>
      <c r="I87" s="27">
        <f t="shared" si="39"/>
        <v>-4.25</v>
      </c>
      <c r="J87" s="30">
        <f>SUM(D87:I87)</f>
        <v>-14.03</v>
      </c>
      <c r="K87" s="29">
        <f t="shared" ref="K87:P87" si="40">K86-K85</f>
        <v>-11.98</v>
      </c>
      <c r="L87" s="24">
        <f t="shared" si="40"/>
        <v>-9.98</v>
      </c>
      <c r="M87" s="24">
        <f t="shared" si="40"/>
        <v>0</v>
      </c>
      <c r="N87" s="24">
        <f t="shared" si="40"/>
        <v>0</v>
      </c>
      <c r="O87" s="24">
        <f t="shared" si="40"/>
        <v>0</v>
      </c>
      <c r="P87" s="27">
        <f t="shared" si="40"/>
        <v>0</v>
      </c>
      <c r="Q87" s="30">
        <f>SUM(K87:P87)</f>
        <v>-21.96</v>
      </c>
      <c r="R87" s="30">
        <f>J87+Q87</f>
        <v>-35.99</v>
      </c>
      <c r="S87" s="17"/>
    </row>
    <row r="88" spans="1:19" ht="18" customHeight="1" thickBot="1" x14ac:dyDescent="0.25">
      <c r="A88" s="57"/>
      <c r="B88" s="59"/>
      <c r="C88" s="25" t="s">
        <v>30</v>
      </c>
      <c r="D88" s="20"/>
      <c r="E88" s="20"/>
      <c r="F88" s="20"/>
      <c r="G88" s="20"/>
      <c r="H88" s="20"/>
      <c r="I88" s="28"/>
      <c r="J88" s="21">
        <f>I88</f>
        <v>0</v>
      </c>
      <c r="K88" s="22"/>
      <c r="L88" s="20"/>
      <c r="M88" s="20"/>
      <c r="N88" s="20"/>
      <c r="O88" s="20"/>
      <c r="P88" s="28"/>
      <c r="Q88" s="21">
        <f>P88</f>
        <v>0</v>
      </c>
      <c r="R88" s="21">
        <f>Q88</f>
        <v>0</v>
      </c>
      <c r="S88" s="18"/>
    </row>
    <row r="89" spans="1:19" ht="18" customHeight="1" thickBot="1" x14ac:dyDescent="0.25">
      <c r="A89" s="56">
        <v>13</v>
      </c>
      <c r="B89" s="58" t="s">
        <v>118</v>
      </c>
      <c r="C89" s="31" t="s">
        <v>27</v>
      </c>
      <c r="D89" s="8"/>
      <c r="E89" s="8"/>
      <c r="F89" s="8">
        <v>1.7</v>
      </c>
      <c r="G89" s="8">
        <v>4.5999999999999996</v>
      </c>
      <c r="H89" s="8">
        <v>3.82</v>
      </c>
      <c r="I89" s="9">
        <v>23.48</v>
      </c>
      <c r="J89" s="10">
        <f>SUM(D89:I89)</f>
        <v>33.6</v>
      </c>
      <c r="K89" s="11">
        <v>2.14</v>
      </c>
      <c r="L89" s="8">
        <v>8.1199999999999992</v>
      </c>
      <c r="M89" s="8">
        <v>1.98</v>
      </c>
      <c r="N89" s="8">
        <v>1.1200000000000001</v>
      </c>
      <c r="O89" s="8">
        <v>0.18</v>
      </c>
      <c r="P89" s="9"/>
      <c r="Q89" s="10">
        <f>SUM(K89:P89)</f>
        <v>13.54</v>
      </c>
      <c r="R89" s="10">
        <f>J89+Q89</f>
        <v>47.14</v>
      </c>
      <c r="S89" s="16"/>
    </row>
    <row r="90" spans="1:19" ht="18" customHeight="1" x14ac:dyDescent="0.2">
      <c r="A90" s="52"/>
      <c r="B90" s="49"/>
      <c r="C90" s="7" t="s">
        <v>28</v>
      </c>
      <c r="D90" s="12"/>
      <c r="E90" s="12"/>
      <c r="F90" s="12"/>
      <c r="G90" s="12"/>
      <c r="H90" s="12"/>
      <c r="I90" s="13"/>
      <c r="J90" s="14">
        <f>SUM(D90:I90)</f>
        <v>0</v>
      </c>
      <c r="K90" s="15"/>
      <c r="L90" s="12"/>
      <c r="M90" s="12"/>
      <c r="N90" s="12"/>
      <c r="O90" s="12"/>
      <c r="P90" s="13"/>
      <c r="Q90" s="14">
        <f>SUM(K90:P90)</f>
        <v>0</v>
      </c>
      <c r="R90" s="14">
        <f>J90+Q90</f>
        <v>0</v>
      </c>
      <c r="S90" s="17"/>
    </row>
    <row r="91" spans="1:19" ht="18" customHeight="1" x14ac:dyDescent="0.2">
      <c r="A91" s="52"/>
      <c r="B91" s="49"/>
      <c r="C91" s="23" t="s">
        <v>29</v>
      </c>
      <c r="D91" s="24">
        <f t="shared" ref="D91:I91" si="41">D90-D89</f>
        <v>0</v>
      </c>
      <c r="E91" s="24">
        <f t="shared" si="41"/>
        <v>0</v>
      </c>
      <c r="F91" s="24">
        <f t="shared" si="41"/>
        <v>-1.7</v>
      </c>
      <c r="G91" s="24">
        <f t="shared" si="41"/>
        <v>-4.5999999999999996</v>
      </c>
      <c r="H91" s="24">
        <f t="shared" si="41"/>
        <v>-3.82</v>
      </c>
      <c r="I91" s="27">
        <f t="shared" si="41"/>
        <v>-23.48</v>
      </c>
      <c r="J91" s="30">
        <f>SUM(D91:I91)</f>
        <v>-33.6</v>
      </c>
      <c r="K91" s="29">
        <f t="shared" ref="K91:P91" si="42">K90-K89</f>
        <v>-2.14</v>
      </c>
      <c r="L91" s="24">
        <f t="shared" si="42"/>
        <v>-8.1199999999999992</v>
      </c>
      <c r="M91" s="24">
        <f t="shared" si="42"/>
        <v>-1.98</v>
      </c>
      <c r="N91" s="24">
        <f t="shared" si="42"/>
        <v>-1.1200000000000001</v>
      </c>
      <c r="O91" s="24">
        <f t="shared" si="42"/>
        <v>-0.18</v>
      </c>
      <c r="P91" s="27">
        <f t="shared" si="42"/>
        <v>0</v>
      </c>
      <c r="Q91" s="30">
        <f>SUM(K91:P91)</f>
        <v>-13.54</v>
      </c>
      <c r="R91" s="30">
        <f>J91+Q91</f>
        <v>-47.14</v>
      </c>
      <c r="S91" s="17"/>
    </row>
    <row r="92" spans="1:19" ht="18" customHeight="1" thickBot="1" x14ac:dyDescent="0.25">
      <c r="A92" s="57"/>
      <c r="B92" s="59"/>
      <c r="C92" s="25" t="s">
        <v>30</v>
      </c>
      <c r="D92" s="20"/>
      <c r="E92" s="20"/>
      <c r="F92" s="20"/>
      <c r="G92" s="20"/>
      <c r="H92" s="20"/>
      <c r="I92" s="28"/>
      <c r="J92" s="21">
        <f>I92</f>
        <v>0</v>
      </c>
      <c r="K92" s="22"/>
      <c r="L92" s="20"/>
      <c r="M92" s="20"/>
      <c r="N92" s="20"/>
      <c r="O92" s="20"/>
      <c r="P92" s="28"/>
      <c r="Q92" s="21">
        <f>P92</f>
        <v>0</v>
      </c>
      <c r="R92" s="21">
        <f>Q92</f>
        <v>0</v>
      </c>
      <c r="S92" s="18"/>
    </row>
    <row r="93" spans="1:19" ht="18" customHeight="1" x14ac:dyDescent="0.2">
      <c r="A93" s="51">
        <v>14</v>
      </c>
      <c r="B93" s="48" t="s">
        <v>119</v>
      </c>
      <c r="C93" s="31" t="s">
        <v>27</v>
      </c>
      <c r="D93" s="8"/>
      <c r="E93" s="8"/>
      <c r="F93" s="8">
        <v>5.7</v>
      </c>
      <c r="G93" s="8">
        <v>11.46</v>
      </c>
      <c r="H93" s="8">
        <v>1.319</v>
      </c>
      <c r="I93" s="9">
        <v>0.7</v>
      </c>
      <c r="J93" s="10">
        <f>SUM(D93:I93)</f>
        <v>19.178999999999998</v>
      </c>
      <c r="K93" s="11">
        <v>1.18</v>
      </c>
      <c r="L93" s="8">
        <v>2.2999999999999998</v>
      </c>
      <c r="M93" s="8"/>
      <c r="N93" s="8"/>
      <c r="O93" s="8"/>
      <c r="P93" s="9"/>
      <c r="Q93" s="10">
        <f>SUM(K93:P93)</f>
        <v>3.4799999999999995</v>
      </c>
      <c r="R93" s="10">
        <f>J93+Q93</f>
        <v>22.658999999999999</v>
      </c>
      <c r="S93" s="16"/>
    </row>
    <row r="94" spans="1:19" ht="18" customHeight="1" x14ac:dyDescent="0.2">
      <c r="A94" s="52"/>
      <c r="B94" s="49"/>
      <c r="C94" s="7" t="s">
        <v>28</v>
      </c>
      <c r="D94" s="12"/>
      <c r="E94" s="12"/>
      <c r="F94" s="12"/>
      <c r="G94" s="12"/>
      <c r="H94" s="12"/>
      <c r="I94" s="13"/>
      <c r="J94" s="14">
        <f>SUM(D94:I94)</f>
        <v>0</v>
      </c>
      <c r="K94" s="15"/>
      <c r="L94" s="12"/>
      <c r="M94" s="12"/>
      <c r="N94" s="12"/>
      <c r="O94" s="12"/>
      <c r="P94" s="13"/>
      <c r="Q94" s="14">
        <f>SUM(K94:P94)</f>
        <v>0</v>
      </c>
      <c r="R94" s="14">
        <f>J94+Q94</f>
        <v>0</v>
      </c>
      <c r="S94" s="17"/>
    </row>
    <row r="95" spans="1:19" ht="18" customHeight="1" x14ac:dyDescent="0.2">
      <c r="A95" s="52"/>
      <c r="B95" s="49"/>
      <c r="C95" s="23" t="s">
        <v>29</v>
      </c>
      <c r="D95" s="24">
        <f t="shared" ref="D95:I95" si="43">D94-D93</f>
        <v>0</v>
      </c>
      <c r="E95" s="24">
        <f t="shared" si="43"/>
        <v>0</v>
      </c>
      <c r="F95" s="24">
        <f t="shared" si="43"/>
        <v>-5.7</v>
      </c>
      <c r="G95" s="24">
        <f t="shared" si="43"/>
        <v>-11.46</v>
      </c>
      <c r="H95" s="24">
        <f t="shared" si="43"/>
        <v>-1.319</v>
      </c>
      <c r="I95" s="27">
        <f t="shared" si="43"/>
        <v>-0.7</v>
      </c>
      <c r="J95" s="30">
        <f>SUM(D95:I95)</f>
        <v>-19.178999999999998</v>
      </c>
      <c r="K95" s="29">
        <f t="shared" ref="K95:P95" si="44">K94-K93</f>
        <v>-1.18</v>
      </c>
      <c r="L95" s="24">
        <f t="shared" si="44"/>
        <v>-2.2999999999999998</v>
      </c>
      <c r="M95" s="24">
        <f t="shared" si="44"/>
        <v>0</v>
      </c>
      <c r="N95" s="24">
        <f t="shared" si="44"/>
        <v>0</v>
      </c>
      <c r="O95" s="24">
        <f t="shared" si="44"/>
        <v>0</v>
      </c>
      <c r="P95" s="27">
        <f t="shared" si="44"/>
        <v>0</v>
      </c>
      <c r="Q95" s="30">
        <f>SUM(K95:P95)</f>
        <v>-3.4799999999999995</v>
      </c>
      <c r="R95" s="30">
        <f>J95+Q95</f>
        <v>-22.658999999999999</v>
      </c>
      <c r="S95" s="17"/>
    </row>
    <row r="96" spans="1:19" ht="18" customHeight="1" thickBot="1" x14ac:dyDescent="0.25">
      <c r="A96" s="53"/>
      <c r="B96" s="50"/>
      <c r="C96" s="25" t="s">
        <v>30</v>
      </c>
      <c r="D96" s="20"/>
      <c r="E96" s="20"/>
      <c r="F96" s="20"/>
      <c r="G96" s="20"/>
      <c r="H96" s="20"/>
      <c r="I96" s="28"/>
      <c r="J96" s="21">
        <f>I96</f>
        <v>0</v>
      </c>
      <c r="K96" s="22"/>
      <c r="L96" s="20"/>
      <c r="M96" s="20"/>
      <c r="N96" s="20"/>
      <c r="O96" s="20"/>
      <c r="P96" s="28"/>
      <c r="Q96" s="21">
        <f>P96</f>
        <v>0</v>
      </c>
      <c r="R96" s="21">
        <f>Q96</f>
        <v>0</v>
      </c>
      <c r="S96" s="18"/>
    </row>
    <row r="97" spans="1:19" ht="18" customHeight="1" x14ac:dyDescent="0.2">
      <c r="A97" s="51">
        <v>14</v>
      </c>
      <c r="B97" s="48" t="s">
        <v>120</v>
      </c>
      <c r="C97" s="31" t="s">
        <v>27</v>
      </c>
      <c r="D97" s="8"/>
      <c r="E97" s="8"/>
      <c r="F97" s="8">
        <v>5.7</v>
      </c>
      <c r="G97" s="8">
        <v>11.46</v>
      </c>
      <c r="H97" s="8">
        <v>5.59</v>
      </c>
      <c r="I97" s="9">
        <v>3.4</v>
      </c>
      <c r="J97" s="10">
        <f>SUM(D97:I97)</f>
        <v>26.15</v>
      </c>
      <c r="K97" s="11">
        <v>2.36</v>
      </c>
      <c r="L97" s="8">
        <v>2.2200000000000002</v>
      </c>
      <c r="M97" s="8">
        <v>2.1800000000000002</v>
      </c>
      <c r="N97" s="8">
        <v>1.82</v>
      </c>
      <c r="O97" s="8">
        <v>0.48</v>
      </c>
      <c r="P97" s="9">
        <v>1.18</v>
      </c>
      <c r="Q97" s="10">
        <f>SUM(K97:P97)</f>
        <v>10.24</v>
      </c>
      <c r="R97" s="10">
        <f>J97+Q97</f>
        <v>36.39</v>
      </c>
      <c r="S97" s="16"/>
    </row>
    <row r="98" spans="1:19" ht="18" customHeight="1" x14ac:dyDescent="0.2">
      <c r="A98" s="52"/>
      <c r="B98" s="49"/>
      <c r="C98" s="7" t="s">
        <v>28</v>
      </c>
      <c r="D98" s="12">
        <v>2.48</v>
      </c>
      <c r="E98" s="12">
        <v>1.98</v>
      </c>
      <c r="F98" s="12">
        <v>1.78</v>
      </c>
      <c r="G98" s="12">
        <v>4.04</v>
      </c>
      <c r="H98" s="12"/>
      <c r="I98" s="13"/>
      <c r="J98" s="14">
        <f>SUM(D98:I98)</f>
        <v>10.280000000000001</v>
      </c>
      <c r="K98" s="15"/>
      <c r="L98" s="12"/>
      <c r="M98" s="12"/>
      <c r="N98" s="12"/>
      <c r="O98" s="12"/>
      <c r="P98" s="13"/>
      <c r="Q98" s="14">
        <f>SUM(K98:P98)</f>
        <v>0</v>
      </c>
      <c r="R98" s="14">
        <f>J98+Q98</f>
        <v>10.280000000000001</v>
      </c>
      <c r="S98" s="17"/>
    </row>
    <row r="99" spans="1:19" ht="18" customHeight="1" x14ac:dyDescent="0.2">
      <c r="A99" s="52"/>
      <c r="B99" s="49"/>
      <c r="C99" s="23" t="s">
        <v>29</v>
      </c>
      <c r="D99" s="24">
        <f t="shared" ref="D99:I99" si="45">D98-D97</f>
        <v>2.48</v>
      </c>
      <c r="E99" s="24">
        <f t="shared" si="45"/>
        <v>1.98</v>
      </c>
      <c r="F99" s="24">
        <f t="shared" si="45"/>
        <v>-3.92</v>
      </c>
      <c r="G99" s="24">
        <f t="shared" si="45"/>
        <v>-7.4200000000000008</v>
      </c>
      <c r="H99" s="24">
        <f t="shared" si="45"/>
        <v>-5.59</v>
      </c>
      <c r="I99" s="27">
        <f t="shared" si="45"/>
        <v>-3.4</v>
      </c>
      <c r="J99" s="30">
        <f>SUM(D99:I99)</f>
        <v>-15.870000000000001</v>
      </c>
      <c r="K99" s="29">
        <f t="shared" ref="K99:P99" si="46">K98-K97</f>
        <v>-2.36</v>
      </c>
      <c r="L99" s="24">
        <f t="shared" si="46"/>
        <v>-2.2200000000000002</v>
      </c>
      <c r="M99" s="24">
        <f t="shared" si="46"/>
        <v>-2.1800000000000002</v>
      </c>
      <c r="N99" s="24">
        <f t="shared" si="46"/>
        <v>-1.82</v>
      </c>
      <c r="O99" s="24">
        <f t="shared" si="46"/>
        <v>-0.48</v>
      </c>
      <c r="P99" s="27">
        <f t="shared" si="46"/>
        <v>-1.18</v>
      </c>
      <c r="Q99" s="30">
        <f>SUM(K99:P99)</f>
        <v>-10.24</v>
      </c>
      <c r="R99" s="30">
        <f>J99+Q99</f>
        <v>-26.11</v>
      </c>
      <c r="S99" s="17"/>
    </row>
    <row r="100" spans="1:19" ht="18" customHeight="1" thickBot="1" x14ac:dyDescent="0.25">
      <c r="A100" s="53"/>
      <c r="B100" s="50"/>
      <c r="C100" s="25" t="s">
        <v>30</v>
      </c>
      <c r="D100" s="20"/>
      <c r="E100" s="20"/>
      <c r="F100" s="20"/>
      <c r="G100" s="20"/>
      <c r="H100" s="20"/>
      <c r="I100" s="28"/>
      <c r="J100" s="21">
        <f>I100</f>
        <v>0</v>
      </c>
      <c r="K100" s="22"/>
      <c r="L100" s="20"/>
      <c r="M100" s="20"/>
      <c r="N100" s="20"/>
      <c r="O100" s="20"/>
      <c r="P100" s="28"/>
      <c r="Q100" s="21">
        <f>P100</f>
        <v>0</v>
      </c>
      <c r="R100" s="21">
        <f>Q100</f>
        <v>0</v>
      </c>
      <c r="S100" s="18"/>
    </row>
    <row r="101" spans="1:19" ht="18" customHeight="1" x14ac:dyDescent="0.2">
      <c r="A101" s="51">
        <v>14</v>
      </c>
      <c r="B101" s="48" t="s">
        <v>121</v>
      </c>
      <c r="C101" s="31" t="s">
        <v>27</v>
      </c>
      <c r="D101" s="8"/>
      <c r="E101" s="8"/>
      <c r="F101" s="8"/>
      <c r="G101" s="8">
        <v>1.81</v>
      </c>
      <c r="H101" s="8">
        <v>2.79</v>
      </c>
      <c r="I101" s="9">
        <v>0.04</v>
      </c>
      <c r="J101" s="10">
        <f>SUM(D101:I101)</f>
        <v>4.6399999999999997</v>
      </c>
      <c r="K101" s="11">
        <v>1.2</v>
      </c>
      <c r="L101" s="8">
        <v>3.89</v>
      </c>
      <c r="M101" s="8"/>
      <c r="N101" s="8"/>
      <c r="O101" s="8"/>
      <c r="P101" s="9"/>
      <c r="Q101" s="10">
        <f>SUM(K101:P101)</f>
        <v>5.09</v>
      </c>
      <c r="R101" s="10">
        <f>J101+Q101</f>
        <v>9.73</v>
      </c>
      <c r="S101" s="16"/>
    </row>
    <row r="102" spans="1:19" ht="18" customHeight="1" x14ac:dyDescent="0.2">
      <c r="A102" s="52"/>
      <c r="B102" s="49"/>
      <c r="C102" s="7" t="s">
        <v>28</v>
      </c>
      <c r="D102" s="12"/>
      <c r="E102" s="12"/>
      <c r="F102" s="12"/>
      <c r="G102" s="12"/>
      <c r="H102" s="12"/>
      <c r="I102" s="13"/>
      <c r="J102" s="14">
        <f>SUM(D102:I102)</f>
        <v>0</v>
      </c>
      <c r="K102" s="15"/>
      <c r="L102" s="12"/>
      <c r="M102" s="12"/>
      <c r="N102" s="12"/>
      <c r="O102" s="12"/>
      <c r="P102" s="13"/>
      <c r="Q102" s="14">
        <f>SUM(K102:P102)</f>
        <v>0</v>
      </c>
      <c r="R102" s="14">
        <f>J102+Q102</f>
        <v>0</v>
      </c>
      <c r="S102" s="17"/>
    </row>
    <row r="103" spans="1:19" ht="18" customHeight="1" x14ac:dyDescent="0.2">
      <c r="A103" s="52"/>
      <c r="B103" s="49"/>
      <c r="C103" s="23" t="s">
        <v>29</v>
      </c>
      <c r="D103" s="24">
        <f t="shared" ref="D103:I103" si="47">D102-D101</f>
        <v>0</v>
      </c>
      <c r="E103" s="24">
        <f t="shared" si="47"/>
        <v>0</v>
      </c>
      <c r="F103" s="24">
        <f t="shared" si="47"/>
        <v>0</v>
      </c>
      <c r="G103" s="24">
        <f t="shared" si="47"/>
        <v>-1.81</v>
      </c>
      <c r="H103" s="24">
        <f t="shared" si="47"/>
        <v>-2.79</v>
      </c>
      <c r="I103" s="27">
        <f t="shared" si="47"/>
        <v>-0.04</v>
      </c>
      <c r="J103" s="30">
        <f>SUM(D103:I103)</f>
        <v>-4.6399999999999997</v>
      </c>
      <c r="K103" s="29">
        <f t="shared" ref="K103:P103" si="48">K102-K101</f>
        <v>-1.2</v>
      </c>
      <c r="L103" s="24">
        <f t="shared" si="48"/>
        <v>-3.89</v>
      </c>
      <c r="M103" s="24">
        <f t="shared" si="48"/>
        <v>0</v>
      </c>
      <c r="N103" s="24">
        <f t="shared" si="48"/>
        <v>0</v>
      </c>
      <c r="O103" s="24">
        <f t="shared" si="48"/>
        <v>0</v>
      </c>
      <c r="P103" s="27">
        <f t="shared" si="48"/>
        <v>0</v>
      </c>
      <c r="Q103" s="30">
        <f>SUM(K103:P103)</f>
        <v>-5.09</v>
      </c>
      <c r="R103" s="30">
        <f>J103+Q103</f>
        <v>-9.73</v>
      </c>
      <c r="S103" s="17"/>
    </row>
    <row r="104" spans="1:19" ht="18" customHeight="1" thickBot="1" x14ac:dyDescent="0.25">
      <c r="A104" s="53"/>
      <c r="B104" s="50"/>
      <c r="C104" s="25" t="s">
        <v>30</v>
      </c>
      <c r="D104" s="20"/>
      <c r="E104" s="20"/>
      <c r="F104" s="20"/>
      <c r="G104" s="20"/>
      <c r="H104" s="20"/>
      <c r="I104" s="28"/>
      <c r="J104" s="21">
        <f>I104</f>
        <v>0</v>
      </c>
      <c r="K104" s="22"/>
      <c r="L104" s="20"/>
      <c r="M104" s="20"/>
      <c r="N104" s="20"/>
      <c r="O104" s="20"/>
      <c r="P104" s="28"/>
      <c r="Q104" s="21">
        <f>P104</f>
        <v>0</v>
      </c>
      <c r="R104" s="21">
        <f>Q104</f>
        <v>0</v>
      </c>
      <c r="S104" s="18"/>
    </row>
    <row r="105" spans="1:19" ht="18" customHeight="1" x14ac:dyDescent="0.2">
      <c r="A105" s="51">
        <v>15</v>
      </c>
      <c r="B105" s="48" t="s">
        <v>122</v>
      </c>
      <c r="C105" s="31" t="s">
        <v>27</v>
      </c>
      <c r="D105" s="8"/>
      <c r="E105" s="8"/>
      <c r="F105" s="8">
        <v>1.22</v>
      </c>
      <c r="G105" s="8">
        <v>0.77400000000000002</v>
      </c>
      <c r="H105" s="8">
        <v>0.86</v>
      </c>
      <c r="I105" s="9">
        <v>1.22</v>
      </c>
      <c r="J105" s="10">
        <f>SUM(D105:I105)</f>
        <v>4.0739999999999998</v>
      </c>
      <c r="K105" s="11">
        <v>1.46</v>
      </c>
      <c r="L105" s="8">
        <v>1.82</v>
      </c>
      <c r="M105" s="8"/>
      <c r="N105" s="8"/>
      <c r="O105" s="8"/>
      <c r="P105" s="9"/>
      <c r="Q105" s="10">
        <f>SUM(K105:P105)</f>
        <v>3.2800000000000002</v>
      </c>
      <c r="R105" s="10">
        <f>J105+Q105</f>
        <v>7.3540000000000001</v>
      </c>
      <c r="S105" s="16"/>
    </row>
    <row r="106" spans="1:19" ht="18" customHeight="1" x14ac:dyDescent="0.2">
      <c r="A106" s="52"/>
      <c r="B106" s="49"/>
      <c r="C106" s="7" t="s">
        <v>28</v>
      </c>
      <c r="D106" s="12">
        <v>0.59000000000000008</v>
      </c>
      <c r="E106" s="12"/>
      <c r="F106" s="12">
        <v>1.02</v>
      </c>
      <c r="G106" s="12">
        <v>1.64</v>
      </c>
      <c r="H106" s="12"/>
      <c r="I106" s="13"/>
      <c r="J106" s="14">
        <f>SUM(D106:I106)</f>
        <v>3.25</v>
      </c>
      <c r="K106" s="15"/>
      <c r="L106" s="12"/>
      <c r="M106" s="12"/>
      <c r="N106" s="12"/>
      <c r="O106" s="12"/>
      <c r="P106" s="13"/>
      <c r="Q106" s="14">
        <f>SUM(K106:P106)</f>
        <v>0</v>
      </c>
      <c r="R106" s="14">
        <f>J106+Q106</f>
        <v>3.25</v>
      </c>
      <c r="S106" s="17"/>
    </row>
    <row r="107" spans="1:19" ht="18" customHeight="1" x14ac:dyDescent="0.2">
      <c r="A107" s="52"/>
      <c r="B107" s="49"/>
      <c r="C107" s="23" t="s">
        <v>29</v>
      </c>
      <c r="D107" s="24">
        <f t="shared" ref="D107:I107" si="49">D106-D105</f>
        <v>0.59000000000000008</v>
      </c>
      <c r="E107" s="24">
        <f t="shared" si="49"/>
        <v>0</v>
      </c>
      <c r="F107" s="24">
        <f t="shared" si="49"/>
        <v>-0.19999999999999996</v>
      </c>
      <c r="G107" s="24">
        <f t="shared" si="49"/>
        <v>0.86599999999999988</v>
      </c>
      <c r="H107" s="24">
        <f t="shared" si="49"/>
        <v>-0.86</v>
      </c>
      <c r="I107" s="27">
        <f t="shared" si="49"/>
        <v>-1.22</v>
      </c>
      <c r="J107" s="30">
        <f>SUM(D107:I107)</f>
        <v>-0.82399999999999995</v>
      </c>
      <c r="K107" s="29">
        <f t="shared" ref="K107:P107" si="50">K106-K105</f>
        <v>-1.46</v>
      </c>
      <c r="L107" s="24">
        <f t="shared" si="50"/>
        <v>-1.82</v>
      </c>
      <c r="M107" s="24">
        <f t="shared" si="50"/>
        <v>0</v>
      </c>
      <c r="N107" s="24">
        <f t="shared" si="50"/>
        <v>0</v>
      </c>
      <c r="O107" s="24">
        <f t="shared" si="50"/>
        <v>0</v>
      </c>
      <c r="P107" s="27">
        <f t="shared" si="50"/>
        <v>0</v>
      </c>
      <c r="Q107" s="30">
        <f>SUM(K107:P107)</f>
        <v>-3.2800000000000002</v>
      </c>
      <c r="R107" s="30">
        <f>J107+Q107</f>
        <v>-4.1040000000000001</v>
      </c>
      <c r="S107" s="17"/>
    </row>
    <row r="108" spans="1:19" ht="18" customHeight="1" thickBot="1" x14ac:dyDescent="0.25">
      <c r="A108" s="53"/>
      <c r="B108" s="50"/>
      <c r="C108" s="25" t="s">
        <v>30</v>
      </c>
      <c r="D108" s="20"/>
      <c r="E108" s="20"/>
      <c r="F108" s="20"/>
      <c r="G108" s="20"/>
      <c r="H108" s="20"/>
      <c r="I108" s="28"/>
      <c r="J108" s="21">
        <f>I108</f>
        <v>0</v>
      </c>
      <c r="K108" s="22"/>
      <c r="L108" s="20"/>
      <c r="M108" s="20"/>
      <c r="N108" s="20"/>
      <c r="O108" s="20"/>
      <c r="P108" s="28"/>
      <c r="Q108" s="21">
        <f>P108</f>
        <v>0</v>
      </c>
      <c r="R108" s="21">
        <f>Q108</f>
        <v>0</v>
      </c>
      <c r="S108" s="18"/>
    </row>
    <row r="109" spans="1:19" ht="18" customHeight="1" x14ac:dyDescent="0.2">
      <c r="A109" s="51">
        <v>15</v>
      </c>
      <c r="B109" s="48" t="s">
        <v>123</v>
      </c>
      <c r="C109" s="31" t="s">
        <v>27</v>
      </c>
      <c r="D109" s="8"/>
      <c r="E109" s="8"/>
      <c r="F109" s="8"/>
      <c r="G109" s="8"/>
      <c r="H109" s="8">
        <v>0.42</v>
      </c>
      <c r="I109" s="9">
        <v>0.36</v>
      </c>
      <c r="J109" s="10">
        <f>SUM(D109:I109)</f>
        <v>0.78</v>
      </c>
      <c r="K109" s="11">
        <v>1.1599999999999999</v>
      </c>
      <c r="L109" s="8">
        <v>1.19</v>
      </c>
      <c r="M109" s="8"/>
      <c r="N109" s="8"/>
      <c r="O109" s="8"/>
      <c r="P109" s="9"/>
      <c r="Q109" s="10">
        <f>SUM(K109:P109)</f>
        <v>2.3499999999999996</v>
      </c>
      <c r="R109" s="10">
        <f>J109+Q109</f>
        <v>3.13</v>
      </c>
      <c r="S109" s="16"/>
    </row>
    <row r="110" spans="1:19" ht="18" customHeight="1" x14ac:dyDescent="0.2">
      <c r="A110" s="52"/>
      <c r="B110" s="49"/>
      <c r="C110" s="7" t="s">
        <v>28</v>
      </c>
      <c r="D110" s="12"/>
      <c r="E110" s="12"/>
      <c r="F110" s="12"/>
      <c r="G110" s="12"/>
      <c r="H110" s="12"/>
      <c r="I110" s="13"/>
      <c r="J110" s="14">
        <f>SUM(D110:I110)</f>
        <v>0</v>
      </c>
      <c r="K110" s="15"/>
      <c r="L110" s="12"/>
      <c r="M110" s="12"/>
      <c r="N110" s="12"/>
      <c r="O110" s="12"/>
      <c r="P110" s="13"/>
      <c r="Q110" s="14">
        <f>SUM(K110:P110)</f>
        <v>0</v>
      </c>
      <c r="R110" s="14">
        <f>J110+Q110</f>
        <v>0</v>
      </c>
      <c r="S110" s="17"/>
    </row>
    <row r="111" spans="1:19" ht="18" customHeight="1" x14ac:dyDescent="0.2">
      <c r="A111" s="52"/>
      <c r="B111" s="49"/>
      <c r="C111" s="23" t="s">
        <v>29</v>
      </c>
      <c r="D111" s="24">
        <f t="shared" ref="D111:I111" si="51">D110-D109</f>
        <v>0</v>
      </c>
      <c r="E111" s="24">
        <f t="shared" si="51"/>
        <v>0</v>
      </c>
      <c r="F111" s="24">
        <f t="shared" si="51"/>
        <v>0</v>
      </c>
      <c r="G111" s="24">
        <f t="shared" si="51"/>
        <v>0</v>
      </c>
      <c r="H111" s="24">
        <f t="shared" si="51"/>
        <v>-0.42</v>
      </c>
      <c r="I111" s="27">
        <f t="shared" si="51"/>
        <v>-0.36</v>
      </c>
      <c r="J111" s="30">
        <f>SUM(D111:I111)</f>
        <v>-0.78</v>
      </c>
      <c r="K111" s="29">
        <f t="shared" ref="K111:P111" si="52">K110-K109</f>
        <v>-1.1599999999999999</v>
      </c>
      <c r="L111" s="24">
        <f t="shared" si="52"/>
        <v>-1.19</v>
      </c>
      <c r="M111" s="24">
        <f t="shared" si="52"/>
        <v>0</v>
      </c>
      <c r="N111" s="24">
        <f t="shared" si="52"/>
        <v>0</v>
      </c>
      <c r="O111" s="24">
        <f t="shared" si="52"/>
        <v>0</v>
      </c>
      <c r="P111" s="27">
        <f t="shared" si="52"/>
        <v>0</v>
      </c>
      <c r="Q111" s="30">
        <f>SUM(K111:P111)</f>
        <v>-2.3499999999999996</v>
      </c>
      <c r="R111" s="30">
        <f>J111+Q111</f>
        <v>-3.13</v>
      </c>
      <c r="S111" s="17"/>
    </row>
    <row r="112" spans="1:19" ht="18" customHeight="1" thickBot="1" x14ac:dyDescent="0.25">
      <c r="A112" s="53"/>
      <c r="B112" s="50"/>
      <c r="C112" s="25" t="s">
        <v>30</v>
      </c>
      <c r="D112" s="20"/>
      <c r="E112" s="20"/>
      <c r="F112" s="20"/>
      <c r="G112" s="20"/>
      <c r="H112" s="20"/>
      <c r="I112" s="28"/>
      <c r="J112" s="21">
        <f>I112</f>
        <v>0</v>
      </c>
      <c r="K112" s="22"/>
      <c r="L112" s="20"/>
      <c r="M112" s="20"/>
      <c r="N112" s="20"/>
      <c r="O112" s="20"/>
      <c r="P112" s="28"/>
      <c r="Q112" s="21">
        <f>P112</f>
        <v>0</v>
      </c>
      <c r="R112" s="21">
        <f>Q112</f>
        <v>0</v>
      </c>
      <c r="S112" s="18"/>
    </row>
    <row r="113" spans="1:19" ht="18" customHeight="1" x14ac:dyDescent="0.2">
      <c r="A113" s="51">
        <v>16</v>
      </c>
      <c r="B113" s="48" t="s">
        <v>124</v>
      </c>
      <c r="C113" s="31" t="s">
        <v>27</v>
      </c>
      <c r="D113" s="8"/>
      <c r="E113" s="8"/>
      <c r="F113" s="8">
        <v>1.1599999999999999</v>
      </c>
      <c r="G113" s="8">
        <v>0.62</v>
      </c>
      <c r="H113" s="8"/>
      <c r="I113" s="9">
        <v>1.1399999999999999</v>
      </c>
      <c r="J113" s="10">
        <f>SUM(D113:I113)</f>
        <v>2.92</v>
      </c>
      <c r="K113" s="11">
        <v>1.02</v>
      </c>
      <c r="L113" s="8"/>
      <c r="M113" s="8"/>
      <c r="N113" s="8"/>
      <c r="O113" s="8"/>
      <c r="P113" s="9"/>
      <c r="Q113" s="10">
        <f>SUM(K113:P113)</f>
        <v>1.02</v>
      </c>
      <c r="R113" s="10">
        <f>J113+Q113</f>
        <v>3.94</v>
      </c>
      <c r="S113" s="16"/>
    </row>
    <row r="114" spans="1:19" ht="18" customHeight="1" x14ac:dyDescent="0.2">
      <c r="A114" s="52"/>
      <c r="B114" s="49"/>
      <c r="C114" s="7" t="s">
        <v>28</v>
      </c>
      <c r="D114" s="12"/>
      <c r="E114" s="12"/>
      <c r="F114" s="12"/>
      <c r="G114" s="12">
        <v>2.3199999999999998</v>
      </c>
      <c r="H114" s="12"/>
      <c r="I114" s="13"/>
      <c r="J114" s="14">
        <f>SUM(D114:I114)</f>
        <v>2.3199999999999998</v>
      </c>
      <c r="K114" s="15"/>
      <c r="L114" s="12"/>
      <c r="M114" s="12"/>
      <c r="N114" s="12"/>
      <c r="O114" s="12"/>
      <c r="P114" s="13"/>
      <c r="Q114" s="14">
        <f>SUM(K114:P114)</f>
        <v>0</v>
      </c>
      <c r="R114" s="14">
        <f>J114+Q114</f>
        <v>2.3199999999999998</v>
      </c>
      <c r="S114" s="17"/>
    </row>
    <row r="115" spans="1:19" ht="18" customHeight="1" x14ac:dyDescent="0.2">
      <c r="A115" s="52"/>
      <c r="B115" s="49"/>
      <c r="C115" s="23" t="s">
        <v>29</v>
      </c>
      <c r="D115" s="24">
        <f t="shared" ref="D115:I115" si="53">D114-D113</f>
        <v>0</v>
      </c>
      <c r="E115" s="24">
        <f t="shared" si="53"/>
        <v>0</v>
      </c>
      <c r="F115" s="24">
        <f t="shared" si="53"/>
        <v>-1.1599999999999999</v>
      </c>
      <c r="G115" s="24">
        <f t="shared" si="53"/>
        <v>1.6999999999999997</v>
      </c>
      <c r="H115" s="24">
        <f t="shared" si="53"/>
        <v>0</v>
      </c>
      <c r="I115" s="27">
        <f t="shared" si="53"/>
        <v>-1.1399999999999999</v>
      </c>
      <c r="J115" s="30">
        <f>SUM(D115:I115)</f>
        <v>-0.60000000000000009</v>
      </c>
      <c r="K115" s="29">
        <f t="shared" ref="K115:P115" si="54">K114-K113</f>
        <v>-1.02</v>
      </c>
      <c r="L115" s="24">
        <f t="shared" si="54"/>
        <v>0</v>
      </c>
      <c r="M115" s="24">
        <f t="shared" si="54"/>
        <v>0</v>
      </c>
      <c r="N115" s="24">
        <f t="shared" si="54"/>
        <v>0</v>
      </c>
      <c r="O115" s="24">
        <f t="shared" si="54"/>
        <v>0</v>
      </c>
      <c r="P115" s="27">
        <f t="shared" si="54"/>
        <v>0</v>
      </c>
      <c r="Q115" s="30">
        <f>SUM(K115:P115)</f>
        <v>-1.02</v>
      </c>
      <c r="R115" s="30">
        <f>J115+Q115</f>
        <v>-1.62</v>
      </c>
      <c r="S115" s="17"/>
    </row>
    <row r="116" spans="1:19" ht="18" customHeight="1" thickBot="1" x14ac:dyDescent="0.25">
      <c r="A116" s="53"/>
      <c r="B116" s="50"/>
      <c r="C116" s="25" t="s">
        <v>30</v>
      </c>
      <c r="D116" s="20"/>
      <c r="E116" s="20"/>
      <c r="F116" s="20"/>
      <c r="G116" s="20"/>
      <c r="H116" s="20"/>
      <c r="I116" s="28"/>
      <c r="J116" s="21">
        <f>I116</f>
        <v>0</v>
      </c>
      <c r="K116" s="22"/>
      <c r="L116" s="20"/>
      <c r="M116" s="20"/>
      <c r="N116" s="20"/>
      <c r="O116" s="20"/>
      <c r="P116" s="28"/>
      <c r="Q116" s="21">
        <f>P116</f>
        <v>0</v>
      </c>
      <c r="R116" s="21">
        <f>Q116</f>
        <v>0</v>
      </c>
      <c r="S116" s="18"/>
    </row>
    <row r="117" spans="1:19" ht="18" customHeight="1" x14ac:dyDescent="0.2">
      <c r="A117" s="51">
        <v>16</v>
      </c>
      <c r="B117" s="48" t="s">
        <v>125</v>
      </c>
      <c r="C117" s="31" t="s">
        <v>27</v>
      </c>
      <c r="D117" s="8"/>
      <c r="E117" s="8"/>
      <c r="F117" s="8"/>
      <c r="G117" s="8"/>
      <c r="H117" s="8">
        <v>0.85</v>
      </c>
      <c r="I117" s="9">
        <v>0.66</v>
      </c>
      <c r="J117" s="10">
        <f>SUM(D117:I117)</f>
        <v>1.51</v>
      </c>
      <c r="K117" s="11"/>
      <c r="L117" s="8">
        <v>1.59</v>
      </c>
      <c r="M117" s="8"/>
      <c r="N117" s="8"/>
      <c r="O117" s="8"/>
      <c r="P117" s="9"/>
      <c r="Q117" s="10">
        <f>SUM(K117:P117)</f>
        <v>1.59</v>
      </c>
      <c r="R117" s="10">
        <f>J117+Q117</f>
        <v>3.1</v>
      </c>
      <c r="S117" s="16"/>
    </row>
    <row r="118" spans="1:19" ht="18" customHeight="1" x14ac:dyDescent="0.2">
      <c r="A118" s="52"/>
      <c r="B118" s="49"/>
      <c r="C118" s="7" t="s">
        <v>28</v>
      </c>
      <c r="D118" s="12"/>
      <c r="E118" s="12"/>
      <c r="F118" s="12"/>
      <c r="G118" s="12"/>
      <c r="H118" s="12"/>
      <c r="I118" s="13"/>
      <c r="J118" s="14">
        <f>SUM(D118:I118)</f>
        <v>0</v>
      </c>
      <c r="K118" s="15"/>
      <c r="L118" s="12"/>
      <c r="M118" s="12"/>
      <c r="N118" s="12"/>
      <c r="O118" s="12"/>
      <c r="P118" s="13"/>
      <c r="Q118" s="14">
        <f>SUM(K118:P118)</f>
        <v>0</v>
      </c>
      <c r="R118" s="14">
        <f>J118+Q118</f>
        <v>0</v>
      </c>
      <c r="S118" s="17"/>
    </row>
    <row r="119" spans="1:19" ht="18" customHeight="1" x14ac:dyDescent="0.2">
      <c r="A119" s="52"/>
      <c r="B119" s="49"/>
      <c r="C119" s="23" t="s">
        <v>29</v>
      </c>
      <c r="D119" s="24">
        <f t="shared" ref="D119:I119" si="55">D118-D117</f>
        <v>0</v>
      </c>
      <c r="E119" s="24">
        <f t="shared" si="55"/>
        <v>0</v>
      </c>
      <c r="F119" s="24">
        <f t="shared" si="55"/>
        <v>0</v>
      </c>
      <c r="G119" s="24">
        <f t="shared" si="55"/>
        <v>0</v>
      </c>
      <c r="H119" s="24">
        <f t="shared" si="55"/>
        <v>-0.85</v>
      </c>
      <c r="I119" s="27">
        <f t="shared" si="55"/>
        <v>-0.66</v>
      </c>
      <c r="J119" s="30">
        <f>SUM(D119:I119)</f>
        <v>-1.51</v>
      </c>
      <c r="K119" s="29">
        <f t="shared" ref="K119:P119" si="56">K118-K117</f>
        <v>0</v>
      </c>
      <c r="L119" s="24">
        <f t="shared" si="56"/>
        <v>-1.59</v>
      </c>
      <c r="M119" s="24">
        <f t="shared" si="56"/>
        <v>0</v>
      </c>
      <c r="N119" s="24">
        <f t="shared" si="56"/>
        <v>0</v>
      </c>
      <c r="O119" s="24">
        <f t="shared" si="56"/>
        <v>0</v>
      </c>
      <c r="P119" s="27">
        <f t="shared" si="56"/>
        <v>0</v>
      </c>
      <c r="Q119" s="30">
        <f>SUM(K119:P119)</f>
        <v>-1.59</v>
      </c>
      <c r="R119" s="30">
        <f>J119+Q119</f>
        <v>-3.1</v>
      </c>
      <c r="S119" s="17"/>
    </row>
    <row r="120" spans="1:19" ht="18" customHeight="1" thickBot="1" x14ac:dyDescent="0.25">
      <c r="A120" s="53"/>
      <c r="B120" s="50"/>
      <c r="C120" s="25" t="s">
        <v>30</v>
      </c>
      <c r="D120" s="20"/>
      <c r="E120" s="20"/>
      <c r="F120" s="20"/>
      <c r="G120" s="20"/>
      <c r="H120" s="20"/>
      <c r="I120" s="28"/>
      <c r="J120" s="21">
        <f>I120</f>
        <v>0</v>
      </c>
      <c r="K120" s="22"/>
      <c r="L120" s="20"/>
      <c r="M120" s="20"/>
      <c r="N120" s="20"/>
      <c r="O120" s="20"/>
      <c r="P120" s="28"/>
      <c r="Q120" s="21">
        <f>P120</f>
        <v>0</v>
      </c>
      <c r="R120" s="21">
        <f>Q120</f>
        <v>0</v>
      </c>
      <c r="S120" s="18"/>
    </row>
    <row r="121" spans="1:19" ht="18" customHeight="1" thickBot="1" x14ac:dyDescent="0.25">
      <c r="A121" s="51">
        <v>17</v>
      </c>
      <c r="B121" s="48" t="s">
        <v>126</v>
      </c>
      <c r="C121" s="31" t="s">
        <v>27</v>
      </c>
      <c r="D121" s="8"/>
      <c r="E121" s="8"/>
      <c r="F121" s="8">
        <v>1.04</v>
      </c>
      <c r="G121" s="8">
        <v>2.82</v>
      </c>
      <c r="H121" s="8">
        <v>3.42</v>
      </c>
      <c r="I121" s="9">
        <v>3.48</v>
      </c>
      <c r="J121" s="10">
        <f>SUM(D121:I121)</f>
        <v>10.76</v>
      </c>
      <c r="K121" s="11">
        <v>2.82</v>
      </c>
      <c r="L121" s="8">
        <v>2.48</v>
      </c>
      <c r="M121" s="8">
        <v>0.9</v>
      </c>
      <c r="N121" s="8"/>
      <c r="O121" s="8"/>
      <c r="P121" s="9"/>
      <c r="Q121" s="10">
        <f>SUM(K121:P121)</f>
        <v>6.2</v>
      </c>
      <c r="R121" s="10">
        <f>J121+Q121</f>
        <v>16.96</v>
      </c>
      <c r="S121" s="16"/>
    </row>
    <row r="122" spans="1:19" ht="18" customHeight="1" x14ac:dyDescent="0.2">
      <c r="A122" s="52"/>
      <c r="B122" s="49"/>
      <c r="C122" s="7" t="s">
        <v>28</v>
      </c>
      <c r="D122" s="12"/>
      <c r="E122" s="12"/>
      <c r="F122" s="12"/>
      <c r="G122" s="12"/>
      <c r="H122" s="12"/>
      <c r="I122" s="13"/>
      <c r="J122" s="14">
        <f>SUM(D122:I122)</f>
        <v>0</v>
      </c>
      <c r="K122" s="15"/>
      <c r="L122" s="12"/>
      <c r="M122" s="12"/>
      <c r="N122" s="8"/>
      <c r="O122" s="12"/>
      <c r="P122" s="13"/>
      <c r="Q122" s="14">
        <f>SUM(K122:P122)</f>
        <v>0</v>
      </c>
      <c r="R122" s="14">
        <f>J122+Q122</f>
        <v>0</v>
      </c>
      <c r="S122" s="17"/>
    </row>
    <row r="123" spans="1:19" ht="18" customHeight="1" x14ac:dyDescent="0.2">
      <c r="A123" s="52"/>
      <c r="B123" s="49"/>
      <c r="C123" s="23" t="s">
        <v>29</v>
      </c>
      <c r="D123" s="24">
        <f t="shared" ref="D123:I123" si="57">D122-D121</f>
        <v>0</v>
      </c>
      <c r="E123" s="24">
        <f t="shared" si="57"/>
        <v>0</v>
      </c>
      <c r="F123" s="24">
        <f t="shared" si="57"/>
        <v>-1.04</v>
      </c>
      <c r="G123" s="24">
        <f t="shared" si="57"/>
        <v>-2.82</v>
      </c>
      <c r="H123" s="24">
        <f t="shared" si="57"/>
        <v>-3.42</v>
      </c>
      <c r="I123" s="27">
        <f t="shared" si="57"/>
        <v>-3.48</v>
      </c>
      <c r="J123" s="30">
        <f>SUM(D123:I123)</f>
        <v>-10.76</v>
      </c>
      <c r="K123" s="29">
        <f t="shared" ref="K123:P123" si="58">K122-K121</f>
        <v>-2.82</v>
      </c>
      <c r="L123" s="46">
        <f t="shared" si="58"/>
        <v>-2.48</v>
      </c>
      <c r="M123" s="24">
        <f t="shared" si="58"/>
        <v>-0.9</v>
      </c>
      <c r="N123" s="24">
        <f t="shared" si="58"/>
        <v>0</v>
      </c>
      <c r="O123" s="24">
        <f t="shared" si="58"/>
        <v>0</v>
      </c>
      <c r="P123" s="27">
        <f t="shared" si="58"/>
        <v>0</v>
      </c>
      <c r="Q123" s="30">
        <f>SUM(K123:P123)</f>
        <v>-6.2</v>
      </c>
      <c r="R123" s="30">
        <f>J123+Q123</f>
        <v>-16.96</v>
      </c>
      <c r="S123" s="17"/>
    </row>
    <row r="124" spans="1:19" ht="18" customHeight="1" thickBot="1" x14ac:dyDescent="0.25">
      <c r="A124" s="53"/>
      <c r="B124" s="50"/>
      <c r="C124" s="25" t="s">
        <v>30</v>
      </c>
      <c r="D124" s="20"/>
      <c r="E124" s="20"/>
      <c r="F124" s="20"/>
      <c r="G124" s="20"/>
      <c r="H124" s="20"/>
      <c r="I124" s="28"/>
      <c r="J124" s="21">
        <f>I124</f>
        <v>0</v>
      </c>
      <c r="K124" s="22"/>
      <c r="L124" s="20"/>
      <c r="M124" s="20"/>
      <c r="N124" s="20"/>
      <c r="O124" s="20"/>
      <c r="P124" s="28"/>
      <c r="Q124" s="21">
        <f>P124</f>
        <v>0</v>
      </c>
      <c r="R124" s="21">
        <f>Q124</f>
        <v>0</v>
      </c>
      <c r="S124" s="18"/>
    </row>
    <row r="125" spans="1:19" ht="18" customHeight="1" x14ac:dyDescent="0.2">
      <c r="A125" s="51">
        <v>17</v>
      </c>
      <c r="B125" s="48" t="s">
        <v>127</v>
      </c>
      <c r="C125" s="31" t="s">
        <v>27</v>
      </c>
      <c r="D125" s="8"/>
      <c r="E125" s="8"/>
      <c r="F125" s="8"/>
      <c r="G125" s="8">
        <v>0.87</v>
      </c>
      <c r="H125" s="8">
        <v>1.02</v>
      </c>
      <c r="I125" s="9">
        <v>0.3</v>
      </c>
      <c r="J125" s="10">
        <f>SUM(D125:I125)</f>
        <v>2.19</v>
      </c>
      <c r="K125" s="11">
        <v>0.54</v>
      </c>
      <c r="L125" s="8">
        <v>1.53</v>
      </c>
      <c r="M125" s="8"/>
      <c r="N125" s="8"/>
      <c r="O125" s="8"/>
      <c r="P125" s="9"/>
      <c r="Q125" s="10">
        <f>SUM(K125:P125)</f>
        <v>2.0700000000000003</v>
      </c>
      <c r="R125" s="10">
        <f>J125+Q125</f>
        <v>4.26</v>
      </c>
      <c r="S125" s="16"/>
    </row>
    <row r="126" spans="1:19" ht="18" customHeight="1" x14ac:dyDescent="0.2">
      <c r="A126" s="52"/>
      <c r="B126" s="49"/>
      <c r="C126" s="7" t="s">
        <v>28</v>
      </c>
      <c r="D126" s="12"/>
      <c r="E126" s="12"/>
      <c r="F126" s="12"/>
      <c r="G126" s="12"/>
      <c r="H126" s="12"/>
      <c r="I126" s="13"/>
      <c r="J126" s="14">
        <f>SUM(D126:I126)</f>
        <v>0</v>
      </c>
      <c r="K126" s="15"/>
      <c r="L126" s="12"/>
      <c r="M126" s="12"/>
      <c r="N126" s="12"/>
      <c r="O126" s="12"/>
      <c r="P126" s="13"/>
      <c r="Q126" s="14">
        <f>SUM(K126:P126)</f>
        <v>0</v>
      </c>
      <c r="R126" s="14">
        <f>J126+Q126</f>
        <v>0</v>
      </c>
      <c r="S126" s="17"/>
    </row>
    <row r="127" spans="1:19" ht="18" customHeight="1" x14ac:dyDescent="0.2">
      <c r="A127" s="52"/>
      <c r="B127" s="49"/>
      <c r="C127" s="23" t="s">
        <v>29</v>
      </c>
      <c r="D127" s="24">
        <f t="shared" ref="D127:I127" si="59">D126-D125</f>
        <v>0</v>
      </c>
      <c r="E127" s="24">
        <f t="shared" si="59"/>
        <v>0</v>
      </c>
      <c r="F127" s="24">
        <f t="shared" si="59"/>
        <v>0</v>
      </c>
      <c r="G127" s="24">
        <f t="shared" si="59"/>
        <v>-0.87</v>
      </c>
      <c r="H127" s="24">
        <f t="shared" si="59"/>
        <v>-1.02</v>
      </c>
      <c r="I127" s="27">
        <f t="shared" si="59"/>
        <v>-0.3</v>
      </c>
      <c r="J127" s="30">
        <f>SUM(D127:I127)</f>
        <v>-2.19</v>
      </c>
      <c r="K127" s="29">
        <f t="shared" ref="K127:P127" si="60">K126-K125</f>
        <v>-0.54</v>
      </c>
      <c r="L127" s="24">
        <f t="shared" si="60"/>
        <v>-1.53</v>
      </c>
      <c r="M127" s="24">
        <f t="shared" si="60"/>
        <v>0</v>
      </c>
      <c r="N127" s="24">
        <f t="shared" si="60"/>
        <v>0</v>
      </c>
      <c r="O127" s="24">
        <f t="shared" si="60"/>
        <v>0</v>
      </c>
      <c r="P127" s="27">
        <f t="shared" si="60"/>
        <v>0</v>
      </c>
      <c r="Q127" s="30">
        <f>SUM(K127:P127)</f>
        <v>-2.0700000000000003</v>
      </c>
      <c r="R127" s="30">
        <f>J127+Q127</f>
        <v>-4.26</v>
      </c>
      <c r="S127" s="17"/>
    </row>
    <row r="128" spans="1:19" ht="18" customHeight="1" thickBot="1" x14ac:dyDescent="0.25">
      <c r="A128" s="53"/>
      <c r="B128" s="50"/>
      <c r="C128" s="25" t="s">
        <v>30</v>
      </c>
      <c r="D128" s="20"/>
      <c r="E128" s="20"/>
      <c r="F128" s="20"/>
      <c r="G128" s="20"/>
      <c r="H128" s="20"/>
      <c r="I128" s="28"/>
      <c r="J128" s="21">
        <f>I128</f>
        <v>0</v>
      </c>
      <c r="K128" s="22"/>
      <c r="L128" s="20"/>
      <c r="M128" s="20"/>
      <c r="N128" s="20"/>
      <c r="O128" s="20"/>
      <c r="P128" s="28"/>
      <c r="Q128" s="21">
        <f>P128</f>
        <v>0</v>
      </c>
      <c r="R128" s="21">
        <f>Q128</f>
        <v>0</v>
      </c>
      <c r="S128" s="18"/>
    </row>
    <row r="129" spans="1:19" ht="18" customHeight="1" x14ac:dyDescent="0.2">
      <c r="A129" s="51">
        <v>18</v>
      </c>
      <c r="B129" s="48" t="s">
        <v>128</v>
      </c>
      <c r="C129" s="31" t="s">
        <v>27</v>
      </c>
      <c r="D129" s="8"/>
      <c r="E129" s="8"/>
      <c r="F129" s="8">
        <v>0.76</v>
      </c>
      <c r="G129" s="8">
        <v>0.6</v>
      </c>
      <c r="H129" s="8"/>
      <c r="I129" s="9">
        <v>0.86</v>
      </c>
      <c r="J129" s="10">
        <f>SUM(D129:I129)</f>
        <v>2.2199999999999998</v>
      </c>
      <c r="K129" s="11">
        <v>0.48</v>
      </c>
      <c r="L129" s="8">
        <v>1.5</v>
      </c>
      <c r="M129" s="8"/>
      <c r="N129" s="8"/>
      <c r="O129" s="8"/>
      <c r="P129" s="9"/>
      <c r="Q129" s="10">
        <f>SUM(K129:P129)</f>
        <v>1.98</v>
      </c>
      <c r="R129" s="10">
        <f>J129+Q129</f>
        <v>4.1999999999999993</v>
      </c>
      <c r="S129" s="16"/>
    </row>
    <row r="130" spans="1:19" ht="18" customHeight="1" x14ac:dyDescent="0.2">
      <c r="A130" s="52"/>
      <c r="B130" s="49"/>
      <c r="C130" s="7" t="s">
        <v>28</v>
      </c>
      <c r="D130" s="12"/>
      <c r="E130" s="12"/>
      <c r="F130" s="12"/>
      <c r="G130" s="12"/>
      <c r="H130" s="12"/>
      <c r="I130" s="13"/>
      <c r="J130" s="14">
        <f>SUM(D130:I130)</f>
        <v>0</v>
      </c>
      <c r="K130" s="15"/>
      <c r="L130" s="12"/>
      <c r="M130" s="12"/>
      <c r="N130" s="12"/>
      <c r="O130" s="12"/>
      <c r="P130" s="13"/>
      <c r="Q130" s="14">
        <f>SUM(K130:P130)</f>
        <v>0</v>
      </c>
      <c r="R130" s="14">
        <f>J130+Q130</f>
        <v>0</v>
      </c>
      <c r="S130" s="17"/>
    </row>
    <row r="131" spans="1:19" ht="18" customHeight="1" x14ac:dyDescent="0.2">
      <c r="A131" s="52"/>
      <c r="B131" s="49"/>
      <c r="C131" s="23" t="s">
        <v>29</v>
      </c>
      <c r="D131" s="24">
        <f t="shared" ref="D131:I131" si="61">D130-D129</f>
        <v>0</v>
      </c>
      <c r="E131" s="24">
        <f t="shared" si="61"/>
        <v>0</v>
      </c>
      <c r="F131" s="24">
        <f t="shared" si="61"/>
        <v>-0.76</v>
      </c>
      <c r="G131" s="24">
        <f t="shared" si="61"/>
        <v>-0.6</v>
      </c>
      <c r="H131" s="24">
        <f t="shared" si="61"/>
        <v>0</v>
      </c>
      <c r="I131" s="27">
        <f t="shared" si="61"/>
        <v>-0.86</v>
      </c>
      <c r="J131" s="30">
        <f>SUM(D131:I131)</f>
        <v>-2.2199999999999998</v>
      </c>
      <c r="K131" s="29">
        <f t="shared" ref="K131:P131" si="62">K130-K129</f>
        <v>-0.48</v>
      </c>
      <c r="L131" s="24">
        <f t="shared" si="62"/>
        <v>-1.5</v>
      </c>
      <c r="M131" s="24">
        <f t="shared" si="62"/>
        <v>0</v>
      </c>
      <c r="N131" s="24">
        <f t="shared" si="62"/>
        <v>0</v>
      </c>
      <c r="O131" s="24">
        <f t="shared" si="62"/>
        <v>0</v>
      </c>
      <c r="P131" s="27">
        <f t="shared" si="62"/>
        <v>0</v>
      </c>
      <c r="Q131" s="30">
        <f>SUM(K131:P131)</f>
        <v>-1.98</v>
      </c>
      <c r="R131" s="30">
        <f>J131+Q131</f>
        <v>-4.1999999999999993</v>
      </c>
      <c r="S131" s="17"/>
    </row>
    <row r="132" spans="1:19" ht="18" customHeight="1" thickBot="1" x14ac:dyDescent="0.25">
      <c r="A132" s="53"/>
      <c r="B132" s="50"/>
      <c r="C132" s="25" t="s">
        <v>30</v>
      </c>
      <c r="D132" s="20"/>
      <c r="E132" s="20"/>
      <c r="F132" s="20"/>
      <c r="G132" s="20"/>
      <c r="H132" s="20"/>
      <c r="I132" s="28"/>
      <c r="J132" s="21">
        <f>I132</f>
        <v>0</v>
      </c>
      <c r="K132" s="22"/>
      <c r="L132" s="20"/>
      <c r="M132" s="20"/>
      <c r="N132" s="20"/>
      <c r="O132" s="20"/>
      <c r="P132" s="28"/>
      <c r="Q132" s="21">
        <f>P132</f>
        <v>0</v>
      </c>
      <c r="R132" s="21">
        <f>Q132</f>
        <v>0</v>
      </c>
      <c r="S132" s="18"/>
    </row>
    <row r="133" spans="1:19" ht="18" customHeight="1" x14ac:dyDescent="0.2">
      <c r="A133" s="51">
        <v>18</v>
      </c>
      <c r="B133" s="48" t="s">
        <v>129</v>
      </c>
      <c r="C133" s="31" t="s">
        <v>27</v>
      </c>
      <c r="D133" s="8"/>
      <c r="E133" s="8"/>
      <c r="F133" s="8"/>
      <c r="G133" s="8"/>
      <c r="H133" s="8">
        <v>7.5</v>
      </c>
      <c r="I133" s="9">
        <v>4.9800000000000004</v>
      </c>
      <c r="J133" s="10">
        <f>SUM(D133:I133)</f>
        <v>12.48</v>
      </c>
      <c r="K133" s="11">
        <v>6.13</v>
      </c>
      <c r="L133" s="8">
        <v>1.53</v>
      </c>
      <c r="M133" s="8"/>
      <c r="N133" s="8"/>
      <c r="O133" s="8"/>
      <c r="P133" s="9"/>
      <c r="Q133" s="10">
        <f>SUM(K133:P133)</f>
        <v>7.66</v>
      </c>
      <c r="R133" s="10">
        <f>J133+Q133</f>
        <v>20.14</v>
      </c>
      <c r="S133" s="16"/>
    </row>
    <row r="134" spans="1:19" ht="18" customHeight="1" x14ac:dyDescent="0.2">
      <c r="A134" s="52"/>
      <c r="B134" s="49"/>
      <c r="C134" s="7" t="s">
        <v>28</v>
      </c>
      <c r="D134" s="12"/>
      <c r="E134" s="12"/>
      <c r="F134" s="12"/>
      <c r="G134" s="12"/>
      <c r="H134" s="12"/>
      <c r="I134" s="13"/>
      <c r="J134" s="14">
        <f>SUM(D134:I134)</f>
        <v>0</v>
      </c>
      <c r="K134" s="15"/>
      <c r="L134" s="12"/>
      <c r="M134" s="12"/>
      <c r="N134" s="12"/>
      <c r="O134" s="12"/>
      <c r="P134" s="13"/>
      <c r="Q134" s="14">
        <f>SUM(K134:P134)</f>
        <v>0</v>
      </c>
      <c r="R134" s="14">
        <f>J134+Q134</f>
        <v>0</v>
      </c>
      <c r="S134" s="17"/>
    </row>
    <row r="135" spans="1:19" ht="18" customHeight="1" x14ac:dyDescent="0.2">
      <c r="A135" s="52"/>
      <c r="B135" s="49"/>
      <c r="C135" s="23" t="s">
        <v>29</v>
      </c>
      <c r="D135" s="24">
        <f t="shared" ref="D135:I135" si="63">D134-D133</f>
        <v>0</v>
      </c>
      <c r="E135" s="24">
        <f t="shared" si="63"/>
        <v>0</v>
      </c>
      <c r="F135" s="24">
        <f t="shared" si="63"/>
        <v>0</v>
      </c>
      <c r="G135" s="24">
        <f t="shared" si="63"/>
        <v>0</v>
      </c>
      <c r="H135" s="24">
        <f t="shared" si="63"/>
        <v>-7.5</v>
      </c>
      <c r="I135" s="27">
        <f t="shared" si="63"/>
        <v>-4.9800000000000004</v>
      </c>
      <c r="J135" s="30">
        <f>SUM(D135:I135)</f>
        <v>-12.48</v>
      </c>
      <c r="K135" s="29">
        <f t="shared" ref="K135:P135" si="64">K134-K133</f>
        <v>-6.13</v>
      </c>
      <c r="L135" s="24">
        <f t="shared" si="64"/>
        <v>-1.53</v>
      </c>
      <c r="M135" s="24">
        <f t="shared" si="64"/>
        <v>0</v>
      </c>
      <c r="N135" s="24">
        <f t="shared" si="64"/>
        <v>0</v>
      </c>
      <c r="O135" s="24">
        <f t="shared" si="64"/>
        <v>0</v>
      </c>
      <c r="P135" s="27">
        <f t="shared" si="64"/>
        <v>0</v>
      </c>
      <c r="Q135" s="30">
        <f>SUM(K135:P135)</f>
        <v>-7.66</v>
      </c>
      <c r="R135" s="30">
        <f>J135+Q135</f>
        <v>-20.14</v>
      </c>
      <c r="S135" s="17"/>
    </row>
    <row r="136" spans="1:19" ht="18" customHeight="1" thickBot="1" x14ac:dyDescent="0.25">
      <c r="A136" s="53"/>
      <c r="B136" s="50"/>
      <c r="C136" s="25" t="s">
        <v>30</v>
      </c>
      <c r="D136" s="20"/>
      <c r="E136" s="20"/>
      <c r="F136" s="20"/>
      <c r="G136" s="20"/>
      <c r="H136" s="20"/>
      <c r="I136" s="28"/>
      <c r="J136" s="21">
        <f>I136</f>
        <v>0</v>
      </c>
      <c r="K136" s="22"/>
      <c r="L136" s="20"/>
      <c r="M136" s="20"/>
      <c r="N136" s="20"/>
      <c r="O136" s="20"/>
      <c r="P136" s="28"/>
      <c r="Q136" s="21">
        <f>P136</f>
        <v>0</v>
      </c>
      <c r="R136" s="21">
        <f>Q136</f>
        <v>0</v>
      </c>
      <c r="S136" s="18"/>
    </row>
    <row r="137" spans="1:19" ht="18" customHeight="1" x14ac:dyDescent="0.2">
      <c r="A137" s="51">
        <v>19</v>
      </c>
      <c r="B137" s="48" t="s">
        <v>130</v>
      </c>
      <c r="C137" s="31" t="s">
        <v>27</v>
      </c>
      <c r="D137" s="8"/>
      <c r="E137" s="8"/>
      <c r="F137" s="8">
        <v>1.17</v>
      </c>
      <c r="G137" s="8">
        <v>1.82</v>
      </c>
      <c r="H137" s="8">
        <v>1.08</v>
      </c>
      <c r="I137" s="9">
        <v>3.8</v>
      </c>
      <c r="J137" s="10">
        <f>SUM(D137:I137)</f>
        <v>7.87</v>
      </c>
      <c r="K137" s="11">
        <v>1.36</v>
      </c>
      <c r="L137" s="8"/>
      <c r="M137" s="8">
        <v>1.54</v>
      </c>
      <c r="N137" s="8"/>
      <c r="O137" s="8"/>
      <c r="P137" s="9"/>
      <c r="Q137" s="10">
        <f>SUM(K137:P137)</f>
        <v>2.9000000000000004</v>
      </c>
      <c r="R137" s="10">
        <f>J137+Q137</f>
        <v>10.77</v>
      </c>
      <c r="S137" s="16"/>
    </row>
    <row r="138" spans="1:19" ht="18" customHeight="1" x14ac:dyDescent="0.2">
      <c r="A138" s="52"/>
      <c r="B138" s="49"/>
      <c r="C138" s="7" t="s">
        <v>28</v>
      </c>
      <c r="D138" s="12">
        <v>2.56</v>
      </c>
      <c r="E138" s="12"/>
      <c r="F138" s="12"/>
      <c r="G138" s="12">
        <v>1.89</v>
      </c>
      <c r="H138" s="12"/>
      <c r="I138" s="13"/>
      <c r="J138" s="14">
        <f>SUM(D138:I138)</f>
        <v>4.45</v>
      </c>
      <c r="K138" s="15"/>
      <c r="L138" s="12"/>
      <c r="M138" s="12"/>
      <c r="N138" s="12"/>
      <c r="O138" s="12"/>
      <c r="P138" s="13"/>
      <c r="Q138" s="14">
        <f>SUM(K138:P138)</f>
        <v>0</v>
      </c>
      <c r="R138" s="14">
        <f>J138+Q138</f>
        <v>4.45</v>
      </c>
      <c r="S138" s="17"/>
    </row>
    <row r="139" spans="1:19" ht="18" customHeight="1" x14ac:dyDescent="0.2">
      <c r="A139" s="52"/>
      <c r="B139" s="49"/>
      <c r="C139" s="23" t="s">
        <v>29</v>
      </c>
      <c r="D139" s="24">
        <f t="shared" ref="D139:I139" si="65">D138-D137</f>
        <v>2.56</v>
      </c>
      <c r="E139" s="24">
        <f t="shared" si="65"/>
        <v>0</v>
      </c>
      <c r="F139" s="24">
        <f t="shared" si="65"/>
        <v>-1.17</v>
      </c>
      <c r="G139" s="24">
        <f t="shared" si="65"/>
        <v>6.999999999999984E-2</v>
      </c>
      <c r="H139" s="24">
        <f t="shared" si="65"/>
        <v>-1.08</v>
      </c>
      <c r="I139" s="27">
        <f t="shared" si="65"/>
        <v>-3.8</v>
      </c>
      <c r="J139" s="30">
        <f>SUM(D139:I139)</f>
        <v>-3.42</v>
      </c>
      <c r="K139" s="29">
        <f t="shared" ref="K139:P139" si="66">K138-K137</f>
        <v>-1.36</v>
      </c>
      <c r="L139" s="24">
        <f t="shared" si="66"/>
        <v>0</v>
      </c>
      <c r="M139" s="24">
        <f t="shared" si="66"/>
        <v>-1.54</v>
      </c>
      <c r="N139" s="24">
        <f t="shared" si="66"/>
        <v>0</v>
      </c>
      <c r="O139" s="24">
        <f t="shared" si="66"/>
        <v>0</v>
      </c>
      <c r="P139" s="27">
        <f t="shared" si="66"/>
        <v>0</v>
      </c>
      <c r="Q139" s="30">
        <f>SUM(K139:P139)</f>
        <v>-2.9000000000000004</v>
      </c>
      <c r="R139" s="30">
        <f>J139+Q139</f>
        <v>-6.32</v>
      </c>
      <c r="S139" s="17"/>
    </row>
    <row r="140" spans="1:19" ht="18" customHeight="1" thickBot="1" x14ac:dyDescent="0.25">
      <c r="A140" s="53"/>
      <c r="B140" s="50"/>
      <c r="C140" s="25" t="s">
        <v>30</v>
      </c>
      <c r="D140" s="20"/>
      <c r="E140" s="20"/>
      <c r="F140" s="20"/>
      <c r="G140" s="20"/>
      <c r="H140" s="20"/>
      <c r="I140" s="28"/>
      <c r="J140" s="21">
        <f>I140</f>
        <v>0</v>
      </c>
      <c r="K140" s="22"/>
      <c r="L140" s="20"/>
      <c r="M140" s="20"/>
      <c r="N140" s="20"/>
      <c r="O140" s="20"/>
      <c r="P140" s="28"/>
      <c r="Q140" s="21">
        <f>P140</f>
        <v>0</v>
      </c>
      <c r="R140" s="21">
        <f>Q140</f>
        <v>0</v>
      </c>
      <c r="S140" s="18"/>
    </row>
    <row r="141" spans="1:19" ht="18" customHeight="1" x14ac:dyDescent="0.2">
      <c r="A141" s="51">
        <v>20</v>
      </c>
      <c r="B141" s="48" t="s">
        <v>131</v>
      </c>
      <c r="C141" s="31" t="s">
        <v>27</v>
      </c>
      <c r="D141" s="8"/>
      <c r="E141" s="8"/>
      <c r="F141" s="8">
        <v>1.72</v>
      </c>
      <c r="G141" s="8">
        <v>2.72</v>
      </c>
      <c r="H141" s="8">
        <v>0.98</v>
      </c>
      <c r="I141" s="9">
        <v>2.66</v>
      </c>
      <c r="J141" s="10">
        <f>SUM(D141:I141)</f>
        <v>8.08</v>
      </c>
      <c r="K141" s="11">
        <v>1.42</v>
      </c>
      <c r="L141" s="8"/>
      <c r="M141" s="8"/>
      <c r="N141" s="8">
        <v>0.26</v>
      </c>
      <c r="O141" s="8"/>
      <c r="P141" s="9">
        <v>3.3</v>
      </c>
      <c r="Q141" s="10">
        <f>SUM(K141:P141)</f>
        <v>4.9799999999999995</v>
      </c>
      <c r="R141" s="10">
        <f>J141+Q141</f>
        <v>13.059999999999999</v>
      </c>
      <c r="S141" s="16"/>
    </row>
    <row r="142" spans="1:19" ht="18" customHeight="1" x14ac:dyDescent="0.2">
      <c r="A142" s="52"/>
      <c r="B142" s="49"/>
      <c r="C142" s="7" t="s">
        <v>28</v>
      </c>
      <c r="D142" s="12"/>
      <c r="E142" s="12"/>
      <c r="F142" s="12"/>
      <c r="G142" s="12"/>
      <c r="H142" s="12"/>
      <c r="I142" s="13"/>
      <c r="J142" s="14">
        <f>SUM(D142:I142)</f>
        <v>0</v>
      </c>
      <c r="K142" s="15"/>
      <c r="L142" s="12"/>
      <c r="M142" s="12"/>
      <c r="N142" s="12"/>
      <c r="O142" s="12"/>
      <c r="P142" s="13"/>
      <c r="Q142" s="14">
        <f>SUM(K142:P142)</f>
        <v>0</v>
      </c>
      <c r="R142" s="14">
        <f>J142+Q142</f>
        <v>0</v>
      </c>
      <c r="S142" s="17"/>
    </row>
    <row r="143" spans="1:19" ht="18" customHeight="1" x14ac:dyDescent="0.2">
      <c r="A143" s="52"/>
      <c r="B143" s="49"/>
      <c r="C143" s="23" t="s">
        <v>29</v>
      </c>
      <c r="D143" s="24">
        <f t="shared" ref="D143:I143" si="67">D142-D141</f>
        <v>0</v>
      </c>
      <c r="E143" s="24">
        <f t="shared" si="67"/>
        <v>0</v>
      </c>
      <c r="F143" s="24">
        <f t="shared" si="67"/>
        <v>-1.72</v>
      </c>
      <c r="G143" s="24">
        <f t="shared" si="67"/>
        <v>-2.72</v>
      </c>
      <c r="H143" s="24">
        <f t="shared" si="67"/>
        <v>-0.98</v>
      </c>
      <c r="I143" s="27">
        <f t="shared" si="67"/>
        <v>-2.66</v>
      </c>
      <c r="J143" s="30">
        <f>SUM(D143:I143)</f>
        <v>-8.08</v>
      </c>
      <c r="K143" s="29">
        <f t="shared" ref="K143:P143" si="68">K142-K141</f>
        <v>-1.42</v>
      </c>
      <c r="L143" s="24">
        <f t="shared" si="68"/>
        <v>0</v>
      </c>
      <c r="M143" s="24">
        <f t="shared" si="68"/>
        <v>0</v>
      </c>
      <c r="N143" s="24">
        <f t="shared" si="68"/>
        <v>-0.26</v>
      </c>
      <c r="O143" s="24">
        <f t="shared" si="68"/>
        <v>0</v>
      </c>
      <c r="P143" s="27">
        <f t="shared" si="68"/>
        <v>-3.3</v>
      </c>
      <c r="Q143" s="30">
        <f>SUM(K143:P143)</f>
        <v>-4.9799999999999995</v>
      </c>
      <c r="R143" s="30">
        <f>J143+Q143</f>
        <v>-13.059999999999999</v>
      </c>
      <c r="S143" s="17"/>
    </row>
    <row r="144" spans="1:19" ht="18" customHeight="1" thickBot="1" x14ac:dyDescent="0.25">
      <c r="A144" s="53"/>
      <c r="B144" s="50"/>
      <c r="C144" s="25" t="s">
        <v>30</v>
      </c>
      <c r="D144" s="20"/>
      <c r="E144" s="20"/>
      <c r="F144" s="20"/>
      <c r="G144" s="20"/>
      <c r="H144" s="20"/>
      <c r="I144" s="28"/>
      <c r="J144" s="21">
        <f>I144</f>
        <v>0</v>
      </c>
      <c r="K144" s="22"/>
      <c r="L144" s="20"/>
      <c r="M144" s="20"/>
      <c r="N144" s="20"/>
      <c r="O144" s="20"/>
      <c r="P144" s="28"/>
      <c r="Q144" s="21">
        <f>P144</f>
        <v>0</v>
      </c>
      <c r="R144" s="21">
        <f>Q144</f>
        <v>0</v>
      </c>
      <c r="S144" s="18"/>
    </row>
    <row r="145" spans="1:19" ht="18" customHeight="1" x14ac:dyDescent="0.2">
      <c r="A145" s="51">
        <v>21</v>
      </c>
      <c r="B145" s="48"/>
      <c r="C145" s="31" t="s">
        <v>27</v>
      </c>
      <c r="D145" s="8"/>
      <c r="E145" s="8"/>
      <c r="F145" s="8"/>
      <c r="G145" s="8"/>
      <c r="H145" s="8"/>
      <c r="I145" s="9"/>
      <c r="J145" s="10">
        <f>SUM(D145:I145)</f>
        <v>0</v>
      </c>
      <c r="K145" s="11"/>
      <c r="L145" s="8"/>
      <c r="M145" s="8"/>
      <c r="N145" s="8"/>
      <c r="O145" s="8"/>
      <c r="P145" s="9"/>
      <c r="Q145" s="10">
        <f>SUM(K145:P145)</f>
        <v>0</v>
      </c>
      <c r="R145" s="10">
        <f>J145+Q145</f>
        <v>0</v>
      </c>
      <c r="S145" s="16"/>
    </row>
    <row r="146" spans="1:19" ht="18" customHeight="1" x14ac:dyDescent="0.2">
      <c r="A146" s="52"/>
      <c r="B146" s="49"/>
      <c r="C146" s="7" t="s">
        <v>28</v>
      </c>
      <c r="D146" s="12"/>
      <c r="E146" s="12"/>
      <c r="F146" s="12"/>
      <c r="G146" s="12"/>
      <c r="H146" s="12"/>
      <c r="I146" s="13"/>
      <c r="J146" s="14">
        <f>SUM(D146:I146)</f>
        <v>0</v>
      </c>
      <c r="K146" s="15"/>
      <c r="L146" s="12"/>
      <c r="M146" s="12"/>
      <c r="N146" s="12"/>
      <c r="O146" s="12"/>
      <c r="P146" s="13"/>
      <c r="Q146" s="14">
        <f>SUM(K146:P146)</f>
        <v>0</v>
      </c>
      <c r="R146" s="14">
        <f>J146+Q146</f>
        <v>0</v>
      </c>
      <c r="S146" s="17"/>
    </row>
    <row r="147" spans="1:19" ht="18" customHeight="1" x14ac:dyDescent="0.2">
      <c r="A147" s="52"/>
      <c r="B147" s="49"/>
      <c r="C147" s="23" t="s">
        <v>29</v>
      </c>
      <c r="D147" s="24">
        <f t="shared" ref="D147:I147" si="69">D146-D145</f>
        <v>0</v>
      </c>
      <c r="E147" s="24">
        <f t="shared" si="69"/>
        <v>0</v>
      </c>
      <c r="F147" s="24">
        <f t="shared" si="69"/>
        <v>0</v>
      </c>
      <c r="G147" s="24">
        <f t="shared" si="69"/>
        <v>0</v>
      </c>
      <c r="H147" s="24">
        <f t="shared" si="69"/>
        <v>0</v>
      </c>
      <c r="I147" s="27">
        <f t="shared" si="69"/>
        <v>0</v>
      </c>
      <c r="J147" s="30">
        <f>SUM(D147:I147)</f>
        <v>0</v>
      </c>
      <c r="K147" s="29">
        <f t="shared" ref="K147:P147" si="70">K146-K145</f>
        <v>0</v>
      </c>
      <c r="L147" s="24">
        <f t="shared" si="70"/>
        <v>0</v>
      </c>
      <c r="M147" s="24">
        <f t="shared" si="70"/>
        <v>0</v>
      </c>
      <c r="N147" s="24">
        <f t="shared" si="70"/>
        <v>0</v>
      </c>
      <c r="O147" s="24">
        <f t="shared" si="70"/>
        <v>0</v>
      </c>
      <c r="P147" s="27">
        <f t="shared" si="70"/>
        <v>0</v>
      </c>
      <c r="Q147" s="30">
        <f>SUM(K147:P147)</f>
        <v>0</v>
      </c>
      <c r="R147" s="30">
        <f>J147+Q147</f>
        <v>0</v>
      </c>
      <c r="S147" s="17"/>
    </row>
    <row r="148" spans="1:19" ht="18" customHeight="1" thickBot="1" x14ac:dyDescent="0.25">
      <c r="A148" s="53"/>
      <c r="B148" s="50"/>
      <c r="C148" s="25" t="s">
        <v>30</v>
      </c>
      <c r="D148" s="20"/>
      <c r="E148" s="20"/>
      <c r="F148" s="20"/>
      <c r="G148" s="20"/>
      <c r="H148" s="20"/>
      <c r="I148" s="28"/>
      <c r="J148" s="21">
        <f>I148</f>
        <v>0</v>
      </c>
      <c r="K148" s="22"/>
      <c r="L148" s="20"/>
      <c r="M148" s="20"/>
      <c r="N148" s="20"/>
      <c r="O148" s="20"/>
      <c r="P148" s="28"/>
      <c r="Q148" s="21">
        <f>P148</f>
        <v>0</v>
      </c>
      <c r="R148" s="21">
        <f>Q148</f>
        <v>0</v>
      </c>
      <c r="S148" s="18"/>
    </row>
    <row r="149" spans="1:19" ht="18" customHeight="1" x14ac:dyDescent="0.2">
      <c r="A149" s="51">
        <v>22</v>
      </c>
      <c r="B149" s="48"/>
      <c r="C149" s="31" t="s">
        <v>27</v>
      </c>
      <c r="D149" s="8"/>
      <c r="E149" s="8"/>
      <c r="F149" s="8"/>
      <c r="G149" s="8"/>
      <c r="H149" s="8"/>
      <c r="I149" s="9"/>
      <c r="J149" s="10">
        <f>SUM(D149:I149)</f>
        <v>0</v>
      </c>
      <c r="K149" s="11"/>
      <c r="L149" s="8"/>
      <c r="M149" s="8"/>
      <c r="N149" s="8"/>
      <c r="O149" s="8"/>
      <c r="P149" s="9"/>
      <c r="Q149" s="10">
        <f>SUM(K149:P149)</f>
        <v>0</v>
      </c>
      <c r="R149" s="10">
        <f>J149+Q149</f>
        <v>0</v>
      </c>
      <c r="S149" s="16"/>
    </row>
    <row r="150" spans="1:19" ht="18" customHeight="1" x14ac:dyDescent="0.2">
      <c r="A150" s="52"/>
      <c r="B150" s="49"/>
      <c r="C150" s="7" t="s">
        <v>28</v>
      </c>
      <c r="D150" s="12"/>
      <c r="E150" s="12"/>
      <c r="F150" s="12"/>
      <c r="G150" s="12"/>
      <c r="H150" s="12"/>
      <c r="I150" s="13"/>
      <c r="J150" s="14">
        <f>SUM(D150:I150)</f>
        <v>0</v>
      </c>
      <c r="K150" s="15"/>
      <c r="L150" s="12"/>
      <c r="M150" s="12"/>
      <c r="N150" s="12"/>
      <c r="O150" s="12"/>
      <c r="P150" s="13"/>
      <c r="Q150" s="14">
        <f>SUM(K150:P150)</f>
        <v>0</v>
      </c>
      <c r="R150" s="14">
        <f>J150+Q150</f>
        <v>0</v>
      </c>
      <c r="S150" s="17"/>
    </row>
    <row r="151" spans="1:19" ht="18" customHeight="1" x14ac:dyDescent="0.2">
      <c r="A151" s="52"/>
      <c r="B151" s="49"/>
      <c r="C151" s="23" t="s">
        <v>29</v>
      </c>
      <c r="D151" s="24">
        <f t="shared" ref="D151:I151" si="71">D150-D149</f>
        <v>0</v>
      </c>
      <c r="E151" s="24">
        <f t="shared" si="71"/>
        <v>0</v>
      </c>
      <c r="F151" s="24">
        <f t="shared" si="71"/>
        <v>0</v>
      </c>
      <c r="G151" s="24">
        <f t="shared" si="71"/>
        <v>0</v>
      </c>
      <c r="H151" s="24">
        <f t="shared" si="71"/>
        <v>0</v>
      </c>
      <c r="I151" s="27">
        <f t="shared" si="71"/>
        <v>0</v>
      </c>
      <c r="J151" s="30">
        <f>SUM(D151:I151)</f>
        <v>0</v>
      </c>
      <c r="K151" s="29">
        <f t="shared" ref="K151:P151" si="72">K150-K149</f>
        <v>0</v>
      </c>
      <c r="L151" s="24">
        <f t="shared" si="72"/>
        <v>0</v>
      </c>
      <c r="M151" s="24">
        <f t="shared" si="72"/>
        <v>0</v>
      </c>
      <c r="N151" s="24">
        <f t="shared" si="72"/>
        <v>0</v>
      </c>
      <c r="O151" s="24">
        <f t="shared" si="72"/>
        <v>0</v>
      </c>
      <c r="P151" s="27">
        <f t="shared" si="72"/>
        <v>0</v>
      </c>
      <c r="Q151" s="30">
        <f>SUM(K151:P151)</f>
        <v>0</v>
      </c>
      <c r="R151" s="30">
        <f>J151+Q151</f>
        <v>0</v>
      </c>
      <c r="S151" s="17"/>
    </row>
    <row r="152" spans="1:19" ht="18" customHeight="1" thickBot="1" x14ac:dyDescent="0.25">
      <c r="A152" s="53"/>
      <c r="B152" s="50"/>
      <c r="C152" s="25" t="s">
        <v>30</v>
      </c>
      <c r="D152" s="20"/>
      <c r="E152" s="20"/>
      <c r="F152" s="20"/>
      <c r="G152" s="20"/>
      <c r="H152" s="20"/>
      <c r="I152" s="28"/>
      <c r="J152" s="21">
        <f>I152</f>
        <v>0</v>
      </c>
      <c r="K152" s="22"/>
      <c r="L152" s="20"/>
      <c r="M152" s="20"/>
      <c r="N152" s="20"/>
      <c r="O152" s="20"/>
      <c r="P152" s="28"/>
      <c r="Q152" s="21">
        <f>P152</f>
        <v>0</v>
      </c>
      <c r="R152" s="21">
        <f>Q152</f>
        <v>0</v>
      </c>
      <c r="S152" s="18"/>
    </row>
    <row r="153" spans="1:19" ht="18" customHeight="1" x14ac:dyDescent="0.2">
      <c r="A153" s="51"/>
      <c r="B153" s="48"/>
      <c r="C153" s="31" t="s">
        <v>27</v>
      </c>
      <c r="D153" s="8"/>
      <c r="E153" s="8"/>
      <c r="F153" s="8"/>
      <c r="G153" s="8"/>
      <c r="H153" s="8"/>
      <c r="I153" s="9"/>
      <c r="J153" s="10">
        <f>SUM(D153:I153)</f>
        <v>0</v>
      </c>
      <c r="K153" s="11"/>
      <c r="L153" s="8"/>
      <c r="M153" s="8"/>
      <c r="N153" s="8"/>
      <c r="O153" s="8"/>
      <c r="P153" s="9"/>
      <c r="Q153" s="10">
        <f>SUM(K153:P153)</f>
        <v>0</v>
      </c>
      <c r="R153" s="10">
        <f>J153+Q153</f>
        <v>0</v>
      </c>
      <c r="S153" s="16"/>
    </row>
    <row r="154" spans="1:19" ht="18" customHeight="1" x14ac:dyDescent="0.2">
      <c r="A154" s="52"/>
      <c r="B154" s="49"/>
      <c r="C154" s="7" t="s">
        <v>28</v>
      </c>
      <c r="D154" s="12"/>
      <c r="E154" s="12"/>
      <c r="F154" s="12"/>
      <c r="G154" s="12"/>
      <c r="H154" s="12"/>
      <c r="I154" s="13"/>
      <c r="J154" s="14">
        <f>SUM(D154:I154)</f>
        <v>0</v>
      </c>
      <c r="K154" s="15"/>
      <c r="L154" s="12"/>
      <c r="M154" s="12"/>
      <c r="N154" s="12"/>
      <c r="O154" s="12"/>
      <c r="P154" s="13"/>
      <c r="Q154" s="14">
        <f>SUM(K154:P154)</f>
        <v>0</v>
      </c>
      <c r="R154" s="14">
        <f>J154+Q154</f>
        <v>0</v>
      </c>
      <c r="S154" s="17"/>
    </row>
    <row r="155" spans="1:19" ht="18" customHeight="1" x14ac:dyDescent="0.2">
      <c r="A155" s="52"/>
      <c r="B155" s="49"/>
      <c r="C155" s="23" t="s">
        <v>29</v>
      </c>
      <c r="D155" s="24">
        <f t="shared" ref="D155:I155" si="73">D154-D153</f>
        <v>0</v>
      </c>
      <c r="E155" s="24">
        <f t="shared" si="73"/>
        <v>0</v>
      </c>
      <c r="F155" s="24">
        <f t="shared" si="73"/>
        <v>0</v>
      </c>
      <c r="G155" s="24">
        <f t="shared" si="73"/>
        <v>0</v>
      </c>
      <c r="H155" s="24">
        <f t="shared" si="73"/>
        <v>0</v>
      </c>
      <c r="I155" s="27">
        <f t="shared" si="73"/>
        <v>0</v>
      </c>
      <c r="J155" s="30">
        <f>SUM(D155:I155)</f>
        <v>0</v>
      </c>
      <c r="K155" s="29">
        <f t="shared" ref="K155:P155" si="74">K154-K153</f>
        <v>0</v>
      </c>
      <c r="L155" s="24">
        <f t="shared" si="74"/>
        <v>0</v>
      </c>
      <c r="M155" s="24">
        <f t="shared" si="74"/>
        <v>0</v>
      </c>
      <c r="N155" s="24">
        <f t="shared" si="74"/>
        <v>0</v>
      </c>
      <c r="O155" s="24">
        <f t="shared" si="74"/>
        <v>0</v>
      </c>
      <c r="P155" s="27">
        <f t="shared" si="74"/>
        <v>0</v>
      </c>
      <c r="Q155" s="30">
        <f>SUM(K155:P155)</f>
        <v>0</v>
      </c>
      <c r="R155" s="30">
        <f>J155+Q155</f>
        <v>0</v>
      </c>
      <c r="S155" s="17"/>
    </row>
    <row r="156" spans="1:19" ht="18" customHeight="1" thickBot="1" x14ac:dyDescent="0.25">
      <c r="A156" s="53"/>
      <c r="B156" s="50"/>
      <c r="C156" s="25" t="s">
        <v>30</v>
      </c>
      <c r="D156" s="20"/>
      <c r="E156" s="20"/>
      <c r="F156" s="20"/>
      <c r="G156" s="20"/>
      <c r="H156" s="20"/>
      <c r="I156" s="28"/>
      <c r="J156" s="21">
        <f>I156</f>
        <v>0</v>
      </c>
      <c r="K156" s="22"/>
      <c r="L156" s="20"/>
      <c r="M156" s="20"/>
      <c r="N156" s="20"/>
      <c r="O156" s="20"/>
      <c r="P156" s="28"/>
      <c r="Q156" s="21">
        <f>P156</f>
        <v>0</v>
      </c>
      <c r="R156" s="21">
        <f>Q156</f>
        <v>0</v>
      </c>
      <c r="S156" s="18"/>
    </row>
    <row r="157" spans="1:19" ht="18" customHeight="1" x14ac:dyDescent="0.2">
      <c r="A157" s="51"/>
      <c r="B157" s="48"/>
      <c r="C157" s="31" t="s">
        <v>27</v>
      </c>
      <c r="D157" s="8"/>
      <c r="E157" s="8"/>
      <c r="F157" s="8"/>
      <c r="G157" s="8"/>
      <c r="H157" s="8"/>
      <c r="I157" s="9"/>
      <c r="J157" s="10">
        <f>SUM(D157:I157)</f>
        <v>0</v>
      </c>
      <c r="K157" s="11"/>
      <c r="L157" s="8"/>
      <c r="M157" s="8"/>
      <c r="N157" s="8"/>
      <c r="O157" s="8"/>
      <c r="P157" s="9"/>
      <c r="Q157" s="10">
        <f>SUM(K157:P157)</f>
        <v>0</v>
      </c>
      <c r="R157" s="10">
        <f>J157+Q157</f>
        <v>0</v>
      </c>
      <c r="S157" s="16"/>
    </row>
    <row r="158" spans="1:19" ht="18" customHeight="1" x14ac:dyDescent="0.2">
      <c r="A158" s="52"/>
      <c r="B158" s="49"/>
      <c r="C158" s="7" t="s">
        <v>28</v>
      </c>
      <c r="D158" s="12"/>
      <c r="E158" s="12"/>
      <c r="F158" s="12"/>
      <c r="G158" s="12"/>
      <c r="H158" s="12"/>
      <c r="I158" s="13"/>
      <c r="J158" s="14">
        <f>SUM(D158:I158)</f>
        <v>0</v>
      </c>
      <c r="K158" s="15"/>
      <c r="L158" s="12"/>
      <c r="M158" s="12"/>
      <c r="N158" s="12"/>
      <c r="O158" s="12"/>
      <c r="P158" s="13"/>
      <c r="Q158" s="14">
        <f>SUM(K158:P158)</f>
        <v>0</v>
      </c>
      <c r="R158" s="14">
        <f>J158+Q158</f>
        <v>0</v>
      </c>
      <c r="S158" s="17"/>
    </row>
    <row r="159" spans="1:19" ht="18" customHeight="1" x14ac:dyDescent="0.2">
      <c r="A159" s="52"/>
      <c r="B159" s="49"/>
      <c r="C159" s="23" t="s">
        <v>29</v>
      </c>
      <c r="D159" s="24">
        <f t="shared" ref="D159:I159" si="75">D158-D157</f>
        <v>0</v>
      </c>
      <c r="E159" s="24">
        <f t="shared" si="75"/>
        <v>0</v>
      </c>
      <c r="F159" s="24">
        <f t="shared" si="75"/>
        <v>0</v>
      </c>
      <c r="G159" s="24">
        <f t="shared" si="75"/>
        <v>0</v>
      </c>
      <c r="H159" s="24">
        <f t="shared" si="75"/>
        <v>0</v>
      </c>
      <c r="I159" s="27">
        <f t="shared" si="75"/>
        <v>0</v>
      </c>
      <c r="J159" s="30">
        <f>SUM(D159:I159)</f>
        <v>0</v>
      </c>
      <c r="K159" s="29">
        <f t="shared" ref="K159:P159" si="76">K158-K157</f>
        <v>0</v>
      </c>
      <c r="L159" s="24">
        <f t="shared" si="76"/>
        <v>0</v>
      </c>
      <c r="M159" s="24">
        <f t="shared" si="76"/>
        <v>0</v>
      </c>
      <c r="N159" s="24">
        <f t="shared" si="76"/>
        <v>0</v>
      </c>
      <c r="O159" s="24">
        <f t="shared" si="76"/>
        <v>0</v>
      </c>
      <c r="P159" s="27">
        <f t="shared" si="76"/>
        <v>0</v>
      </c>
      <c r="Q159" s="30">
        <f>SUM(K159:P159)</f>
        <v>0</v>
      </c>
      <c r="R159" s="30">
        <f>J159+Q159</f>
        <v>0</v>
      </c>
      <c r="S159" s="17"/>
    </row>
    <row r="160" spans="1:19" ht="18" customHeight="1" thickBot="1" x14ac:dyDescent="0.25">
      <c r="A160" s="53"/>
      <c r="B160" s="50"/>
      <c r="C160" s="25" t="s">
        <v>30</v>
      </c>
      <c r="D160" s="20"/>
      <c r="E160" s="20"/>
      <c r="F160" s="20"/>
      <c r="G160" s="20"/>
      <c r="H160" s="20"/>
      <c r="I160" s="28"/>
      <c r="J160" s="21">
        <f>I160</f>
        <v>0</v>
      </c>
      <c r="K160" s="22"/>
      <c r="L160" s="20"/>
      <c r="M160" s="20"/>
      <c r="N160" s="20"/>
      <c r="O160" s="20"/>
      <c r="P160" s="28"/>
      <c r="Q160" s="21">
        <f>P160</f>
        <v>0</v>
      </c>
      <c r="R160" s="21">
        <f>Q160</f>
        <v>0</v>
      </c>
      <c r="S160" s="18"/>
    </row>
    <row r="161" spans="1:19" ht="18" customHeight="1" x14ac:dyDescent="0.2">
      <c r="A161" s="51"/>
      <c r="B161" s="54" t="s">
        <v>49</v>
      </c>
      <c r="C161" s="31" t="s">
        <v>27</v>
      </c>
      <c r="D161" s="41">
        <f t="shared" ref="D161:I162" si="77">D5+D9+D13+D17+D21+D25+D29+D33+D37+D45+D49+D53+D57+D61+D73+D77+D81+D85+D89+D97+D101+D109+D117+D121+D125+D133+D137+D141</f>
        <v>0</v>
      </c>
      <c r="E161" s="41">
        <f t="shared" si="77"/>
        <v>0</v>
      </c>
      <c r="F161" s="41">
        <f t="shared" si="77"/>
        <v>21.799999999999997</v>
      </c>
      <c r="G161" s="41">
        <f t="shared" si="77"/>
        <v>86.137</v>
      </c>
      <c r="H161" s="41">
        <f t="shared" si="77"/>
        <v>84.670000000000016</v>
      </c>
      <c r="I161" s="41">
        <f t="shared" si="77"/>
        <v>104.55000000000001</v>
      </c>
      <c r="J161" s="10">
        <f>SUM(D161:I161)</f>
        <v>297.15700000000004</v>
      </c>
      <c r="K161" s="41">
        <f t="shared" ref="K161:P162" si="78">K13+K21+K37+K45+K57+K77+K81+K101+K117+K133+K141+K149+K153+K157+K5+K9+K17+K25+K29+K33+K49+K53+K61+K73+K85+K89+K97+K109+K121+K125+K137</f>
        <v>88.14</v>
      </c>
      <c r="L161" s="41">
        <f t="shared" si="78"/>
        <v>97.26</v>
      </c>
      <c r="M161" s="41">
        <f t="shared" si="78"/>
        <v>32.659999999999997</v>
      </c>
      <c r="N161" s="41">
        <f t="shared" si="78"/>
        <v>26.64</v>
      </c>
      <c r="O161" s="41">
        <f t="shared" si="78"/>
        <v>5.9399999999999995</v>
      </c>
      <c r="P161" s="41">
        <f t="shared" si="78"/>
        <v>11.139999999999999</v>
      </c>
      <c r="Q161" s="10">
        <f>SUM(K161:P161)</f>
        <v>261.77999999999997</v>
      </c>
      <c r="R161" s="10">
        <f>J161+Q161</f>
        <v>558.93700000000001</v>
      </c>
      <c r="S161" s="16"/>
    </row>
    <row r="162" spans="1:19" ht="18" customHeight="1" x14ac:dyDescent="0.2">
      <c r="A162" s="52"/>
      <c r="B162" s="49"/>
      <c r="C162" s="7" t="s">
        <v>28</v>
      </c>
      <c r="D162" s="41">
        <f t="shared" si="77"/>
        <v>18.18</v>
      </c>
      <c r="E162" s="41">
        <f t="shared" si="77"/>
        <v>6.1</v>
      </c>
      <c r="F162" s="41">
        <f t="shared" si="77"/>
        <v>6.9400000000000013</v>
      </c>
      <c r="G162" s="41">
        <f t="shared" si="77"/>
        <v>33.82</v>
      </c>
      <c r="H162" s="41">
        <f t="shared" si="77"/>
        <v>0</v>
      </c>
      <c r="I162" s="41">
        <f t="shared" si="77"/>
        <v>0</v>
      </c>
      <c r="J162" s="14">
        <f>SUM(D162:I162)</f>
        <v>65.040000000000006</v>
      </c>
      <c r="K162" s="41">
        <f t="shared" si="78"/>
        <v>0</v>
      </c>
      <c r="L162" s="41">
        <f t="shared" si="78"/>
        <v>0</v>
      </c>
      <c r="M162" s="41">
        <f t="shared" si="78"/>
        <v>0</v>
      </c>
      <c r="N162" s="41">
        <f t="shared" si="78"/>
        <v>0</v>
      </c>
      <c r="O162" s="41">
        <f t="shared" si="78"/>
        <v>0</v>
      </c>
      <c r="P162" s="41">
        <f t="shared" si="78"/>
        <v>0</v>
      </c>
      <c r="Q162" s="14">
        <f>SUM(K162:P162)</f>
        <v>0</v>
      </c>
      <c r="R162" s="14">
        <f>J162+Q162</f>
        <v>65.040000000000006</v>
      </c>
      <c r="S162" s="17"/>
    </row>
    <row r="163" spans="1:19" ht="18" customHeight="1" x14ac:dyDescent="0.2">
      <c r="A163" s="52"/>
      <c r="B163" s="49"/>
      <c r="C163" s="23" t="s">
        <v>29</v>
      </c>
      <c r="D163" s="24">
        <f t="shared" ref="D163:I163" si="79">D162-D161</f>
        <v>18.18</v>
      </c>
      <c r="E163" s="24">
        <f t="shared" si="79"/>
        <v>6.1</v>
      </c>
      <c r="F163" s="24">
        <f t="shared" si="79"/>
        <v>-14.859999999999996</v>
      </c>
      <c r="G163" s="24">
        <f t="shared" si="79"/>
        <v>-52.317</v>
      </c>
      <c r="H163" s="24">
        <f t="shared" si="79"/>
        <v>-84.670000000000016</v>
      </c>
      <c r="I163" s="27">
        <f t="shared" si="79"/>
        <v>-104.55000000000001</v>
      </c>
      <c r="J163" s="30">
        <f>SUM(D163:I163)</f>
        <v>-232.11700000000002</v>
      </c>
      <c r="K163" s="29">
        <f t="shared" ref="K163:P163" si="80">K162-K161</f>
        <v>-88.14</v>
      </c>
      <c r="L163" s="24">
        <f t="shared" si="80"/>
        <v>-97.26</v>
      </c>
      <c r="M163" s="24">
        <f t="shared" si="80"/>
        <v>-32.659999999999997</v>
      </c>
      <c r="N163" s="24">
        <f t="shared" si="80"/>
        <v>-26.64</v>
      </c>
      <c r="O163" s="24">
        <f t="shared" si="80"/>
        <v>-5.9399999999999995</v>
      </c>
      <c r="P163" s="27">
        <f t="shared" si="80"/>
        <v>-11.139999999999999</v>
      </c>
      <c r="Q163" s="30">
        <f>SUM(K163:P163)</f>
        <v>-261.77999999999997</v>
      </c>
      <c r="R163" s="30">
        <f>J163+Q163</f>
        <v>-493.89699999999999</v>
      </c>
      <c r="S163" s="17"/>
    </row>
    <row r="164" spans="1:19" ht="18" customHeight="1" thickBot="1" x14ac:dyDescent="0.25">
      <c r="A164" s="53"/>
      <c r="B164" s="50"/>
      <c r="C164" s="25" t="s">
        <v>30</v>
      </c>
      <c r="D164" s="20"/>
      <c r="E164" s="20"/>
      <c r="F164" s="20"/>
      <c r="G164" s="20"/>
      <c r="H164" s="20"/>
      <c r="I164" s="28"/>
      <c r="J164" s="21">
        <f>I164</f>
        <v>0</v>
      </c>
      <c r="K164" s="22"/>
      <c r="L164" s="20"/>
      <c r="M164" s="20"/>
      <c r="N164" s="20"/>
      <c r="O164" s="20"/>
      <c r="P164" s="28"/>
      <c r="Q164" s="21">
        <f>P164</f>
        <v>0</v>
      </c>
      <c r="R164" s="21">
        <f>Q164</f>
        <v>0</v>
      </c>
      <c r="S164" s="18"/>
    </row>
    <row r="165" spans="1:19" ht="18" customHeight="1" thickBot="1" x14ac:dyDescent="0.25">
      <c r="B165" s="58" t="s">
        <v>132</v>
      </c>
      <c r="C165" s="31" t="s">
        <v>27</v>
      </c>
      <c r="D165" s="8"/>
      <c r="E165" s="8"/>
      <c r="F165" s="8"/>
      <c r="G165" s="8">
        <v>0.26</v>
      </c>
      <c r="H165" s="8"/>
      <c r="I165" s="9">
        <v>0.86</v>
      </c>
      <c r="J165" s="10">
        <f>SUM(D165:I165)</f>
        <v>1.1200000000000001</v>
      </c>
      <c r="K165" s="11">
        <v>0.7</v>
      </c>
      <c r="L165" s="8">
        <v>1.2</v>
      </c>
      <c r="M165" s="8"/>
      <c r="N165" s="8">
        <v>0.4</v>
      </c>
      <c r="O165" s="8">
        <v>0.64</v>
      </c>
      <c r="P165" s="9">
        <v>1.74</v>
      </c>
      <c r="Q165" s="10">
        <f>SUM(K165:P165)</f>
        <v>4.68</v>
      </c>
      <c r="R165" s="10">
        <f>J165+Q165</f>
        <v>5.8</v>
      </c>
      <c r="S165" s="16"/>
    </row>
    <row r="166" spans="1:19" ht="18" customHeight="1" x14ac:dyDescent="0.2">
      <c r="B166" s="49"/>
      <c r="C166" s="7" t="s">
        <v>28</v>
      </c>
      <c r="D166" s="12">
        <v>4.16</v>
      </c>
      <c r="E166" s="12">
        <v>3.44</v>
      </c>
      <c r="F166" s="12">
        <v>3.7000000000000011</v>
      </c>
      <c r="G166" s="12">
        <v>6.54</v>
      </c>
      <c r="H166" s="12"/>
      <c r="I166" s="13"/>
      <c r="J166" s="14">
        <f>SUM(D166:I166)</f>
        <v>17.84</v>
      </c>
      <c r="K166" s="15"/>
      <c r="L166" s="12"/>
      <c r="M166" s="12"/>
      <c r="N166" s="12"/>
      <c r="O166" s="12"/>
      <c r="P166" s="13"/>
      <c r="Q166" s="14">
        <f>SUM(K166:P166)</f>
        <v>0</v>
      </c>
      <c r="R166" s="14">
        <f>J166+Q166</f>
        <v>17.84</v>
      </c>
      <c r="S166" s="17"/>
    </row>
    <row r="167" spans="1:19" ht="18" customHeight="1" x14ac:dyDescent="0.2">
      <c r="B167" s="49"/>
      <c r="C167" s="23" t="s">
        <v>29</v>
      </c>
      <c r="D167" s="24">
        <f t="shared" ref="D167:I167" si="81">D166-D165</f>
        <v>4.16</v>
      </c>
      <c r="E167" s="24">
        <f t="shared" si="81"/>
        <v>3.44</v>
      </c>
      <c r="F167" s="24">
        <f t="shared" si="81"/>
        <v>3.7000000000000011</v>
      </c>
      <c r="G167" s="24">
        <f t="shared" si="81"/>
        <v>6.28</v>
      </c>
      <c r="H167" s="24">
        <f t="shared" si="81"/>
        <v>0</v>
      </c>
      <c r="I167" s="27">
        <f t="shared" si="81"/>
        <v>-0.86</v>
      </c>
      <c r="J167" s="30">
        <f>SUM(D167:I167)</f>
        <v>16.720000000000002</v>
      </c>
      <c r="K167" s="29">
        <f t="shared" ref="K167:P167" si="82">K166-K165</f>
        <v>-0.7</v>
      </c>
      <c r="L167" s="24">
        <f t="shared" si="82"/>
        <v>-1.2</v>
      </c>
      <c r="M167" s="24">
        <f t="shared" si="82"/>
        <v>0</v>
      </c>
      <c r="N167" s="24">
        <f t="shared" si="82"/>
        <v>-0.4</v>
      </c>
      <c r="O167" s="24">
        <f t="shared" si="82"/>
        <v>-0.64</v>
      </c>
      <c r="P167" s="27">
        <f t="shared" si="82"/>
        <v>-1.74</v>
      </c>
      <c r="Q167" s="30">
        <f>SUM(K167:P167)</f>
        <v>-4.68</v>
      </c>
      <c r="R167" s="30">
        <f>J167+Q167</f>
        <v>12.040000000000003</v>
      </c>
      <c r="S167" s="17"/>
    </row>
    <row r="168" spans="1:19" ht="18" customHeight="1" thickBot="1" x14ac:dyDescent="0.25">
      <c r="B168" s="59"/>
      <c r="C168" s="25" t="s">
        <v>30</v>
      </c>
      <c r="D168" s="20"/>
      <c r="E168" s="20"/>
      <c r="F168" s="20"/>
      <c r="G168" s="20"/>
      <c r="H168" s="20"/>
      <c r="I168" s="28"/>
      <c r="J168" s="21">
        <f>I168</f>
        <v>0</v>
      </c>
      <c r="K168" s="22"/>
      <c r="L168" s="20"/>
      <c r="M168" s="20"/>
      <c r="N168" s="20"/>
      <c r="O168" s="20"/>
      <c r="P168" s="28"/>
      <c r="Q168" s="21">
        <f>P168</f>
        <v>0</v>
      </c>
      <c r="R168" s="21">
        <f>Q168</f>
        <v>0</v>
      </c>
      <c r="S168" s="18"/>
    </row>
    <row r="169" spans="1:19" ht="18" customHeight="1" thickBot="1" x14ac:dyDescent="0.25">
      <c r="B169" s="58" t="s">
        <v>133</v>
      </c>
      <c r="C169" s="31" t="s">
        <v>27</v>
      </c>
      <c r="D169" s="8"/>
      <c r="E169" s="8"/>
      <c r="F169" s="8"/>
      <c r="G169" s="8">
        <v>0.94</v>
      </c>
      <c r="H169" s="8"/>
      <c r="I169" s="9">
        <v>0.63</v>
      </c>
      <c r="J169" s="10">
        <f>SUM(D169:I169)</f>
        <v>1.5699999999999998</v>
      </c>
      <c r="K169" s="11"/>
      <c r="L169" s="8"/>
      <c r="M169" s="8"/>
      <c r="N169" s="8"/>
      <c r="O169" s="8"/>
      <c r="P169" s="9"/>
      <c r="Q169" s="10">
        <f>SUM(K169:P169)</f>
        <v>0</v>
      </c>
      <c r="R169" s="10">
        <f>J169+Q169</f>
        <v>1.5699999999999998</v>
      </c>
      <c r="S169" s="16"/>
    </row>
    <row r="170" spans="1:19" ht="18" customHeight="1" x14ac:dyDescent="0.2">
      <c r="B170" s="49"/>
      <c r="C170" s="7" t="s">
        <v>28</v>
      </c>
      <c r="D170" s="12"/>
      <c r="E170" s="12"/>
      <c r="F170" s="12"/>
      <c r="G170" s="12"/>
      <c r="H170" s="12"/>
      <c r="I170" s="13"/>
      <c r="J170" s="14">
        <f>SUM(D170:I170)</f>
        <v>0</v>
      </c>
      <c r="K170" s="15"/>
      <c r="L170" s="12"/>
      <c r="M170" s="12"/>
      <c r="N170" s="12"/>
      <c r="O170" s="12"/>
      <c r="P170" s="13"/>
      <c r="Q170" s="14">
        <f>SUM(K170:P170)</f>
        <v>0</v>
      </c>
      <c r="R170" s="14">
        <f>J170+Q170</f>
        <v>0</v>
      </c>
      <c r="S170" s="17"/>
    </row>
    <row r="171" spans="1:19" ht="18" customHeight="1" x14ac:dyDescent="0.2">
      <c r="B171" s="49"/>
      <c r="C171" s="23" t="s">
        <v>29</v>
      </c>
      <c r="D171" s="24">
        <f t="shared" ref="D171:I171" si="83">D170-D169</f>
        <v>0</v>
      </c>
      <c r="E171" s="24">
        <f t="shared" si="83"/>
        <v>0</v>
      </c>
      <c r="F171" s="24">
        <f t="shared" si="83"/>
        <v>0</v>
      </c>
      <c r="G171" s="24">
        <f t="shared" si="83"/>
        <v>-0.94</v>
      </c>
      <c r="H171" s="24">
        <f t="shared" si="83"/>
        <v>0</v>
      </c>
      <c r="I171" s="27">
        <f t="shared" si="83"/>
        <v>-0.63</v>
      </c>
      <c r="J171" s="30">
        <f>SUM(D171:I171)</f>
        <v>-1.5699999999999998</v>
      </c>
      <c r="K171" s="29">
        <f t="shared" ref="K171:P171" si="84">K170-K169</f>
        <v>0</v>
      </c>
      <c r="L171" s="24">
        <f t="shared" si="84"/>
        <v>0</v>
      </c>
      <c r="M171" s="24">
        <f t="shared" si="84"/>
        <v>0</v>
      </c>
      <c r="N171" s="24">
        <f t="shared" si="84"/>
        <v>0</v>
      </c>
      <c r="O171" s="24">
        <f t="shared" si="84"/>
        <v>0</v>
      </c>
      <c r="P171" s="27">
        <f t="shared" si="84"/>
        <v>0</v>
      </c>
      <c r="Q171" s="30">
        <f>SUM(K171:P171)</f>
        <v>0</v>
      </c>
      <c r="R171" s="30">
        <f>J171+Q171</f>
        <v>-1.5699999999999998</v>
      </c>
      <c r="S171" s="17"/>
    </row>
    <row r="172" spans="1:19" ht="18" customHeight="1" thickBot="1" x14ac:dyDescent="0.25">
      <c r="B172" s="59"/>
      <c r="C172" s="25" t="s">
        <v>30</v>
      </c>
      <c r="D172" s="20"/>
      <c r="E172" s="20"/>
      <c r="F172" s="20"/>
      <c r="G172" s="20"/>
      <c r="H172" s="20"/>
      <c r="I172" s="28"/>
      <c r="J172" s="21">
        <f>I172</f>
        <v>0</v>
      </c>
      <c r="K172" s="22"/>
      <c r="L172" s="20"/>
      <c r="M172" s="20"/>
      <c r="N172" s="20"/>
      <c r="O172" s="20"/>
      <c r="P172" s="28"/>
      <c r="Q172" s="21">
        <f>P172</f>
        <v>0</v>
      </c>
      <c r="R172" s="21">
        <f>Q172</f>
        <v>0</v>
      </c>
      <c r="S172" s="18"/>
    </row>
    <row r="173" spans="1:19" ht="18" customHeight="1" thickBot="1" x14ac:dyDescent="0.25">
      <c r="B173" s="54" t="s">
        <v>51</v>
      </c>
      <c r="C173" s="31" t="s">
        <v>27</v>
      </c>
      <c r="D173" s="8">
        <f t="shared" ref="D173:I174" si="85">D161+D169+D165</f>
        <v>0</v>
      </c>
      <c r="E173" s="8">
        <f t="shared" si="85"/>
        <v>0</v>
      </c>
      <c r="F173" s="8">
        <f t="shared" si="85"/>
        <v>21.799999999999997</v>
      </c>
      <c r="G173" s="8">
        <f t="shared" si="85"/>
        <v>87.337000000000003</v>
      </c>
      <c r="H173" s="8">
        <f t="shared" si="85"/>
        <v>84.670000000000016</v>
      </c>
      <c r="I173" s="8">
        <f t="shared" si="85"/>
        <v>106.04</v>
      </c>
      <c r="J173" s="10">
        <f>SUM(D173:I173)</f>
        <v>299.84700000000004</v>
      </c>
      <c r="K173" s="11">
        <f t="shared" ref="K173:P174" si="86">K161+K169+K165</f>
        <v>88.84</v>
      </c>
      <c r="L173" s="11">
        <f t="shared" si="86"/>
        <v>98.460000000000008</v>
      </c>
      <c r="M173" s="11">
        <f t="shared" si="86"/>
        <v>32.659999999999997</v>
      </c>
      <c r="N173" s="11">
        <f t="shared" si="86"/>
        <v>27.04</v>
      </c>
      <c r="O173" s="11">
        <f t="shared" si="86"/>
        <v>6.5799999999999992</v>
      </c>
      <c r="P173" s="11">
        <f t="shared" si="86"/>
        <v>12.879999999999999</v>
      </c>
      <c r="Q173" s="10">
        <f>SUM(K173:P173)</f>
        <v>266.46000000000004</v>
      </c>
      <c r="R173" s="10">
        <f>J173+Q173</f>
        <v>566.30700000000002</v>
      </c>
      <c r="S173" s="16"/>
    </row>
    <row r="174" spans="1:19" ht="18" customHeight="1" x14ac:dyDescent="0.2">
      <c r="B174" s="49"/>
      <c r="C174" s="7" t="s">
        <v>28</v>
      </c>
      <c r="D174" s="8">
        <f t="shared" si="85"/>
        <v>22.34</v>
      </c>
      <c r="E174" s="8">
        <f t="shared" si="85"/>
        <v>9.5399999999999991</v>
      </c>
      <c r="F174" s="43">
        <f t="shared" si="85"/>
        <v>10.640000000000002</v>
      </c>
      <c r="G174" s="43">
        <f t="shared" si="85"/>
        <v>40.36</v>
      </c>
      <c r="H174" s="43">
        <f t="shared" si="85"/>
        <v>0</v>
      </c>
      <c r="I174" s="43">
        <f t="shared" si="85"/>
        <v>0</v>
      </c>
      <c r="J174" s="44">
        <f>SUM(D174:I174)</f>
        <v>82.88</v>
      </c>
      <c r="K174" s="45">
        <f t="shared" si="86"/>
        <v>0</v>
      </c>
      <c r="L174" s="45">
        <f t="shared" si="86"/>
        <v>0</v>
      </c>
      <c r="M174" s="45">
        <f t="shared" si="86"/>
        <v>0</v>
      </c>
      <c r="N174" s="45">
        <f t="shared" si="86"/>
        <v>0</v>
      </c>
      <c r="O174" s="45">
        <f t="shared" si="86"/>
        <v>0</v>
      </c>
      <c r="P174" s="45">
        <f t="shared" si="86"/>
        <v>0</v>
      </c>
      <c r="Q174" s="44">
        <f>SUM(K174:P174)</f>
        <v>0</v>
      </c>
      <c r="R174" s="14">
        <f>J174+Q174</f>
        <v>82.88</v>
      </c>
      <c r="S174" s="17"/>
    </row>
    <row r="175" spans="1:19" ht="18" customHeight="1" x14ac:dyDescent="0.2">
      <c r="B175" s="49"/>
      <c r="C175" s="23" t="s">
        <v>29</v>
      </c>
      <c r="D175" s="24">
        <f t="shared" ref="D175:I175" si="87">D174-D173</f>
        <v>22.34</v>
      </c>
      <c r="E175" s="24">
        <f t="shared" si="87"/>
        <v>9.5399999999999991</v>
      </c>
      <c r="F175" s="24">
        <f t="shared" si="87"/>
        <v>-11.159999999999995</v>
      </c>
      <c r="G175" s="24">
        <f t="shared" si="87"/>
        <v>-46.977000000000004</v>
      </c>
      <c r="H175" s="24">
        <f t="shared" si="87"/>
        <v>-84.670000000000016</v>
      </c>
      <c r="I175" s="27">
        <f t="shared" si="87"/>
        <v>-106.04</v>
      </c>
      <c r="J175" s="30">
        <f>SUM(D175:I175)</f>
        <v>-216.96700000000004</v>
      </c>
      <c r="K175" s="29">
        <f t="shared" ref="K175:P175" si="88">K174-K173</f>
        <v>-88.84</v>
      </c>
      <c r="L175" s="24">
        <f t="shared" si="88"/>
        <v>-98.460000000000008</v>
      </c>
      <c r="M175" s="24">
        <f t="shared" si="88"/>
        <v>-32.659999999999997</v>
      </c>
      <c r="N175" s="24">
        <f t="shared" si="88"/>
        <v>-27.04</v>
      </c>
      <c r="O175" s="24">
        <f t="shared" si="88"/>
        <v>-6.5799999999999992</v>
      </c>
      <c r="P175" s="27">
        <f t="shared" si="88"/>
        <v>-12.879999999999999</v>
      </c>
      <c r="Q175" s="30">
        <f>SUM(K175:P175)</f>
        <v>-266.46000000000004</v>
      </c>
      <c r="R175" s="30">
        <f>J175+Q175</f>
        <v>-483.42700000000008</v>
      </c>
      <c r="S175" s="17"/>
    </row>
    <row r="176" spans="1:19" ht="18" customHeight="1" thickBot="1" x14ac:dyDescent="0.25">
      <c r="B176" s="50"/>
      <c r="C176" s="25" t="s">
        <v>30</v>
      </c>
      <c r="D176" s="20">
        <f t="shared" ref="D176:I176" si="89">D164+D172</f>
        <v>0</v>
      </c>
      <c r="E176" s="20">
        <f t="shared" si="89"/>
        <v>0</v>
      </c>
      <c r="F176" s="20">
        <f t="shared" si="89"/>
        <v>0</v>
      </c>
      <c r="G176" s="20">
        <f t="shared" si="89"/>
        <v>0</v>
      </c>
      <c r="H176" s="20">
        <f t="shared" si="89"/>
        <v>0</v>
      </c>
      <c r="I176" s="28">
        <f t="shared" si="89"/>
        <v>0</v>
      </c>
      <c r="J176" s="21">
        <f>I176</f>
        <v>0</v>
      </c>
      <c r="K176" s="22">
        <f t="shared" ref="K176:P176" si="90">K164+K172</f>
        <v>0</v>
      </c>
      <c r="L176" s="20">
        <f t="shared" si="90"/>
        <v>0</v>
      </c>
      <c r="M176" s="20">
        <f t="shared" si="90"/>
        <v>0</v>
      </c>
      <c r="N176" s="20">
        <f t="shared" si="90"/>
        <v>0</v>
      </c>
      <c r="O176" s="20">
        <f t="shared" si="90"/>
        <v>0</v>
      </c>
      <c r="P176" s="28">
        <f t="shared" si="90"/>
        <v>0</v>
      </c>
      <c r="Q176" s="21">
        <f>P176</f>
        <v>0</v>
      </c>
      <c r="R176" s="21">
        <f>Q176</f>
        <v>0</v>
      </c>
      <c r="S176" s="18"/>
    </row>
  </sheetData>
  <mergeCells count="83">
    <mergeCell ref="B33:B36"/>
    <mergeCell ref="A5:A8"/>
    <mergeCell ref="A125:A128"/>
    <mergeCell ref="B65:B68"/>
    <mergeCell ref="A109:A112"/>
    <mergeCell ref="A9:A12"/>
    <mergeCell ref="B89:B92"/>
    <mergeCell ref="B25:B28"/>
    <mergeCell ref="B85:B88"/>
    <mergeCell ref="B5:B8"/>
    <mergeCell ref="A13:A16"/>
    <mergeCell ref="B113:B116"/>
    <mergeCell ref="B21:B24"/>
    <mergeCell ref="A41:A44"/>
    <mergeCell ref="A33:A36"/>
    <mergeCell ref="B9:B12"/>
    <mergeCell ref="B173:B176"/>
    <mergeCell ref="A73:A76"/>
    <mergeCell ref="B141:B144"/>
    <mergeCell ref="A161:A164"/>
    <mergeCell ref="A157:A160"/>
    <mergeCell ref="B165:B168"/>
    <mergeCell ref="B117:B120"/>
    <mergeCell ref="A149:A152"/>
    <mergeCell ref="A133:A136"/>
    <mergeCell ref="A85:A88"/>
    <mergeCell ref="A137:A140"/>
    <mergeCell ref="B153:B156"/>
    <mergeCell ref="B149:B152"/>
    <mergeCell ref="A153:A156"/>
    <mergeCell ref="A141:A144"/>
    <mergeCell ref="A129:A132"/>
    <mergeCell ref="A57:A60"/>
    <mergeCell ref="B133:B136"/>
    <mergeCell ref="A121:A124"/>
    <mergeCell ref="A77:A80"/>
    <mergeCell ref="B45:B48"/>
    <mergeCell ref="B125:B128"/>
    <mergeCell ref="B97:B100"/>
    <mergeCell ref="B109:B112"/>
    <mergeCell ref="A69:A72"/>
    <mergeCell ref="A45:A48"/>
    <mergeCell ref="B77:B80"/>
    <mergeCell ref="B61:B64"/>
    <mergeCell ref="A65:A68"/>
    <mergeCell ref="A105:A108"/>
    <mergeCell ref="A81:A84"/>
    <mergeCell ref="B49:B52"/>
    <mergeCell ref="A61:A64"/>
    <mergeCell ref="B121:B124"/>
    <mergeCell ref="B69:B72"/>
    <mergeCell ref="A25:A28"/>
    <mergeCell ref="B73:B76"/>
    <mergeCell ref="B57:B60"/>
    <mergeCell ref="A101:A104"/>
    <mergeCell ref="B169:B172"/>
    <mergeCell ref="A117:A120"/>
    <mergeCell ref="B93:B96"/>
    <mergeCell ref="B105:B108"/>
    <mergeCell ref="B161:B164"/>
    <mergeCell ref="B157:B160"/>
    <mergeCell ref="B101:B104"/>
    <mergeCell ref="A145:A148"/>
    <mergeCell ref="B145:B148"/>
    <mergeCell ref="B137:B140"/>
    <mergeCell ref="A97:A100"/>
    <mergeCell ref="B129:B132"/>
    <mergeCell ref="B29:B32"/>
    <mergeCell ref="A37:A40"/>
    <mergeCell ref="B13:B16"/>
    <mergeCell ref="B53:B56"/>
    <mergeCell ref="A113:A116"/>
    <mergeCell ref="A17:A20"/>
    <mergeCell ref="A53:A56"/>
    <mergeCell ref="B37:B40"/>
    <mergeCell ref="A93:A96"/>
    <mergeCell ref="B41:B44"/>
    <mergeCell ref="B81:B84"/>
    <mergeCell ref="A49:A52"/>
    <mergeCell ref="B17:B20"/>
    <mergeCell ref="A89:A92"/>
    <mergeCell ref="A21:A24"/>
    <mergeCell ref="A29:A32"/>
  </mergeCells>
  <phoneticPr fontId="1"/>
  <printOptions horizontalCentered="1"/>
  <pageMargins left="0.23622047244094491" right="0.23622047244094491" top="0.74803149606299213" bottom="0.74803149606299213" header="0.31496062992125978" footer="0.31496062992125978"/>
  <pageSetup paperSize="8" scale="71" fitToHeight="2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企業月間生産量（ベビーリーフ）</vt:lpstr>
      <vt:lpstr>企業月間生産量（ベビーリーフ以外）</vt:lpstr>
      <vt:lpstr>企業別月間生産量 (加工用）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19920017</dc:creator>
  <cp:lastModifiedBy>松岡　徹平</cp:lastModifiedBy>
  <cp:lastPrinted>2026-02-16T23:38:55Z</cp:lastPrinted>
  <dcterms:created xsi:type="dcterms:W3CDTF">2021-11-26T03:55:15Z</dcterms:created>
  <dcterms:modified xsi:type="dcterms:W3CDTF">2026-02-18T04:46:42Z</dcterms:modified>
</cp:coreProperties>
</file>