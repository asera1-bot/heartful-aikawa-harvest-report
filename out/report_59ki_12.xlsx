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企業月間生産量（ベビーリーフ）" sheetId="1" state="visible" r:id="rId1"/>
    <sheet name="企業月間生産量（ベビーリーフ以外）" sheetId="2" state="visible" r:id="rId2"/>
    <sheet name="企業別月間生産量 (加工用） 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;[Red]\-#,##0.0"/>
  </numFmts>
  <fonts count="6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b val="1"/>
      <color theme="1"/>
      <sz val="11"/>
      <scheme val="minor"/>
    </font>
    <font>
      <name val="ＭＳ Ｐゴシック"/>
      <charset val="128"/>
      <family val="2"/>
      <color rgb="FFFF0000"/>
      <sz val="11"/>
      <scheme val="minor"/>
    </font>
    <font>
      <name val="ＭＳ Ｐゴシック"/>
      <charset val="128"/>
      <family val="3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0" fontId="0" fillId="3" borderId="4" applyAlignment="1" pivotButton="0" quotePrefix="0" xfId="0">
      <alignment vertical="center"/>
    </xf>
    <xf numFmtId="40" fontId="0" fillId="3" borderId="7" applyAlignment="1" pivotButton="0" quotePrefix="0" xfId="0">
      <alignment vertical="center"/>
    </xf>
    <xf numFmtId="40" fontId="0" fillId="3" borderId="12" applyAlignment="1" pivotButton="0" quotePrefix="0" xfId="0">
      <alignment vertical="center"/>
    </xf>
    <xf numFmtId="40" fontId="0" fillId="3" borderId="10" applyAlignment="1" pivotButton="0" quotePrefix="0" xfId="0">
      <alignment vertical="center"/>
    </xf>
    <xf numFmtId="40" fontId="0" fillId="0" borderId="1" applyAlignment="1" pivotButton="0" quotePrefix="0" xfId="0">
      <alignment vertical="center"/>
    </xf>
    <xf numFmtId="40" fontId="0" fillId="0" borderId="6" applyAlignment="1" pivotButton="0" quotePrefix="0" xfId="0">
      <alignment vertical="center"/>
    </xf>
    <xf numFmtId="40" fontId="0" fillId="0" borderId="13" applyAlignment="1" pivotButton="0" quotePrefix="0" xfId="0">
      <alignment vertical="center"/>
    </xf>
    <xf numFmtId="40" fontId="0" fillId="0" borderId="9" applyAlignment="1" pivotButton="0" quotePrefix="0" xfId="0">
      <alignment vertical="center"/>
    </xf>
    <xf numFmtId="0" fontId="0" fillId="0" borderId="15" applyAlignment="1" pivotButton="0" quotePrefix="0" xfId="0">
      <alignment vertical="center" shrinkToFit="1"/>
    </xf>
    <xf numFmtId="0" fontId="0" fillId="0" borderId="16" applyAlignment="1" pivotButton="0" quotePrefix="0" xfId="0">
      <alignment vertical="center" shrinkToFit="1"/>
    </xf>
    <xf numFmtId="0" fontId="0" fillId="0" borderId="17" applyAlignment="1" pivotButton="0" quotePrefix="0" xfId="0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40" fontId="0" fillId="0" borderId="5" applyAlignment="1" pivotButton="0" quotePrefix="0" xfId="0">
      <alignment vertical="center"/>
    </xf>
    <xf numFmtId="40" fontId="0" fillId="0" borderId="14" applyAlignment="1" pivotButton="0" quotePrefix="0" xfId="0">
      <alignment vertical="center"/>
    </xf>
    <xf numFmtId="40" fontId="0" fillId="0" borderId="1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40" fontId="0" fillId="2" borderId="1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vertical="center"/>
    </xf>
    <xf numFmtId="40" fontId="0" fillId="2" borderId="6" applyAlignment="1" pivotButton="0" quotePrefix="0" xfId="0">
      <alignment vertical="center"/>
    </xf>
    <xf numFmtId="40" fontId="0" fillId="0" borderId="8" applyAlignment="1" pivotButton="0" quotePrefix="0" xfId="0">
      <alignment vertical="center"/>
    </xf>
    <xf numFmtId="40" fontId="0" fillId="2" borderId="9" applyAlignment="1" pivotButton="0" quotePrefix="0" xfId="0">
      <alignment vertical="center"/>
    </xf>
    <xf numFmtId="40" fontId="0" fillId="2" borderId="13" applyAlignment="1" pivotButton="0" quotePrefix="0" xfId="0">
      <alignment vertical="center"/>
    </xf>
    <xf numFmtId="0" fontId="0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40" fontId="0" fillId="0" borderId="12" applyAlignment="1" pivotButton="0" quotePrefix="0" xfId="0">
      <alignment vertical="center"/>
    </xf>
    <xf numFmtId="40" fontId="0" fillId="0" borderId="10" applyAlignment="1" pivotButton="0" quotePrefix="0" xfId="0">
      <alignment vertical="center"/>
    </xf>
    <xf numFmtId="40" fontId="0" fillId="0" borderId="4" applyAlignment="1" pivotButton="0" quotePrefix="0" xfId="0">
      <alignment vertical="center"/>
    </xf>
    <xf numFmtId="40" fontId="0" fillId="0" borderId="7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11" applyAlignment="1" pivotButton="0" quotePrefix="0" xfId="0">
      <alignment vertical="center"/>
    </xf>
    <xf numFmtId="40" fontId="0" fillId="3" borderId="1" applyAlignment="1" pivotButton="0" quotePrefix="0" xfId="0">
      <alignment vertical="center"/>
    </xf>
    <xf numFmtId="40" fontId="0" fillId="4" borderId="1" applyAlignment="1" pivotButton="0" quotePrefix="0" xfId="0">
      <alignment vertical="center"/>
    </xf>
    <xf numFmtId="40" fontId="0" fillId="4" borderId="4" applyAlignment="1" pivotButton="0" quotePrefix="0" xfId="0">
      <alignment vertical="center"/>
    </xf>
    <xf numFmtId="40" fontId="0" fillId="4" borderId="13" applyAlignment="1" pivotButton="0" quotePrefix="0" xfId="0">
      <alignment vertical="center"/>
    </xf>
    <xf numFmtId="40" fontId="0" fillId="4" borderId="1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7" pivotButton="0" quotePrefix="0" xfId="0"/>
    <xf numFmtId="0" fontId="0" fillId="0" borderId="4" applyAlignment="1" pivotButton="0" quotePrefix="0" xfId="0">
      <alignment horizontal="center" vertical="center" wrapText="1" shrinkToFit="1"/>
    </xf>
    <xf numFmtId="0" fontId="0" fillId="0" borderId="24" pivotButton="0" quotePrefix="0" xfId="0"/>
    <xf numFmtId="0" fontId="0" fillId="0" borderId="28" pivotButton="0" quotePrefix="0" xfId="0"/>
    <xf numFmtId="0" fontId="5" fillId="0" borderId="4" applyAlignment="1" pivotButton="0" quotePrefix="0" xfId="0">
      <alignment horizontal="center" vertical="center" wrapText="1" shrinkToFit="1"/>
    </xf>
    <xf numFmtId="0" fontId="3" fillId="0" borderId="4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 wrapText="1" shrinkToFit="1"/>
    </xf>
    <xf numFmtId="0" fontId="0" fillId="0" borderId="25" pivotButton="0" quotePrefix="0" xfId="0"/>
    <xf numFmtId="0" fontId="0" fillId="0" borderId="18" applyAlignment="1" pivotButton="0" quotePrefix="0" xfId="0">
      <alignment horizontal="center" vertical="center"/>
    </xf>
    <xf numFmtId="0" fontId="0" fillId="0" borderId="26" pivotButton="0" quotePrefix="0" xfId="0"/>
    <xf numFmtId="0" fontId="5" fillId="0" borderId="19" applyAlignment="1" pivotButton="0" quotePrefix="0" xfId="0">
      <alignment horizontal="center" vertical="center" wrapText="1" shrinkToFit="1"/>
    </xf>
    <xf numFmtId="164" fontId="0" fillId="0" borderId="4" applyAlignment="1" pivotButton="0" quotePrefix="0" xfId="0">
      <alignment vertical="center"/>
    </xf>
    <xf numFmtId="164" fontId="0" fillId="0" borderId="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44"/>
  <sheetViews>
    <sheetView tabSelected="1" zoomScale="54" zoomScaleNormal="100" workbookViewId="0">
      <pane xSplit="3" ySplit="8" topLeftCell="D99" activePane="bottomRight" state="frozen"/>
      <selection pane="topRight" activeCell="C1" sqref="C1"/>
      <selection pane="bottomLeft" activeCell="A5" sqref="A5"/>
      <selection pane="bottomRight" activeCell="S120" sqref="C120:S120"/>
    </sheetView>
  </sheetViews>
  <sheetFormatPr baseColWidth="8" defaultRowHeight="13"/>
  <cols>
    <col width="5.26953125" customWidth="1" style="47" min="1" max="1"/>
    <col width="21" customWidth="1" style="47" min="2" max="2"/>
    <col width="9" bestFit="1" customWidth="1" style="47" min="3" max="3"/>
    <col width="10.08984375" bestFit="1" customWidth="1" style="47" min="18" max="18"/>
    <col width="35.7265625" bestFit="1" customWidth="1" style="47" min="19" max="19"/>
  </cols>
  <sheetData>
    <row r="1" ht="16.5" customHeight="1" s="47">
      <c r="A1" s="1" t="inlineStr">
        <is>
          <t>■ベビーリーフ　企業・月別生産量集計表</t>
        </is>
      </c>
      <c r="G1" s="1" t="inlineStr">
        <is>
          <t>はーとふる農園愛川</t>
        </is>
      </c>
      <c r="S1" s="39" t="inlineStr">
        <is>
          <t>●/●時点</t>
        </is>
      </c>
    </row>
    <row r="2" ht="17" customHeight="1" s="47" thickBot="1">
      <c r="A2" s="1" t="n"/>
      <c r="G2" s="1" t="n"/>
      <c r="S2" s="39" t="n"/>
    </row>
    <row r="3" ht="18" customHeight="1" s="47">
      <c r="A3" s="48" t="n"/>
      <c r="B3" s="55" t="inlineStr">
        <is>
          <t>KPI値</t>
        </is>
      </c>
      <c r="C3" s="32" t="inlineStr">
        <is>
          <t>目標</t>
        </is>
      </c>
      <c r="D3" s="61" t="n"/>
      <c r="E3" s="61" t="n"/>
      <c r="F3" s="61" t="n"/>
      <c r="G3" s="61" t="n"/>
      <c r="H3" s="61" t="n"/>
      <c r="I3" s="62" t="n"/>
      <c r="J3" s="35">
        <f>SUM(D3:I3)</f>
        <v/>
      </c>
      <c r="K3" s="36" t="n"/>
      <c r="L3" s="37" t="n"/>
      <c r="M3" s="37" t="n"/>
      <c r="N3" s="37" t="n"/>
      <c r="O3" s="37" t="n"/>
      <c r="P3" s="38" t="n"/>
      <c r="Q3" s="35">
        <f>SUM(K3:P3)</f>
        <v/>
      </c>
      <c r="R3" s="35">
        <f>J3+Q3</f>
        <v/>
      </c>
      <c r="S3" s="16" t="n"/>
    </row>
    <row r="4" ht="18" customHeight="1" s="47">
      <c r="A4" s="49" t="n"/>
      <c r="B4" s="52" t="n"/>
      <c r="C4" s="7" t="inlineStr">
        <is>
          <t>実績</t>
        </is>
      </c>
      <c r="D4" s="12">
        <f>D110/D112</f>
        <v/>
      </c>
      <c r="E4" s="12">
        <f>E110/E112</f>
        <v/>
      </c>
      <c r="F4" s="12">
        <f>F110/F112</f>
        <v/>
      </c>
      <c r="G4" s="12">
        <f>G110/G112</f>
        <v/>
      </c>
      <c r="H4" s="12">
        <f>H110/H112</f>
        <v/>
      </c>
      <c r="I4" s="13">
        <f>I110/I112</f>
        <v/>
      </c>
      <c r="J4" s="14">
        <f>SUM(D4:I4)</f>
        <v/>
      </c>
      <c r="K4" s="15">
        <f>K110/K112</f>
        <v/>
      </c>
      <c r="L4" s="12">
        <f>L110/L112</f>
        <v/>
      </c>
      <c r="M4" s="12">
        <f>M110/M112</f>
        <v/>
      </c>
      <c r="N4" s="12">
        <f>N110/N112</f>
        <v/>
      </c>
      <c r="O4" s="12">
        <f>O110/O112</f>
        <v/>
      </c>
      <c r="P4" s="13">
        <f>P110/P112</f>
        <v/>
      </c>
      <c r="Q4" s="14">
        <f>SUM(K4:P4)</f>
        <v/>
      </c>
      <c r="R4" s="14">
        <f>J4+Q4</f>
        <v/>
      </c>
      <c r="S4" s="17" t="n"/>
    </row>
    <row r="5" ht="18" customHeight="1" s="47" thickBot="1">
      <c r="A5" s="50" t="n"/>
      <c r="B5" s="53" t="n"/>
      <c r="C5" s="25" t="inlineStr">
        <is>
          <t>差</t>
        </is>
      </c>
      <c r="D5" s="20">
        <f>D4-D3</f>
        <v/>
      </c>
      <c r="E5" s="20">
        <f>E4-E3</f>
        <v/>
      </c>
      <c r="F5" s="20">
        <f>F4-F3</f>
        <v/>
      </c>
      <c r="G5" s="20">
        <f>G4-G3</f>
        <v/>
      </c>
      <c r="H5" s="20">
        <f>H4-H3</f>
        <v/>
      </c>
      <c r="I5" s="28">
        <f>I4-I3</f>
        <v/>
      </c>
      <c r="J5" s="21">
        <f>J4-J3</f>
        <v/>
      </c>
      <c r="K5" s="40">
        <f>K4-K3</f>
        <v/>
      </c>
      <c r="L5" s="20">
        <f>L4-L3</f>
        <v/>
      </c>
      <c r="M5" s="20">
        <f>M4-M3</f>
        <v/>
      </c>
      <c r="N5" s="20">
        <f>N4-N3</f>
        <v/>
      </c>
      <c r="O5" s="20">
        <f>O4-O3</f>
        <v/>
      </c>
      <c r="P5" s="28">
        <f>P4-P3</f>
        <v/>
      </c>
      <c r="Q5" s="21">
        <f>Q4-Q3</f>
        <v/>
      </c>
      <c r="R5" s="21">
        <f>R4-R3</f>
        <v/>
      </c>
      <c r="S5" s="18" t="n"/>
    </row>
    <row r="6" ht="13.5" customHeight="1" s="47">
      <c r="B6" s="1" t="n"/>
      <c r="G6" s="1" t="n"/>
      <c r="S6" s="39" t="n"/>
    </row>
    <row r="7" ht="13.5" customHeight="1" s="47" thickBot="1">
      <c r="K7" s="19" t="n"/>
      <c r="S7" s="39" t="inlineStr">
        <is>
          <t>（単位：㎏）</t>
        </is>
      </c>
    </row>
    <row r="8" ht="27" customHeight="1" s="47" thickBot="1">
      <c r="A8" s="26" t="n"/>
      <c r="B8" s="2" t="inlineStr">
        <is>
          <t>企業名</t>
        </is>
      </c>
      <c r="C8" s="2" t="inlineStr">
        <is>
          <t>期</t>
        </is>
      </c>
      <c r="D8" s="2" t="inlineStr">
        <is>
          <t>10月</t>
        </is>
      </c>
      <c r="E8" s="2" t="inlineStr">
        <is>
          <t>11月</t>
        </is>
      </c>
      <c r="F8" s="2" t="inlineStr">
        <is>
          <t>12月</t>
        </is>
      </c>
      <c r="G8" s="2" t="inlineStr">
        <is>
          <t>1月</t>
        </is>
      </c>
      <c r="H8" s="2" t="inlineStr">
        <is>
          <t>2月</t>
        </is>
      </c>
      <c r="I8" s="3" t="inlineStr">
        <is>
          <t>3月</t>
        </is>
      </c>
      <c r="J8" s="4" t="inlineStr">
        <is>
          <t>上期集計</t>
        </is>
      </c>
      <c r="K8" s="5" t="inlineStr">
        <is>
          <t>4月</t>
        </is>
      </c>
      <c r="L8" s="2" t="inlineStr">
        <is>
          <t>5月</t>
        </is>
      </c>
      <c r="M8" s="2" t="inlineStr">
        <is>
          <t>6月</t>
        </is>
      </c>
      <c r="N8" s="2" t="inlineStr">
        <is>
          <t>7月</t>
        </is>
      </c>
      <c r="O8" s="2" t="inlineStr">
        <is>
          <t>8月</t>
        </is>
      </c>
      <c r="P8" s="3" t="inlineStr">
        <is>
          <t>9月</t>
        </is>
      </c>
      <c r="Q8" s="4" t="inlineStr">
        <is>
          <t>下期集計</t>
        </is>
      </c>
      <c r="R8" s="4" t="inlineStr">
        <is>
          <t>合　計</t>
        </is>
      </c>
      <c r="S8" s="6" t="inlineStr">
        <is>
          <t>備考</t>
        </is>
      </c>
    </row>
    <row r="9" ht="18" customHeight="1" s="47">
      <c r="A9" s="48" t="n">
        <v>1</v>
      </c>
      <c r="B9" s="51" t="inlineStr">
        <is>
          <t>牧野フライス</t>
        </is>
      </c>
      <c r="C9" s="31" t="inlineStr">
        <is>
          <t>58期</t>
        </is>
      </c>
      <c r="D9" s="8" t="n">
        <v>4</v>
      </c>
      <c r="E9" s="8" t="n">
        <v>8.58</v>
      </c>
      <c r="F9" s="8" t="n">
        <v>13.3</v>
      </c>
      <c r="G9" s="8" t="n">
        <v>10.42</v>
      </c>
      <c r="H9" s="8" t="n">
        <v>6.92</v>
      </c>
      <c r="I9" s="9" t="n">
        <v>6.18</v>
      </c>
      <c r="J9" s="10">
        <f>SUM(D9:I9)</f>
        <v/>
      </c>
      <c r="K9" s="11" t="n">
        <v>2.22</v>
      </c>
      <c r="L9" s="8" t="n">
        <v>2.96</v>
      </c>
      <c r="M9" s="8" t="n">
        <v>2.64</v>
      </c>
      <c r="N9" s="8" t="n">
        <v>4.08</v>
      </c>
      <c r="O9" s="8" t="n">
        <v>2.44</v>
      </c>
      <c r="P9" s="9" t="n">
        <v>2.680000000000001</v>
      </c>
      <c r="Q9" s="10">
        <f>SUM(K9:P9)</f>
        <v/>
      </c>
      <c r="R9" s="10">
        <f>J9+Q9</f>
        <v/>
      </c>
      <c r="S9" s="16" t="n"/>
    </row>
    <row r="10" ht="18" customHeight="1" s="47">
      <c r="A10" s="49" t="n"/>
      <c r="B10" s="52" t="n"/>
      <c r="C10" s="7" t="inlineStr">
        <is>
          <t>59期</t>
        </is>
      </c>
      <c r="D10" s="12" t="n">
        <v>2.16</v>
      </c>
      <c r="E10" s="12" t="n">
        <v>0.9000000000000001</v>
      </c>
      <c r="F10" s="12" t="n">
        <v>2.48</v>
      </c>
      <c r="G10" s="12" t="n">
        <v>3.640000000000001</v>
      </c>
      <c r="H10" s="12" t="n"/>
      <c r="I10" s="13" t="n"/>
      <c r="J10" s="14">
        <f>SUM(D10:I10)</f>
        <v/>
      </c>
      <c r="K10" s="15" t="n"/>
      <c r="L10" s="12" t="n"/>
      <c r="M10" s="12" t="n"/>
      <c r="N10" s="12" t="n"/>
      <c r="O10" s="12" t="n"/>
      <c r="P10" s="13" t="n"/>
      <c r="Q10" s="14">
        <f>SUM(K10:P10)</f>
        <v/>
      </c>
      <c r="R10" s="14">
        <f>J10+Q10</f>
        <v/>
      </c>
      <c r="S10" s="17" t="n"/>
    </row>
    <row r="11" ht="18" customHeight="1" s="47">
      <c r="A11" s="49" t="n"/>
      <c r="B11" s="52" t="n"/>
      <c r="C11" s="23" t="inlineStr">
        <is>
          <t>増　減</t>
        </is>
      </c>
      <c r="D11" s="24">
        <f>D10-D9</f>
        <v/>
      </c>
      <c r="E11" s="24">
        <f>E10-E9</f>
        <v/>
      </c>
      <c r="F11" s="24">
        <f>F10-F9</f>
        <v/>
      </c>
      <c r="G11" s="24">
        <f>G10-G9</f>
        <v/>
      </c>
      <c r="H11" s="24">
        <f>H10-H9</f>
        <v/>
      </c>
      <c r="I11" s="27">
        <f>I10-I9</f>
        <v/>
      </c>
      <c r="J11" s="30">
        <f>SUM(D11:I11)</f>
        <v/>
      </c>
      <c r="K11" s="29">
        <f>K10-K9</f>
        <v/>
      </c>
      <c r="L11" s="24">
        <f>L10-L9</f>
        <v/>
      </c>
      <c r="M11" s="24">
        <f>M10-M9</f>
        <v/>
      </c>
      <c r="N11" s="24">
        <f>N10-N9</f>
        <v/>
      </c>
      <c r="O11" s="24">
        <f>O10-O9</f>
        <v/>
      </c>
      <c r="P11" s="27">
        <f>P10-P9</f>
        <v/>
      </c>
      <c r="Q11" s="30">
        <f>SUM(K11:P11)</f>
        <v/>
      </c>
      <c r="R11" s="30">
        <f>J11+Q11</f>
        <v/>
      </c>
      <c r="S11" s="17" t="n"/>
    </row>
    <row r="12" ht="18" customHeight="1" s="47" thickBot="1">
      <c r="A12" s="50" t="n"/>
      <c r="B12" s="53" t="n"/>
      <c r="C12" s="25" t="inlineStr">
        <is>
          <t>稼働棟数</t>
        </is>
      </c>
      <c r="D12" s="20" t="n"/>
      <c r="E12" s="20" t="n"/>
      <c r="F12" s="20" t="n"/>
      <c r="G12" s="20" t="n"/>
      <c r="H12" s="20" t="n"/>
      <c r="I12" s="28" t="n"/>
      <c r="J12" s="21">
        <f>I12</f>
        <v/>
      </c>
      <c r="K12" s="22" t="n"/>
      <c r="L12" s="20" t="n"/>
      <c r="M12" s="20" t="n"/>
      <c r="N12" s="20" t="n"/>
      <c r="O12" s="20" t="n"/>
      <c r="P12" s="28" t="n"/>
      <c r="Q12" s="21">
        <f>P12</f>
        <v/>
      </c>
      <c r="R12" s="21">
        <f>Q12</f>
        <v/>
      </c>
      <c r="S12" s="18" t="n"/>
    </row>
    <row r="13" ht="18" customHeight="1" s="47">
      <c r="A13" s="48" t="n">
        <v>2</v>
      </c>
      <c r="B13" s="51" t="inlineStr">
        <is>
          <t>日本ファブテック</t>
        </is>
      </c>
      <c r="C13" s="31" t="inlineStr">
        <is>
          <t>58期</t>
        </is>
      </c>
      <c r="D13" s="8" t="n">
        <v>2.3</v>
      </c>
      <c r="E13" s="8" t="n">
        <v>5.16</v>
      </c>
      <c r="F13" s="8" t="n">
        <v>5.71</v>
      </c>
      <c r="G13" s="8" t="n">
        <v>5.18</v>
      </c>
      <c r="H13" s="8" t="n">
        <v>2.18</v>
      </c>
      <c r="I13" s="9" t="n">
        <v>3.68</v>
      </c>
      <c r="J13" s="10">
        <f>SUM(D13:I13)</f>
        <v/>
      </c>
      <c r="K13" s="11" t="n">
        <v>2.36</v>
      </c>
      <c r="L13" s="8" t="n">
        <v>2.42</v>
      </c>
      <c r="M13" s="8" t="n">
        <v>1.82</v>
      </c>
      <c r="N13" s="8" t="n">
        <v>4.44</v>
      </c>
      <c r="O13" s="8" t="n">
        <v>2.32</v>
      </c>
      <c r="P13" s="9" t="n">
        <v>2.3</v>
      </c>
      <c r="Q13" s="10">
        <f>SUM(K13:P13)</f>
        <v/>
      </c>
      <c r="R13" s="10">
        <f>J13+Q13</f>
        <v/>
      </c>
      <c r="S13" s="16" t="n"/>
    </row>
    <row r="14" ht="18" customHeight="1" s="47">
      <c r="A14" s="49" t="n"/>
      <c r="B14" s="52" t="n"/>
      <c r="C14" s="7" t="inlineStr">
        <is>
          <t>59期</t>
        </is>
      </c>
      <c r="D14" s="12" t="n">
        <v>0.9000000000000001</v>
      </c>
      <c r="E14" s="12" t="n">
        <v>0.8600000000000001</v>
      </c>
      <c r="F14" s="12" t="n">
        <v>2.06</v>
      </c>
      <c r="G14" s="12" t="n">
        <v>3.020000000000001</v>
      </c>
      <c r="H14" s="12" t="n"/>
      <c r="I14" s="13" t="n"/>
      <c r="J14" s="14">
        <f>SUM(D14:I14)</f>
        <v/>
      </c>
      <c r="K14" s="15" t="n"/>
      <c r="L14" s="12" t="n"/>
      <c r="M14" s="12" t="n"/>
      <c r="N14" s="12" t="n"/>
      <c r="O14" s="12" t="n"/>
      <c r="P14" s="13" t="n"/>
      <c r="Q14" s="14">
        <f>SUM(K14:P14)</f>
        <v/>
      </c>
      <c r="R14" s="14">
        <f>J14+Q14</f>
        <v/>
      </c>
      <c r="S14" s="17" t="n"/>
    </row>
    <row r="15" ht="18" customHeight="1" s="47">
      <c r="A15" s="49" t="n"/>
      <c r="B15" s="52" t="n"/>
      <c r="C15" s="23" t="inlineStr">
        <is>
          <t>増　減</t>
        </is>
      </c>
      <c r="D15" s="24">
        <f>D14-D13</f>
        <v/>
      </c>
      <c r="E15" s="24">
        <f>E14-E13</f>
        <v/>
      </c>
      <c r="F15" s="24">
        <f>F14-F13</f>
        <v/>
      </c>
      <c r="G15" s="24">
        <f>G14-G13</f>
        <v/>
      </c>
      <c r="H15" s="24">
        <f>H14-H13</f>
        <v/>
      </c>
      <c r="I15" s="27">
        <f>I14-I13</f>
        <v/>
      </c>
      <c r="J15" s="30">
        <f>SUM(D15:I15)</f>
        <v/>
      </c>
      <c r="K15" s="29">
        <f>K14-K13</f>
        <v/>
      </c>
      <c r="L15" s="24">
        <f>L14-L13</f>
        <v/>
      </c>
      <c r="M15" s="24">
        <f>M14-M13</f>
        <v/>
      </c>
      <c r="N15" s="24">
        <f>N14-N13</f>
        <v/>
      </c>
      <c r="O15" s="24">
        <f>O14-O13</f>
        <v/>
      </c>
      <c r="P15" s="27">
        <f>P14-P13</f>
        <v/>
      </c>
      <c r="Q15" s="30">
        <f>SUM(K15:P15)</f>
        <v/>
      </c>
      <c r="R15" s="30">
        <f>J15+Q15</f>
        <v/>
      </c>
      <c r="S15" s="17" t="n"/>
    </row>
    <row r="16" ht="18" customHeight="1" s="47" thickBot="1">
      <c r="A16" s="50" t="n"/>
      <c r="B16" s="53" t="n"/>
      <c r="C16" s="25" t="inlineStr">
        <is>
          <t>稼働棟数</t>
        </is>
      </c>
      <c r="D16" s="20" t="n"/>
      <c r="E16" s="20" t="n"/>
      <c r="F16" s="20" t="n"/>
      <c r="G16" s="20" t="n"/>
      <c r="H16" s="20" t="n"/>
      <c r="I16" s="28" t="n"/>
      <c r="J16" s="21">
        <f>I16</f>
        <v/>
      </c>
      <c r="K16" s="22" t="n"/>
      <c r="L16" s="20" t="n"/>
      <c r="M16" s="20" t="n"/>
      <c r="N16" s="20" t="n"/>
      <c r="O16" s="20" t="n"/>
      <c r="P16" s="28" t="n"/>
      <c r="Q16" s="21">
        <f>P16</f>
        <v/>
      </c>
      <c r="R16" s="21">
        <f>Q16</f>
        <v/>
      </c>
      <c r="S16" s="18" t="n"/>
    </row>
    <row r="17" ht="18" customHeight="1" s="47">
      <c r="A17" s="48" t="n">
        <v>3</v>
      </c>
      <c r="B17" s="51" t="inlineStr">
        <is>
          <t>東レ</t>
        </is>
      </c>
      <c r="C17" s="31" t="inlineStr">
        <is>
          <t>58期</t>
        </is>
      </c>
      <c r="D17" s="8" t="n">
        <v>11.7</v>
      </c>
      <c r="E17" s="8" t="n">
        <v>22.6</v>
      </c>
      <c r="F17" s="8" t="n">
        <v>22.6</v>
      </c>
      <c r="G17" s="8" t="n">
        <v>32.82</v>
      </c>
      <c r="H17" s="8" t="n">
        <v>18.26</v>
      </c>
      <c r="I17" s="9" t="n">
        <v>15.5</v>
      </c>
      <c r="J17" s="10">
        <f>SUM(D17:I17)</f>
        <v/>
      </c>
      <c r="K17" s="11" t="n">
        <v>20.3</v>
      </c>
      <c r="L17" s="8" t="n">
        <v>14.34</v>
      </c>
      <c r="M17" s="8" t="n">
        <v>10.11</v>
      </c>
      <c r="N17" s="8" t="n">
        <v>17.19</v>
      </c>
      <c r="O17" s="8" t="n">
        <v>13.38</v>
      </c>
      <c r="P17" s="9" t="n">
        <v>13.08</v>
      </c>
      <c r="Q17" s="10">
        <f>SUM(K17:P17)</f>
        <v/>
      </c>
      <c r="R17" s="10">
        <f>J17+Q17</f>
        <v/>
      </c>
      <c r="S17" s="16" t="n"/>
    </row>
    <row r="18" ht="18" customHeight="1" s="47">
      <c r="A18" s="49" t="n"/>
      <c r="B18" s="52" t="n"/>
      <c r="C18" s="7" t="inlineStr">
        <is>
          <t>59期</t>
        </is>
      </c>
      <c r="D18" s="12" t="n">
        <v>16.26</v>
      </c>
      <c r="E18" s="12" t="n">
        <v>7.920000000000001</v>
      </c>
      <c r="F18" s="12" t="n">
        <v>0.02</v>
      </c>
      <c r="G18" s="12" t="n">
        <v>33.46000000000001</v>
      </c>
      <c r="H18" s="12" t="n"/>
      <c r="I18" s="13" t="n"/>
      <c r="J18" s="14">
        <f>SUM(D18:I18)</f>
        <v/>
      </c>
      <c r="K18" s="15" t="n"/>
      <c r="L18" s="12" t="n"/>
      <c r="M18" s="12" t="n"/>
      <c r="N18" s="12" t="n"/>
      <c r="O18" s="12" t="n"/>
      <c r="P18" s="13" t="n"/>
      <c r="Q18" s="14">
        <f>SUM(K18:P18)</f>
        <v/>
      </c>
      <c r="R18" s="14">
        <f>J18+Q18</f>
        <v/>
      </c>
      <c r="S18" s="17" t="n"/>
    </row>
    <row r="19" ht="18" customHeight="1" s="47">
      <c r="A19" s="49" t="n"/>
      <c r="B19" s="52" t="n"/>
      <c r="C19" s="23" t="inlineStr">
        <is>
          <t>増　減</t>
        </is>
      </c>
      <c r="D19" s="24">
        <f>D18-D17</f>
        <v/>
      </c>
      <c r="E19" s="24">
        <f>E18-E17</f>
        <v/>
      </c>
      <c r="F19" s="24">
        <f>F18-F17</f>
        <v/>
      </c>
      <c r="G19" s="24">
        <f>G18-G17</f>
        <v/>
      </c>
      <c r="H19" s="24">
        <f>H18-H17</f>
        <v/>
      </c>
      <c r="I19" s="27">
        <f>I18-I17</f>
        <v/>
      </c>
      <c r="J19" s="30">
        <f>SUM(D19:I19)</f>
        <v/>
      </c>
      <c r="K19" s="29">
        <f>K18-K17</f>
        <v/>
      </c>
      <c r="L19" s="24">
        <f>L18-L17</f>
        <v/>
      </c>
      <c r="M19" s="24">
        <f>M18-M17</f>
        <v/>
      </c>
      <c r="N19" s="24">
        <f>N18-N17</f>
        <v/>
      </c>
      <c r="O19" s="24">
        <f>O18-O17</f>
        <v/>
      </c>
      <c r="P19" s="27">
        <f>P18-P17</f>
        <v/>
      </c>
      <c r="Q19" s="30">
        <f>SUM(K19:P19)</f>
        <v/>
      </c>
      <c r="R19" s="30">
        <f>J19+Q19</f>
        <v/>
      </c>
      <c r="S19" s="17" t="n"/>
    </row>
    <row r="20" ht="18" customHeight="1" s="47" thickBot="1">
      <c r="A20" s="50" t="n"/>
      <c r="B20" s="53" t="n"/>
      <c r="C20" s="25" t="inlineStr">
        <is>
          <t>稼働棟数</t>
        </is>
      </c>
      <c r="D20" s="20" t="n"/>
      <c r="E20" s="20" t="n"/>
      <c r="F20" s="20" t="n"/>
      <c r="G20" s="20" t="n"/>
      <c r="H20" s="20" t="n"/>
      <c r="I20" s="28" t="n"/>
      <c r="J20" s="21">
        <f>I20</f>
        <v/>
      </c>
      <c r="K20" s="22" t="n"/>
      <c r="L20" s="20" t="n"/>
      <c r="M20" s="20" t="n"/>
      <c r="N20" s="20" t="n"/>
      <c r="O20" s="20" t="n"/>
      <c r="P20" s="28" t="n"/>
      <c r="Q20" s="21">
        <f>P20</f>
        <v/>
      </c>
      <c r="R20" s="21">
        <f>Q20</f>
        <v/>
      </c>
      <c r="S20" s="18" t="n"/>
    </row>
    <row r="21" ht="18" customHeight="1" s="47">
      <c r="A21" s="48" t="n">
        <v>4</v>
      </c>
      <c r="B21" s="54" t="inlineStr">
        <is>
          <t>日本ロレアル</t>
        </is>
      </c>
      <c r="C21" s="31" t="inlineStr">
        <is>
          <t>58期</t>
        </is>
      </c>
      <c r="D21" s="8" t="n">
        <v>2.5</v>
      </c>
      <c r="E21" s="8" t="n">
        <v>0.7</v>
      </c>
      <c r="F21" s="8" t="n">
        <v>4.5</v>
      </c>
      <c r="G21" s="8" t="n">
        <v>4.62</v>
      </c>
      <c r="H21" s="8" t="n">
        <v>5.24</v>
      </c>
      <c r="I21" s="9" t="n">
        <v>3.08</v>
      </c>
      <c r="J21" s="10">
        <f>SUM(D21:I21)</f>
        <v/>
      </c>
      <c r="K21" s="11" t="n">
        <v>0.98</v>
      </c>
      <c r="L21" s="8" t="n">
        <v>3.3</v>
      </c>
      <c r="M21" s="8" t="n">
        <v>2.18</v>
      </c>
      <c r="N21" s="8" t="n">
        <v>4.54</v>
      </c>
      <c r="O21" s="8" t="n">
        <v>1.82</v>
      </c>
      <c r="P21" s="9" t="n">
        <v>2.22</v>
      </c>
      <c r="Q21" s="10">
        <f>SUM(K21:P21)</f>
        <v/>
      </c>
      <c r="R21" s="10">
        <f>J21+Q21</f>
        <v/>
      </c>
      <c r="S21" s="16" t="n"/>
    </row>
    <row r="22" ht="18" customHeight="1" s="47">
      <c r="A22" s="49" t="n"/>
      <c r="B22" s="52" t="n"/>
      <c r="C22" s="7" t="inlineStr">
        <is>
          <t>59期</t>
        </is>
      </c>
      <c r="D22" s="12" t="n">
        <v>3.920000000000001</v>
      </c>
      <c r="E22" s="12" t="n">
        <v>1.62</v>
      </c>
      <c r="F22" s="12" t="n">
        <v>0</v>
      </c>
      <c r="G22" s="12" t="n">
        <v>4.980000000000001</v>
      </c>
      <c r="H22" s="12" t="n"/>
      <c r="I22" s="13" t="n"/>
      <c r="J22" s="14">
        <f>SUM(D22:I22)</f>
        <v/>
      </c>
      <c r="K22" s="15" t="n"/>
      <c r="L22" s="12" t="n"/>
      <c r="M22" s="12" t="n"/>
      <c r="N22" s="12" t="n"/>
      <c r="O22" s="12" t="n"/>
      <c r="P22" s="13" t="n"/>
      <c r="Q22" s="14">
        <f>SUM(K22:P22)</f>
        <v/>
      </c>
      <c r="R22" s="14">
        <f>J22+Q22</f>
        <v/>
      </c>
      <c r="S22" s="17" t="n"/>
    </row>
    <row r="23" ht="18" customHeight="1" s="47">
      <c r="A23" s="49" t="n"/>
      <c r="B23" s="52" t="n"/>
      <c r="C23" s="23" t="inlineStr">
        <is>
          <t>増　減</t>
        </is>
      </c>
      <c r="D23" s="24">
        <f>D22-D21</f>
        <v/>
      </c>
      <c r="E23" s="24">
        <f>E22-E21</f>
        <v/>
      </c>
      <c r="F23" s="24">
        <f>F22-F21</f>
        <v/>
      </c>
      <c r="G23" s="24">
        <f>G22-G21</f>
        <v/>
      </c>
      <c r="H23" s="24">
        <f>H22-H21</f>
        <v/>
      </c>
      <c r="I23" s="27">
        <f>I22-I21</f>
        <v/>
      </c>
      <c r="J23" s="30">
        <f>SUM(D23:I23)</f>
        <v/>
      </c>
      <c r="K23" s="29">
        <f>K22-K21</f>
        <v/>
      </c>
      <c r="L23" s="24">
        <f>L22-L21</f>
        <v/>
      </c>
      <c r="M23" s="24">
        <f>M22-M21</f>
        <v/>
      </c>
      <c r="N23" s="24">
        <f>N22-N21</f>
        <v/>
      </c>
      <c r="O23" s="24">
        <f>O22-O21</f>
        <v/>
      </c>
      <c r="P23" s="27">
        <f>P22-P21</f>
        <v/>
      </c>
      <c r="Q23" s="30">
        <f>SUM(K23:P23)</f>
        <v/>
      </c>
      <c r="R23" s="30">
        <f>J23+Q23</f>
        <v/>
      </c>
      <c r="S23" s="17" t="n"/>
    </row>
    <row r="24" ht="18" customHeight="1" s="47" thickBot="1">
      <c r="A24" s="50" t="n"/>
      <c r="B24" s="53" t="n"/>
      <c r="C24" s="25" t="inlineStr">
        <is>
          <t>稼働棟数</t>
        </is>
      </c>
      <c r="D24" s="20" t="n"/>
      <c r="E24" s="20" t="n"/>
      <c r="F24" s="20" t="n"/>
      <c r="G24" s="20" t="n"/>
      <c r="H24" s="20" t="n"/>
      <c r="I24" s="28" t="n"/>
      <c r="J24" s="21">
        <f>I24</f>
        <v/>
      </c>
      <c r="K24" s="22" t="n"/>
      <c r="L24" s="20" t="n"/>
      <c r="M24" s="20" t="n"/>
      <c r="N24" s="20" t="n"/>
      <c r="O24" s="20" t="n"/>
      <c r="P24" s="28" t="n"/>
      <c r="Q24" s="21">
        <f>P24</f>
        <v/>
      </c>
      <c r="R24" s="21">
        <f>Q24</f>
        <v/>
      </c>
      <c r="S24" s="18" t="n"/>
    </row>
    <row r="25" ht="18" customHeight="1" s="47">
      <c r="A25" s="48" t="n">
        <v>5</v>
      </c>
      <c r="B25" s="54" t="inlineStr">
        <is>
          <t>サンセイランディック</t>
        </is>
      </c>
      <c r="C25" s="31" t="inlineStr">
        <is>
          <t>58期</t>
        </is>
      </c>
      <c r="D25" s="8" t="n">
        <v>3.2</v>
      </c>
      <c r="E25" s="8" t="n">
        <v>3.96</v>
      </c>
      <c r="F25" s="8" t="n">
        <v>8.640000000000001</v>
      </c>
      <c r="G25" s="8" t="n">
        <v>7.23</v>
      </c>
      <c r="H25" s="8" t="n">
        <v>2.3</v>
      </c>
      <c r="I25" s="9" t="n">
        <v>5.68</v>
      </c>
      <c r="J25" s="10">
        <f>SUM(D25:I25)</f>
        <v/>
      </c>
      <c r="K25" s="11" t="n">
        <v>1.44</v>
      </c>
      <c r="L25" s="8" t="n">
        <v>4.32</v>
      </c>
      <c r="M25" s="8" t="n">
        <v>2.16</v>
      </c>
      <c r="N25" s="8" t="n">
        <v>5.02</v>
      </c>
      <c r="O25" s="8" t="n">
        <v>1.46</v>
      </c>
      <c r="P25" s="9" t="n">
        <v>3.38</v>
      </c>
      <c r="Q25" s="10">
        <f>SUM(K25:P25)</f>
        <v/>
      </c>
      <c r="R25" s="10">
        <f>J25+Q25</f>
        <v/>
      </c>
      <c r="S25" s="16" t="n"/>
    </row>
    <row r="26" ht="18" customHeight="1" s="47">
      <c r="A26" s="49" t="n"/>
      <c r="B26" s="52" t="n"/>
      <c r="C26" s="7" t="inlineStr">
        <is>
          <t>59期</t>
        </is>
      </c>
      <c r="D26" s="12" t="n">
        <v>1.92</v>
      </c>
      <c r="E26" s="12" t="n">
        <v>1.32</v>
      </c>
      <c r="F26" s="12" t="n">
        <v>1.1</v>
      </c>
      <c r="G26" s="12" t="n">
        <v>3.28</v>
      </c>
      <c r="H26" s="12" t="n"/>
      <c r="I26" s="13" t="n"/>
      <c r="J26" s="14">
        <f>SUM(D26:I26)</f>
        <v/>
      </c>
      <c r="K26" s="15" t="n"/>
      <c r="L26" s="12" t="n"/>
      <c r="M26" s="12" t="n"/>
      <c r="N26" s="12" t="n"/>
      <c r="O26" s="12" t="n"/>
      <c r="P26" s="13" t="n"/>
      <c r="Q26" s="14">
        <f>SUM(K26:P26)</f>
        <v/>
      </c>
      <c r="R26" s="14">
        <f>J26+Q26</f>
        <v/>
      </c>
      <c r="S26" s="17" t="n"/>
    </row>
    <row r="27" ht="18" customHeight="1" s="47">
      <c r="A27" s="49" t="n"/>
      <c r="B27" s="52" t="n"/>
      <c r="C27" s="23" t="inlineStr">
        <is>
          <t>増　減</t>
        </is>
      </c>
      <c r="D27" s="24">
        <f>D26-D25</f>
        <v/>
      </c>
      <c r="E27" s="24">
        <f>E26-E25</f>
        <v/>
      </c>
      <c r="F27" s="24">
        <f>F26-F25</f>
        <v/>
      </c>
      <c r="G27" s="24">
        <f>G26-G25</f>
        <v/>
      </c>
      <c r="H27" s="24">
        <f>H26-H25</f>
        <v/>
      </c>
      <c r="I27" s="27">
        <f>I26-I25</f>
        <v/>
      </c>
      <c r="J27" s="30">
        <f>SUM(D27:I27)</f>
        <v/>
      </c>
      <c r="K27" s="29">
        <f>K26-K25</f>
        <v/>
      </c>
      <c r="L27" s="24">
        <f>L26-L25</f>
        <v/>
      </c>
      <c r="M27" s="24">
        <f>M26-M25</f>
        <v/>
      </c>
      <c r="N27" s="24">
        <f>N26-N25</f>
        <v/>
      </c>
      <c r="O27" s="24">
        <f>O26-O25</f>
        <v/>
      </c>
      <c r="P27" s="27">
        <f>P26-P25</f>
        <v/>
      </c>
      <c r="Q27" s="30">
        <f>SUM(K27:P27)</f>
        <v/>
      </c>
      <c r="R27" s="30">
        <f>J27+Q27</f>
        <v/>
      </c>
      <c r="S27" s="17" t="n"/>
    </row>
    <row r="28" ht="18" customHeight="1" s="47" thickBot="1">
      <c r="A28" s="50" t="n"/>
      <c r="B28" s="53" t="n"/>
      <c r="C28" s="25" t="inlineStr">
        <is>
          <t>稼働棟数</t>
        </is>
      </c>
      <c r="D28" s="20" t="n"/>
      <c r="E28" s="20" t="n"/>
      <c r="F28" s="20" t="n"/>
      <c r="G28" s="20" t="n"/>
      <c r="H28" s="20" t="n"/>
      <c r="I28" s="28" t="n"/>
      <c r="J28" s="21">
        <f>I28</f>
        <v/>
      </c>
      <c r="K28" s="22" t="n"/>
      <c r="L28" s="20" t="n"/>
      <c r="M28" s="20" t="n"/>
      <c r="N28" s="20" t="n"/>
      <c r="O28" s="20" t="n"/>
      <c r="P28" s="28" t="n"/>
      <c r="Q28" s="21">
        <f>P28</f>
        <v/>
      </c>
      <c r="R28" s="21">
        <f>Q28</f>
        <v/>
      </c>
      <c r="S28" s="18" t="n"/>
    </row>
    <row r="29" ht="18" customHeight="1" s="47">
      <c r="A29" s="48" t="n">
        <v>6</v>
      </c>
      <c r="B29" s="51" t="inlineStr">
        <is>
          <t>昭和女子</t>
        </is>
      </c>
      <c r="C29" s="31" t="inlineStr">
        <is>
          <t>58期</t>
        </is>
      </c>
      <c r="D29" s="8" t="n">
        <v>4.7</v>
      </c>
      <c r="E29" s="8" t="n">
        <v>14.04</v>
      </c>
      <c r="F29" s="8" t="n">
        <v>15.64</v>
      </c>
      <c r="G29" s="8" t="n">
        <v>24.12</v>
      </c>
      <c r="H29" s="8" t="n">
        <v>12.86</v>
      </c>
      <c r="I29" s="9" t="n">
        <v>7.84</v>
      </c>
      <c r="J29" s="10">
        <f>SUM(D29:I29)</f>
        <v/>
      </c>
      <c r="K29" s="11" t="n">
        <v>5.26</v>
      </c>
      <c r="L29" s="8" t="n">
        <v>11.48</v>
      </c>
      <c r="M29" s="8" t="n">
        <v>11.56</v>
      </c>
      <c r="N29" s="8" t="n">
        <v>8.26</v>
      </c>
      <c r="O29" s="8" t="n">
        <v>6.570000000000001</v>
      </c>
      <c r="P29" s="9" t="n">
        <v>15.68</v>
      </c>
      <c r="Q29" s="10">
        <f>SUM(K29:P29)</f>
        <v/>
      </c>
      <c r="R29" s="10">
        <f>J29+Q29</f>
        <v/>
      </c>
      <c r="S29" s="16" t="n"/>
    </row>
    <row r="30" ht="18" customHeight="1" s="47">
      <c r="A30" s="49" t="n"/>
      <c r="B30" s="52" t="n"/>
      <c r="C30" s="7" t="inlineStr">
        <is>
          <t>59期</t>
        </is>
      </c>
      <c r="D30" s="12" t="n">
        <v>15.66</v>
      </c>
      <c r="E30" s="12" t="n">
        <v>4.940000000000001</v>
      </c>
      <c r="F30" s="12" t="n">
        <v>13.28</v>
      </c>
      <c r="G30" s="12" t="n">
        <v>8.06</v>
      </c>
      <c r="H30" s="12" t="n"/>
      <c r="I30" s="13" t="n"/>
      <c r="J30" s="14">
        <f>SUM(D30:I30)</f>
        <v/>
      </c>
      <c r="K30" s="15" t="n"/>
      <c r="L30" s="12" t="n"/>
      <c r="M30" s="12" t="n"/>
      <c r="N30" s="12" t="n"/>
      <c r="O30" s="12" t="n"/>
      <c r="P30" s="13" t="n"/>
      <c r="Q30" s="14">
        <f>SUM(K30:P30)</f>
        <v/>
      </c>
      <c r="R30" s="14">
        <f>J30+Q30</f>
        <v/>
      </c>
      <c r="S30" s="17" t="n"/>
    </row>
    <row r="31" ht="18" customHeight="1" s="47">
      <c r="A31" s="49" t="n"/>
      <c r="B31" s="52" t="n"/>
      <c r="C31" s="23" t="inlineStr">
        <is>
          <t>増　減</t>
        </is>
      </c>
      <c r="D31" s="24">
        <f>D30-D29</f>
        <v/>
      </c>
      <c r="E31" s="24">
        <f>E30-E29</f>
        <v/>
      </c>
      <c r="F31" s="24">
        <f>F30-F29</f>
        <v/>
      </c>
      <c r="G31" s="24">
        <f>G30-G29</f>
        <v/>
      </c>
      <c r="H31" s="24">
        <f>H30-H29</f>
        <v/>
      </c>
      <c r="I31" s="27">
        <f>I30-I29</f>
        <v/>
      </c>
      <c r="J31" s="30">
        <f>SUM(D31:I31)</f>
        <v/>
      </c>
      <c r="K31" s="29">
        <f>K30-K29</f>
        <v/>
      </c>
      <c r="L31" s="24">
        <f>L30-L29</f>
        <v/>
      </c>
      <c r="M31" s="24">
        <f>M30-M29</f>
        <v/>
      </c>
      <c r="N31" s="24">
        <f>N30-N29</f>
        <v/>
      </c>
      <c r="O31" s="24">
        <f>O30-O29</f>
        <v/>
      </c>
      <c r="P31" s="27">
        <f>P30-P29</f>
        <v/>
      </c>
      <c r="Q31" s="30">
        <f>SUM(K31:P31)</f>
        <v/>
      </c>
      <c r="R31" s="30">
        <f>J31+Q31</f>
        <v/>
      </c>
      <c r="S31" s="17" t="n"/>
    </row>
    <row r="32" ht="18" customHeight="1" s="47" thickBot="1">
      <c r="A32" s="50" t="n"/>
      <c r="B32" s="53" t="n"/>
      <c r="C32" s="25" t="inlineStr">
        <is>
          <t>稼働棟数</t>
        </is>
      </c>
      <c r="D32" s="20" t="n"/>
      <c r="E32" s="20" t="n"/>
      <c r="F32" s="20" t="n"/>
      <c r="G32" s="20" t="n"/>
      <c r="H32" s="20" t="n"/>
      <c r="I32" s="28" t="n"/>
      <c r="J32" s="21">
        <f>I32</f>
        <v/>
      </c>
      <c r="K32" s="22" t="n"/>
      <c r="L32" s="20" t="n"/>
      <c r="M32" s="20" t="n"/>
      <c r="N32" s="20" t="n"/>
      <c r="O32" s="20" t="n"/>
      <c r="P32" s="28" t="n"/>
      <c r="Q32" s="21">
        <f>P32</f>
        <v/>
      </c>
      <c r="R32" s="21">
        <f>Q32</f>
        <v/>
      </c>
      <c r="S32" s="18" t="n"/>
    </row>
    <row r="33" ht="18" customHeight="1" s="47">
      <c r="A33" s="48" t="n">
        <v>7</v>
      </c>
      <c r="B33" s="51" t="inlineStr">
        <is>
          <t>QB</t>
        </is>
      </c>
      <c r="C33" s="31" t="inlineStr">
        <is>
          <t>58期</t>
        </is>
      </c>
      <c r="D33" s="8" t="n">
        <v>12.6</v>
      </c>
      <c r="E33" s="8" t="n">
        <v>13.58</v>
      </c>
      <c r="F33" s="8" t="n">
        <v>17.42</v>
      </c>
      <c r="G33" s="8" t="n">
        <v>41.38</v>
      </c>
      <c r="H33" s="8" t="n">
        <v>27.07</v>
      </c>
      <c r="I33" s="9" t="n">
        <v>27.84</v>
      </c>
      <c r="J33" s="10">
        <f>SUM(D33:I33)</f>
        <v/>
      </c>
      <c r="K33" s="11" t="n">
        <v>19.7</v>
      </c>
      <c r="L33" s="8" t="n">
        <v>22.93</v>
      </c>
      <c r="M33" s="8" t="n">
        <v>11.98</v>
      </c>
      <c r="N33" s="8" t="n">
        <v>7.38</v>
      </c>
      <c r="O33" s="8" t="n">
        <v>9.01</v>
      </c>
      <c r="P33" s="9" t="n">
        <v>10.23</v>
      </c>
      <c r="Q33" s="10">
        <f>SUM(K33:P33)</f>
        <v/>
      </c>
      <c r="R33" s="10">
        <f>J33+Q33</f>
        <v/>
      </c>
      <c r="S33" s="16" t="n"/>
    </row>
    <row r="34" ht="18" customHeight="1" s="47">
      <c r="A34" s="49" t="n"/>
      <c r="B34" s="52" t="n"/>
      <c r="C34" s="7" t="inlineStr">
        <is>
          <t>59期</t>
        </is>
      </c>
      <c r="D34" s="12" t="n">
        <v>14.69999999999999</v>
      </c>
      <c r="E34" s="12" t="n">
        <v>8.729999999999999</v>
      </c>
      <c r="F34" s="12" t="n">
        <v>0.01</v>
      </c>
      <c r="G34" s="12" t="n">
        <v>8.470000000000001</v>
      </c>
      <c r="H34" s="12" t="n"/>
      <c r="I34" s="13" t="n"/>
      <c r="J34" s="14">
        <f>SUM(D34:I34)</f>
        <v/>
      </c>
      <c r="K34" s="15" t="n"/>
      <c r="L34" s="12" t="n"/>
      <c r="M34" s="12" t="n"/>
      <c r="N34" s="12" t="n"/>
      <c r="O34" s="12" t="n"/>
      <c r="P34" s="13" t="n"/>
      <c r="Q34" s="14">
        <f>SUM(K34:P34)</f>
        <v/>
      </c>
      <c r="R34" s="14">
        <f>J34+Q34</f>
        <v/>
      </c>
      <c r="S34" s="17" t="n"/>
    </row>
    <row r="35" ht="18" customHeight="1" s="47">
      <c r="A35" s="49" t="n"/>
      <c r="B35" s="52" t="n"/>
      <c r="C35" s="23" t="inlineStr">
        <is>
          <t>増　減</t>
        </is>
      </c>
      <c r="D35" s="24">
        <f>D34-D33</f>
        <v/>
      </c>
      <c r="E35" s="24">
        <f>E34-E33</f>
        <v/>
      </c>
      <c r="F35" s="24">
        <f>F34-F33</f>
        <v/>
      </c>
      <c r="G35" s="24">
        <f>G34-G33</f>
        <v/>
      </c>
      <c r="H35" s="24">
        <f>H34-H33</f>
        <v/>
      </c>
      <c r="I35" s="27">
        <f>I34-I33</f>
        <v/>
      </c>
      <c r="J35" s="30">
        <f>SUM(D35:I35)</f>
        <v/>
      </c>
      <c r="K35" s="29">
        <f>K34-K33</f>
        <v/>
      </c>
      <c r="L35" s="24">
        <f>L34-L33</f>
        <v/>
      </c>
      <c r="M35" s="24">
        <f>M34-M33</f>
        <v/>
      </c>
      <c r="N35" s="24">
        <f>N34-N33</f>
        <v/>
      </c>
      <c r="O35" s="24">
        <f>O34-O33</f>
        <v/>
      </c>
      <c r="P35" s="27">
        <f>P34-P33</f>
        <v/>
      </c>
      <c r="Q35" s="30">
        <f>SUM(K35:P35)</f>
        <v/>
      </c>
      <c r="R35" s="30">
        <f>J35+Q35</f>
        <v/>
      </c>
      <c r="S35" s="17" t="n"/>
    </row>
    <row r="36" ht="18" customHeight="1" s="47" thickBot="1">
      <c r="A36" s="50" t="n"/>
      <c r="B36" s="53" t="n"/>
      <c r="C36" s="25" t="inlineStr">
        <is>
          <t>稼働棟数</t>
        </is>
      </c>
      <c r="D36" s="20" t="n"/>
      <c r="E36" s="20" t="n"/>
      <c r="F36" s="20" t="n"/>
      <c r="G36" s="20" t="n"/>
      <c r="H36" s="20" t="n"/>
      <c r="I36" s="28" t="n"/>
      <c r="J36" s="21">
        <f>I36</f>
        <v/>
      </c>
      <c r="K36" s="22" t="n"/>
      <c r="L36" s="20" t="n"/>
      <c r="M36" s="20" t="n"/>
      <c r="N36" s="20" t="n"/>
      <c r="O36" s="20" t="n"/>
      <c r="P36" s="28" t="n"/>
      <c r="Q36" s="21">
        <f>P36</f>
        <v/>
      </c>
      <c r="R36" s="21">
        <f>Q36</f>
        <v/>
      </c>
      <c r="S36" s="18" t="n"/>
    </row>
    <row r="37" ht="18" customHeight="1" s="47">
      <c r="A37" s="48" t="n">
        <v>8</v>
      </c>
      <c r="B37" s="51" t="inlineStr">
        <is>
          <t>NaITO</t>
        </is>
      </c>
      <c r="C37" s="31" t="inlineStr">
        <is>
          <t>58期</t>
        </is>
      </c>
      <c r="D37" s="8" t="n"/>
      <c r="E37" s="8" t="n">
        <v>2.44</v>
      </c>
      <c r="F37" s="8" t="n">
        <v>2.26</v>
      </c>
      <c r="G37" s="8" t="n">
        <v>7.44</v>
      </c>
      <c r="H37" s="8" t="n">
        <v>5.64</v>
      </c>
      <c r="I37" s="9" t="n">
        <v>5.12</v>
      </c>
      <c r="J37" s="10">
        <f>SUM(D37:I37)</f>
        <v/>
      </c>
      <c r="K37" s="11" t="n">
        <v>2.9</v>
      </c>
      <c r="L37" s="8" t="n">
        <v>1.44</v>
      </c>
      <c r="M37" s="8" t="n">
        <v>2.14</v>
      </c>
      <c r="N37" s="8" t="n">
        <v>0.35</v>
      </c>
      <c r="O37" s="8" t="n">
        <v>2.18</v>
      </c>
      <c r="P37" s="9" t="n">
        <v>3.980000000000001</v>
      </c>
      <c r="Q37" s="10">
        <f>SUM(K37:P37)</f>
        <v/>
      </c>
      <c r="R37" s="10">
        <f>J37+Q37</f>
        <v/>
      </c>
      <c r="S37" s="16" t="n"/>
    </row>
    <row r="38" ht="18" customHeight="1" s="47">
      <c r="A38" s="49" t="n"/>
      <c r="B38" s="52" t="n"/>
      <c r="C38" s="7" t="inlineStr">
        <is>
          <t>59期</t>
        </is>
      </c>
      <c r="D38" s="12" t="n">
        <v>1.24</v>
      </c>
      <c r="E38" s="12" t="n">
        <v>3.2</v>
      </c>
      <c r="F38" s="12" t="n">
        <v>0</v>
      </c>
      <c r="G38" s="12" t="n">
        <v>4.62</v>
      </c>
      <c r="H38" s="12" t="n"/>
      <c r="I38" s="13" t="n"/>
      <c r="J38" s="14">
        <f>SUM(D38:I38)</f>
        <v/>
      </c>
      <c r="K38" s="15" t="n"/>
      <c r="L38" s="12" t="n"/>
      <c r="M38" s="12" t="n"/>
      <c r="N38" s="12" t="n"/>
      <c r="O38" s="12" t="n"/>
      <c r="P38" s="13" t="n"/>
      <c r="Q38" s="14">
        <f>SUM(K38:P38)</f>
        <v/>
      </c>
      <c r="R38" s="14">
        <f>J38+Q38</f>
        <v/>
      </c>
      <c r="S38" s="17" t="n"/>
    </row>
    <row r="39" ht="18" customHeight="1" s="47">
      <c r="A39" s="49" t="n"/>
      <c r="B39" s="52" t="n"/>
      <c r="C39" s="23" t="inlineStr">
        <is>
          <t>増　減</t>
        </is>
      </c>
      <c r="D39" s="24">
        <f>D38-D37</f>
        <v/>
      </c>
      <c r="E39" s="24">
        <f>E38-E37</f>
        <v/>
      </c>
      <c r="F39" s="24">
        <f>F38-F37</f>
        <v/>
      </c>
      <c r="G39" s="24">
        <f>G38-G37</f>
        <v/>
      </c>
      <c r="H39" s="24">
        <f>H38-H37</f>
        <v/>
      </c>
      <c r="I39" s="27">
        <f>I38-I37</f>
        <v/>
      </c>
      <c r="J39" s="30">
        <f>SUM(D39:I39)</f>
        <v/>
      </c>
      <c r="K39" s="29">
        <f>K38-K37</f>
        <v/>
      </c>
      <c r="L39" s="24">
        <f>L38-L37</f>
        <v/>
      </c>
      <c r="M39" s="24">
        <f>M38-M37</f>
        <v/>
      </c>
      <c r="N39" s="24">
        <f>N38-N37</f>
        <v/>
      </c>
      <c r="O39" s="24">
        <f>O38-O37</f>
        <v/>
      </c>
      <c r="P39" s="27">
        <f>P38-P37</f>
        <v/>
      </c>
      <c r="Q39" s="30">
        <f>SUM(K39:P39)</f>
        <v/>
      </c>
      <c r="R39" s="30">
        <f>J39+Q39</f>
        <v/>
      </c>
      <c r="S39" s="17" t="n"/>
    </row>
    <row r="40" ht="18" customHeight="1" s="47" thickBot="1">
      <c r="A40" s="50" t="n"/>
      <c r="B40" s="53" t="n"/>
      <c r="C40" s="25" t="inlineStr">
        <is>
          <t>稼働棟数</t>
        </is>
      </c>
      <c r="D40" s="20" t="n"/>
      <c r="E40" s="20" t="n"/>
      <c r="F40" s="20" t="n"/>
      <c r="G40" s="20" t="n"/>
      <c r="H40" s="20" t="n"/>
      <c r="I40" s="28" t="n"/>
      <c r="J40" s="21">
        <f>I40</f>
        <v/>
      </c>
      <c r="K40" s="22" t="n"/>
      <c r="L40" s="20" t="n"/>
      <c r="M40" s="20" t="n"/>
      <c r="N40" s="20" t="n"/>
      <c r="O40" s="20" t="n"/>
      <c r="P40" s="28" t="n"/>
      <c r="Q40" s="21">
        <f>P40</f>
        <v/>
      </c>
      <c r="R40" s="21">
        <f>Q40</f>
        <v/>
      </c>
      <c r="S40" s="18" t="n"/>
    </row>
    <row r="41" ht="18" customHeight="1" s="47">
      <c r="A41" s="48" t="n">
        <v>9</v>
      </c>
      <c r="B41" s="51" t="inlineStr">
        <is>
          <t>バリュエンス</t>
        </is>
      </c>
      <c r="C41" s="31" t="inlineStr">
        <is>
          <t>58期</t>
        </is>
      </c>
      <c r="D41" s="8" t="n">
        <v>14.9</v>
      </c>
      <c r="E41" s="8" t="n">
        <v>8.74</v>
      </c>
      <c r="F41" s="8" t="n">
        <v>8.18</v>
      </c>
      <c r="G41" s="8" t="n">
        <v>8.92</v>
      </c>
      <c r="H41" s="8" t="n">
        <v>9.539999999999999</v>
      </c>
      <c r="I41" s="9" t="n">
        <v>9.880000000000001</v>
      </c>
      <c r="J41" s="10">
        <f>SUM(D41:I41)</f>
        <v/>
      </c>
      <c r="K41" s="11" t="n">
        <v>14.54</v>
      </c>
      <c r="L41" s="8" t="n">
        <v>21.6</v>
      </c>
      <c r="M41" s="8" t="n">
        <v>26.9</v>
      </c>
      <c r="N41" s="8" t="n">
        <v>6.84</v>
      </c>
      <c r="O41" s="8" t="n">
        <v>13.11999999999999</v>
      </c>
      <c r="P41" s="9" t="n">
        <v>9.829999999999998</v>
      </c>
      <c r="Q41" s="10">
        <f>SUM(K41:P41)</f>
        <v/>
      </c>
      <c r="R41" s="10">
        <f>J41+Q41</f>
        <v/>
      </c>
      <c r="S41" s="16" t="n"/>
    </row>
    <row r="42" ht="18" customHeight="1" s="47">
      <c r="A42" s="49" t="n"/>
      <c r="B42" s="52" t="n"/>
      <c r="C42" s="7" t="inlineStr">
        <is>
          <t>59期</t>
        </is>
      </c>
      <c r="D42" s="12" t="n">
        <v>20.13999999999999</v>
      </c>
      <c r="E42" s="12" t="n">
        <v>12.92000000000001</v>
      </c>
      <c r="F42" s="12" t="n">
        <v>10.96</v>
      </c>
      <c r="G42" s="12" t="n">
        <v>14.84</v>
      </c>
      <c r="H42" s="12" t="n"/>
      <c r="I42" s="13" t="n"/>
      <c r="J42" s="14">
        <f>SUM(D42:I42)</f>
        <v/>
      </c>
      <c r="K42" s="15" t="n"/>
      <c r="L42" s="12" t="n"/>
      <c r="M42" s="12" t="n"/>
      <c r="N42" s="12" t="n"/>
      <c r="O42" s="12" t="n"/>
      <c r="P42" s="13" t="n"/>
      <c r="Q42" s="14">
        <f>SUM(K42:P42)</f>
        <v/>
      </c>
      <c r="R42" s="14">
        <f>J42+Q42</f>
        <v/>
      </c>
      <c r="S42" s="17" t="n"/>
    </row>
    <row r="43" ht="18" customHeight="1" s="47">
      <c r="A43" s="49" t="n"/>
      <c r="B43" s="52" t="n"/>
      <c r="C43" s="23" t="inlineStr">
        <is>
          <t>増　減</t>
        </is>
      </c>
      <c r="D43" s="24">
        <f>D42-D41</f>
        <v/>
      </c>
      <c r="E43" s="24">
        <f>E42-E41</f>
        <v/>
      </c>
      <c r="F43" s="24">
        <f>F42-F41</f>
        <v/>
      </c>
      <c r="G43" s="24">
        <f>G42-G41</f>
        <v/>
      </c>
      <c r="H43" s="24">
        <f>H42-H41</f>
        <v/>
      </c>
      <c r="I43" s="27">
        <f>I42-I41</f>
        <v/>
      </c>
      <c r="J43" s="30">
        <f>SUM(D43:I43)</f>
        <v/>
      </c>
      <c r="K43" s="29">
        <f>K42-K41</f>
        <v/>
      </c>
      <c r="L43" s="24">
        <f>L42-L41</f>
        <v/>
      </c>
      <c r="M43" s="24">
        <f>M42-M41</f>
        <v/>
      </c>
      <c r="N43" s="24">
        <f>N42-N41</f>
        <v/>
      </c>
      <c r="O43" s="24">
        <f>O42-O41</f>
        <v/>
      </c>
      <c r="P43" s="27">
        <f>P42-P41</f>
        <v/>
      </c>
      <c r="Q43" s="30">
        <f>SUM(K43:P43)</f>
        <v/>
      </c>
      <c r="R43" s="30">
        <f>J43+Q43</f>
        <v/>
      </c>
      <c r="S43" s="17" t="n"/>
    </row>
    <row r="44" ht="18" customHeight="1" s="47" thickBot="1">
      <c r="A44" s="50" t="n"/>
      <c r="B44" s="53" t="n"/>
      <c r="C44" s="25" t="inlineStr">
        <is>
          <t>稼働棟数</t>
        </is>
      </c>
      <c r="D44" s="20" t="n"/>
      <c r="E44" s="20" t="n"/>
      <c r="F44" s="20" t="n"/>
      <c r="G44" s="20" t="n"/>
      <c r="H44" s="20" t="n"/>
      <c r="I44" s="28" t="n"/>
      <c r="J44" s="21">
        <f>I44</f>
        <v/>
      </c>
      <c r="K44" s="22" t="n"/>
      <c r="L44" s="20" t="n"/>
      <c r="M44" s="20" t="n"/>
      <c r="N44" s="20" t="n"/>
      <c r="O44" s="20" t="n"/>
      <c r="P44" s="28" t="n"/>
      <c r="Q44" s="21">
        <f>P44</f>
        <v/>
      </c>
      <c r="R44" s="21">
        <f>Q44</f>
        <v/>
      </c>
      <c r="S44" s="18" t="n"/>
    </row>
    <row r="45" ht="18" customHeight="1" s="47">
      <c r="A45" s="48" t="n">
        <v>10</v>
      </c>
      <c r="B45" s="51" t="inlineStr">
        <is>
          <t>Adobe</t>
        </is>
      </c>
      <c r="C45" s="31" t="inlineStr">
        <is>
          <t>58期</t>
        </is>
      </c>
      <c r="D45" s="8" t="n">
        <v>2.7</v>
      </c>
      <c r="E45" s="8" t="n">
        <v>1.98</v>
      </c>
      <c r="F45" s="8" t="n">
        <v>2.595</v>
      </c>
      <c r="G45" s="8" t="n">
        <v>5.36</v>
      </c>
      <c r="H45" s="8" t="n">
        <v>3.96</v>
      </c>
      <c r="I45" s="9" t="n">
        <v>2.76</v>
      </c>
      <c r="J45" s="10">
        <f>SUM(D45:I45)</f>
        <v/>
      </c>
      <c r="K45" s="11" t="n">
        <v>3.8</v>
      </c>
      <c r="L45" s="8" t="n">
        <v>9.859999999999999</v>
      </c>
      <c r="M45" s="8" t="n">
        <v>13.58</v>
      </c>
      <c r="N45" s="8" t="n">
        <v>4.1</v>
      </c>
      <c r="O45" s="8" t="n">
        <v>5.07</v>
      </c>
      <c r="P45" s="9" t="n">
        <v>6.599999999999999</v>
      </c>
      <c r="Q45" s="10">
        <f>SUM(K45:P45)</f>
        <v/>
      </c>
      <c r="R45" s="10">
        <f>J45+Q45</f>
        <v/>
      </c>
      <c r="S45" s="16" t="n"/>
    </row>
    <row r="46" ht="18" customHeight="1" s="47">
      <c r="A46" s="49" t="n"/>
      <c r="B46" s="52" t="n"/>
      <c r="C46" s="7" t="inlineStr">
        <is>
          <t>59期</t>
        </is>
      </c>
      <c r="D46" s="12" t="n">
        <v>12.62</v>
      </c>
      <c r="E46" s="12" t="n">
        <v>11.32</v>
      </c>
      <c r="F46" s="12" t="n">
        <v>0.01</v>
      </c>
      <c r="G46" s="12" t="n">
        <v>23.78</v>
      </c>
      <c r="H46" s="12" t="n"/>
      <c r="I46" s="13" t="n"/>
      <c r="J46" s="14">
        <f>SUM(D46:I46)</f>
        <v/>
      </c>
      <c r="K46" s="15" t="n"/>
      <c r="L46" s="12" t="n"/>
      <c r="M46" s="12" t="n"/>
      <c r="N46" s="12" t="n"/>
      <c r="O46" s="12" t="n"/>
      <c r="P46" s="13" t="n"/>
      <c r="Q46" s="14">
        <f>SUM(K46:P46)</f>
        <v/>
      </c>
      <c r="R46" s="14">
        <f>J46+Q46</f>
        <v/>
      </c>
      <c r="S46" s="17" t="n"/>
    </row>
    <row r="47" ht="18" customHeight="1" s="47">
      <c r="A47" s="49" t="n"/>
      <c r="B47" s="52" t="n"/>
      <c r="C47" s="23" t="inlineStr">
        <is>
          <t>増　減</t>
        </is>
      </c>
      <c r="D47" s="24">
        <f>D46-D45</f>
        <v/>
      </c>
      <c r="E47" s="24">
        <f>E46-E45</f>
        <v/>
      </c>
      <c r="F47" s="24">
        <f>F46-F45</f>
        <v/>
      </c>
      <c r="G47" s="24">
        <f>G46-G45</f>
        <v/>
      </c>
      <c r="H47" s="24">
        <f>H46-H45</f>
        <v/>
      </c>
      <c r="I47" s="27">
        <f>I46-I45</f>
        <v/>
      </c>
      <c r="J47" s="30">
        <f>SUM(D47:I47)</f>
        <v/>
      </c>
      <c r="K47" s="29">
        <f>K46-K45</f>
        <v/>
      </c>
      <c r="L47" s="24">
        <f>L46-L45</f>
        <v/>
      </c>
      <c r="M47" s="24">
        <f>M46-M45</f>
        <v/>
      </c>
      <c r="N47" s="24">
        <f>N46-N45</f>
        <v/>
      </c>
      <c r="O47" s="24">
        <f>O46-O45</f>
        <v/>
      </c>
      <c r="P47" s="27">
        <f>P46-P45</f>
        <v/>
      </c>
      <c r="Q47" s="30">
        <f>SUM(K47:P47)</f>
        <v/>
      </c>
      <c r="R47" s="30">
        <f>J47+Q47</f>
        <v/>
      </c>
      <c r="S47" s="17" t="n"/>
    </row>
    <row r="48" ht="18" customHeight="1" s="47" thickBot="1">
      <c r="A48" s="50" t="n"/>
      <c r="B48" s="53" t="n"/>
      <c r="C48" s="25" t="inlineStr">
        <is>
          <t>稼働棟数</t>
        </is>
      </c>
      <c r="D48" s="20" t="n"/>
      <c r="E48" s="20" t="n"/>
      <c r="F48" s="20" t="n"/>
      <c r="G48" s="20" t="n"/>
      <c r="H48" s="20" t="n"/>
      <c r="I48" s="28" t="n"/>
      <c r="J48" s="21">
        <f>I48</f>
        <v/>
      </c>
      <c r="K48" s="22" t="n"/>
      <c r="L48" s="20" t="n"/>
      <c r="M48" s="20" t="n"/>
      <c r="N48" s="20" t="n"/>
      <c r="O48" s="20" t="n"/>
      <c r="P48" s="28" t="n"/>
      <c r="Q48" s="21">
        <f>P48</f>
        <v/>
      </c>
      <c r="R48" s="21">
        <f>Q48</f>
        <v/>
      </c>
      <c r="S48" s="18" t="n"/>
    </row>
    <row r="49" ht="18" customHeight="1" s="47">
      <c r="A49" s="48" t="n">
        <v>11</v>
      </c>
      <c r="B49" s="51" t="inlineStr">
        <is>
          <t>富士機材</t>
        </is>
      </c>
      <c r="C49" s="31" t="inlineStr">
        <is>
          <t>58期</t>
        </is>
      </c>
      <c r="D49" s="8" t="n">
        <v>0.7</v>
      </c>
      <c r="E49" s="8" t="n">
        <v>4.26</v>
      </c>
      <c r="F49" s="8" t="n">
        <v>4.12</v>
      </c>
      <c r="G49" s="8" t="n">
        <v>4.28</v>
      </c>
      <c r="H49" s="8" t="n">
        <v>2.52</v>
      </c>
      <c r="I49" s="9" t="n">
        <v>4.02</v>
      </c>
      <c r="J49" s="10">
        <f>SUM(D49:I49)</f>
        <v/>
      </c>
      <c r="K49" s="11" t="n">
        <v>2.86</v>
      </c>
      <c r="L49" s="8" t="n">
        <v>10.82</v>
      </c>
      <c r="M49" s="8" t="n">
        <v>10.26</v>
      </c>
      <c r="N49" s="8" t="n">
        <v>5.6</v>
      </c>
      <c r="O49" s="8" t="n">
        <v>3.1</v>
      </c>
      <c r="P49" s="9" t="n">
        <v>6.899999999999999</v>
      </c>
      <c r="Q49" s="10">
        <f>SUM(K49:P49)</f>
        <v/>
      </c>
      <c r="R49" s="10">
        <f>J49+Q49</f>
        <v/>
      </c>
      <c r="S49" s="16" t="n"/>
    </row>
    <row r="50" ht="18" customHeight="1" s="47">
      <c r="A50" s="49" t="n"/>
      <c r="B50" s="52" t="n"/>
      <c r="C50" s="7" t="inlineStr">
        <is>
          <t>59期</t>
        </is>
      </c>
      <c r="D50" s="12" t="n">
        <v>9.26</v>
      </c>
      <c r="E50" s="12" t="n">
        <v>11.3</v>
      </c>
      <c r="F50" s="12" t="n">
        <v>0.01</v>
      </c>
      <c r="G50" s="12" t="n">
        <v>13.81</v>
      </c>
      <c r="H50" s="12" t="n"/>
      <c r="I50" s="13" t="n"/>
      <c r="J50" s="14">
        <f>SUM(D50:I50)</f>
        <v/>
      </c>
      <c r="K50" s="15" t="n"/>
      <c r="L50" s="12" t="n"/>
      <c r="M50" s="12" t="n"/>
      <c r="N50" s="12" t="n"/>
      <c r="O50" s="12" t="n"/>
      <c r="P50" s="13" t="n"/>
      <c r="Q50" s="14">
        <f>SUM(K50:P50)</f>
        <v/>
      </c>
      <c r="R50" s="14">
        <f>J50+Q50</f>
        <v/>
      </c>
      <c r="S50" s="17" t="n"/>
    </row>
    <row r="51" ht="18" customHeight="1" s="47">
      <c r="A51" s="49" t="n"/>
      <c r="B51" s="52" t="n"/>
      <c r="C51" s="23" t="inlineStr">
        <is>
          <t>増　減</t>
        </is>
      </c>
      <c r="D51" s="24">
        <f>D50-D49</f>
        <v/>
      </c>
      <c r="E51" s="24">
        <f>E50-E49</f>
        <v/>
      </c>
      <c r="F51" s="24">
        <f>F50-F49</f>
        <v/>
      </c>
      <c r="G51" s="24">
        <f>G50-G49</f>
        <v/>
      </c>
      <c r="H51" s="24">
        <f>H50-H49</f>
        <v/>
      </c>
      <c r="I51" s="27">
        <f>I50-I49</f>
        <v/>
      </c>
      <c r="J51" s="30">
        <f>SUM(D51:I51)</f>
        <v/>
      </c>
      <c r="K51" s="29">
        <f>K50-K49</f>
        <v/>
      </c>
      <c r="L51" s="24">
        <f>L50-L49</f>
        <v/>
      </c>
      <c r="M51" s="24">
        <f>M50-M49</f>
        <v/>
      </c>
      <c r="N51" s="24">
        <f>N50-N49</f>
        <v/>
      </c>
      <c r="O51" s="24">
        <f>O50-O49</f>
        <v/>
      </c>
      <c r="P51" s="27">
        <f>P50-P49</f>
        <v/>
      </c>
      <c r="Q51" s="30">
        <f>SUM(K51:P51)</f>
        <v/>
      </c>
      <c r="R51" s="30">
        <f>J51+Q51</f>
        <v/>
      </c>
      <c r="S51" s="17" t="n"/>
    </row>
    <row r="52" ht="18" customHeight="1" s="47" thickBot="1">
      <c r="A52" s="50" t="n"/>
      <c r="B52" s="53" t="n"/>
      <c r="C52" s="25" t="inlineStr">
        <is>
          <t>稼働棟数</t>
        </is>
      </c>
      <c r="D52" s="20" t="n"/>
      <c r="E52" s="20" t="n"/>
      <c r="F52" s="20" t="n"/>
      <c r="G52" s="20" t="n"/>
      <c r="H52" s="20" t="n"/>
      <c r="I52" s="28" t="n"/>
      <c r="J52" s="21">
        <f>I52</f>
        <v/>
      </c>
      <c r="K52" s="22" t="n"/>
      <c r="L52" s="20" t="n"/>
      <c r="M52" s="20" t="n"/>
      <c r="N52" s="20" t="n"/>
      <c r="O52" s="20" t="n"/>
      <c r="P52" s="28" t="n"/>
      <c r="Q52" s="21">
        <f>P52</f>
        <v/>
      </c>
      <c r="R52" s="21">
        <f>Q52</f>
        <v/>
      </c>
      <c r="S52" s="18" t="n"/>
    </row>
    <row r="53" ht="18" customHeight="1" s="47">
      <c r="A53" s="48" t="n">
        <v>12</v>
      </c>
      <c r="B53" s="51" t="inlineStr">
        <is>
          <t>マルテー</t>
        </is>
      </c>
      <c r="C53" s="31" t="inlineStr">
        <is>
          <t>58期</t>
        </is>
      </c>
      <c r="D53" s="8" t="n">
        <v>3.6</v>
      </c>
      <c r="E53" s="8" t="n">
        <v>10.58</v>
      </c>
      <c r="F53" s="8" t="n">
        <v>5.46</v>
      </c>
      <c r="G53" s="8" t="n">
        <v>12.34</v>
      </c>
      <c r="H53" s="8" t="n">
        <v>18.73</v>
      </c>
      <c r="I53" s="9" t="n">
        <v>7.4</v>
      </c>
      <c r="J53" s="10">
        <f>SUM(D53:I53)</f>
        <v/>
      </c>
      <c r="K53" s="11" t="n">
        <v>5.32</v>
      </c>
      <c r="L53" s="8" t="n">
        <v>4.76</v>
      </c>
      <c r="M53" s="8" t="n">
        <v>8.92</v>
      </c>
      <c r="N53" s="8" t="n">
        <v>7.8</v>
      </c>
      <c r="O53" s="8" t="n">
        <v>1.6</v>
      </c>
      <c r="P53" s="9" t="n">
        <v>3.33</v>
      </c>
      <c r="Q53" s="10">
        <f>SUM(K53:P53)</f>
        <v/>
      </c>
      <c r="R53" s="10">
        <f>J53+Q53</f>
        <v/>
      </c>
      <c r="S53" s="16" t="n"/>
    </row>
    <row r="54" ht="18" customHeight="1" s="47">
      <c r="A54" s="49" t="n"/>
      <c r="B54" s="52" t="n"/>
      <c r="C54" s="7" t="inlineStr">
        <is>
          <t>59期</t>
        </is>
      </c>
      <c r="D54" s="12" t="n">
        <v>3.74</v>
      </c>
      <c r="E54" s="12" t="n">
        <v>8.18</v>
      </c>
      <c r="F54" s="12" t="n">
        <v>0.01</v>
      </c>
      <c r="G54" s="12" t="n">
        <v>18.78</v>
      </c>
      <c r="H54" s="12" t="n"/>
      <c r="I54" s="13" t="n"/>
      <c r="J54" s="14">
        <f>SUM(D54:I54)</f>
        <v/>
      </c>
      <c r="K54" s="15" t="n"/>
      <c r="L54" s="12" t="n"/>
      <c r="M54" s="12" t="n"/>
      <c r="N54" s="12" t="n"/>
      <c r="O54" s="12" t="n"/>
      <c r="P54" s="13" t="n"/>
      <c r="Q54" s="14">
        <f>SUM(K54:P54)</f>
        <v/>
      </c>
      <c r="R54" s="14">
        <f>J54+Q54</f>
        <v/>
      </c>
      <c r="S54" s="17" t="n"/>
    </row>
    <row r="55" ht="18" customHeight="1" s="47">
      <c r="A55" s="49" t="n"/>
      <c r="B55" s="52" t="n"/>
      <c r="C55" s="23" t="inlineStr">
        <is>
          <t>増　減</t>
        </is>
      </c>
      <c r="D55" s="24">
        <f>D54-D53</f>
        <v/>
      </c>
      <c r="E55" s="24">
        <f>E54-E53</f>
        <v/>
      </c>
      <c r="F55" s="24">
        <f>F54-F53</f>
        <v/>
      </c>
      <c r="G55" s="24">
        <f>G54-G53</f>
        <v/>
      </c>
      <c r="H55" s="24">
        <f>H54-H53</f>
        <v/>
      </c>
      <c r="I55" s="27">
        <f>I54-I53</f>
        <v/>
      </c>
      <c r="J55" s="30">
        <f>SUM(D55:I55)</f>
        <v/>
      </c>
      <c r="K55" s="29">
        <f>K54-K53</f>
        <v/>
      </c>
      <c r="L55" s="24">
        <f>L54-L53</f>
        <v/>
      </c>
      <c r="M55" s="24">
        <f>M54-M53</f>
        <v/>
      </c>
      <c r="N55" s="24">
        <f>N54-N53</f>
        <v/>
      </c>
      <c r="O55" s="24">
        <f>O54-O53</f>
        <v/>
      </c>
      <c r="P55" s="27">
        <f>P54-P53</f>
        <v/>
      </c>
      <c r="Q55" s="30">
        <f>SUM(K55:P55)</f>
        <v/>
      </c>
      <c r="R55" s="30">
        <f>J55+Q55</f>
        <v/>
      </c>
      <c r="S55" s="17" t="n"/>
    </row>
    <row r="56" ht="18" customHeight="1" s="47" thickBot="1">
      <c r="A56" s="50" t="n"/>
      <c r="B56" s="53" t="n"/>
      <c r="C56" s="25" t="inlineStr">
        <is>
          <t>稼働棟数</t>
        </is>
      </c>
      <c r="D56" s="20" t="n"/>
      <c r="E56" s="20" t="n"/>
      <c r="F56" s="20" t="n"/>
      <c r="G56" s="20" t="n"/>
      <c r="H56" s="20" t="n"/>
      <c r="I56" s="28" t="n"/>
      <c r="J56" s="21">
        <f>I56</f>
        <v/>
      </c>
      <c r="K56" s="22" t="n"/>
      <c r="L56" s="20" t="n"/>
      <c r="M56" s="20" t="n"/>
      <c r="N56" s="20" t="n"/>
      <c r="O56" s="20" t="n"/>
      <c r="P56" s="28" t="n"/>
      <c r="Q56" s="21">
        <f>P56</f>
        <v/>
      </c>
      <c r="R56" s="21">
        <f>Q56</f>
        <v/>
      </c>
      <c r="S56" s="18" t="n"/>
    </row>
    <row r="57" ht="18" customHeight="1" s="47">
      <c r="A57" s="48" t="n">
        <v>13</v>
      </c>
      <c r="B57" s="51" t="inlineStr">
        <is>
          <t>ソリトン</t>
        </is>
      </c>
      <c r="C57" s="31" t="inlineStr">
        <is>
          <t>58期</t>
        </is>
      </c>
      <c r="D57" s="8" t="n">
        <v>4.3</v>
      </c>
      <c r="E57" s="8" t="n">
        <v>3.68</v>
      </c>
      <c r="F57" s="8" t="n">
        <v>2.48</v>
      </c>
      <c r="G57" s="8" t="n">
        <v>11.88</v>
      </c>
      <c r="H57" s="8" t="n">
        <v>13.3</v>
      </c>
      <c r="I57" s="9" t="n">
        <v>3.65</v>
      </c>
      <c r="J57" s="10">
        <f>SUM(D57:I57)</f>
        <v/>
      </c>
      <c r="K57" s="11" t="n">
        <v>6.34</v>
      </c>
      <c r="L57" s="8" t="n">
        <v>13.64</v>
      </c>
      <c r="M57" s="8" t="n">
        <v>13.85</v>
      </c>
      <c r="N57" s="8" t="n">
        <v>4.78</v>
      </c>
      <c r="O57" s="8" t="n">
        <v>3.32</v>
      </c>
      <c r="P57" s="9" t="n">
        <v>8.74</v>
      </c>
      <c r="Q57" s="10">
        <f>SUM(K57:P57)</f>
        <v/>
      </c>
      <c r="R57" s="10">
        <f>J57+Q57</f>
        <v/>
      </c>
      <c r="S57" s="16" t="n"/>
    </row>
    <row r="58" ht="18" customHeight="1" s="47">
      <c r="A58" s="49" t="n"/>
      <c r="B58" s="52" t="n"/>
      <c r="C58" s="7" t="inlineStr">
        <is>
          <t>59期</t>
        </is>
      </c>
      <c r="D58" s="12" t="n">
        <v>11.8</v>
      </c>
      <c r="E58" s="12" t="n">
        <v>13.48</v>
      </c>
      <c r="F58" s="12" t="n">
        <v>0.01</v>
      </c>
      <c r="G58" s="12" t="n">
        <v>7.859999999999999</v>
      </c>
      <c r="H58" s="12" t="n"/>
      <c r="I58" s="13" t="n"/>
      <c r="J58" s="14">
        <f>SUM(D58:I58)</f>
        <v/>
      </c>
      <c r="K58" s="15" t="n"/>
      <c r="L58" s="12" t="n"/>
      <c r="M58" s="12" t="n"/>
      <c r="N58" s="12" t="n"/>
      <c r="O58" s="12" t="n"/>
      <c r="P58" s="13" t="n"/>
      <c r="Q58" s="14">
        <f>SUM(K58:P58)</f>
        <v/>
      </c>
      <c r="R58" s="14">
        <f>J58+Q58</f>
        <v/>
      </c>
      <c r="S58" s="17" t="n"/>
    </row>
    <row r="59" ht="18" customHeight="1" s="47">
      <c r="A59" s="49" t="n"/>
      <c r="B59" s="52" t="n"/>
      <c r="C59" s="23" t="inlineStr">
        <is>
          <t>増　減</t>
        </is>
      </c>
      <c r="D59" s="24">
        <f>D58-D57</f>
        <v/>
      </c>
      <c r="E59" s="24">
        <f>E58-E57</f>
        <v/>
      </c>
      <c r="F59" s="24">
        <f>F58-F57</f>
        <v/>
      </c>
      <c r="G59" s="24">
        <f>G58-G57</f>
        <v/>
      </c>
      <c r="H59" s="24">
        <f>H58-H57</f>
        <v/>
      </c>
      <c r="I59" s="27">
        <f>I58-I57</f>
        <v/>
      </c>
      <c r="J59" s="30">
        <f>SUM(D59:I59)</f>
        <v/>
      </c>
      <c r="K59" s="29">
        <f>K58-K57</f>
        <v/>
      </c>
      <c r="L59" s="24">
        <f>L58-L57</f>
        <v/>
      </c>
      <c r="M59" s="24">
        <f>M58-M57</f>
        <v/>
      </c>
      <c r="N59" s="24">
        <f>N58-N57</f>
        <v/>
      </c>
      <c r="O59" s="24">
        <f>O58-O57</f>
        <v/>
      </c>
      <c r="P59" s="27">
        <f>P58-P57</f>
        <v/>
      </c>
      <c r="Q59" s="30">
        <f>SUM(K59:P59)</f>
        <v/>
      </c>
      <c r="R59" s="30">
        <f>J59+Q59</f>
        <v/>
      </c>
      <c r="S59" s="17" t="n"/>
    </row>
    <row r="60" ht="18" customHeight="1" s="47" thickBot="1">
      <c r="A60" s="50" t="n"/>
      <c r="B60" s="53" t="n"/>
      <c r="C60" s="25" t="inlineStr">
        <is>
          <t>稼働棟数</t>
        </is>
      </c>
      <c r="D60" s="20" t="n"/>
      <c r="E60" s="20" t="n"/>
      <c r="F60" s="20" t="n"/>
      <c r="G60" s="20" t="n"/>
      <c r="H60" s="20" t="n"/>
      <c r="I60" s="28" t="n"/>
      <c r="J60" s="21">
        <f>I60</f>
        <v/>
      </c>
      <c r="K60" s="22" t="n"/>
      <c r="L60" s="20" t="n"/>
      <c r="M60" s="20" t="n"/>
      <c r="N60" s="20" t="n"/>
      <c r="O60" s="20" t="n"/>
      <c r="P60" s="28" t="n"/>
      <c r="Q60" s="21">
        <f>P60</f>
        <v/>
      </c>
      <c r="R60" s="21">
        <f>Q60</f>
        <v/>
      </c>
      <c r="S60" s="18" t="n"/>
    </row>
    <row r="61" ht="18" customHeight="1" s="47">
      <c r="A61" s="48" t="n">
        <v>14</v>
      </c>
      <c r="B61" s="51" t="inlineStr">
        <is>
          <t>ケイアイ</t>
        </is>
      </c>
      <c r="C61" s="31" t="inlineStr">
        <is>
          <t>58期</t>
        </is>
      </c>
      <c r="D61" s="8" t="n">
        <v>9.4</v>
      </c>
      <c r="E61" s="8" t="n">
        <v>5.02</v>
      </c>
      <c r="F61" s="8" t="n">
        <v>8.140000000000001</v>
      </c>
      <c r="G61" s="8" t="n">
        <v>21.2</v>
      </c>
      <c r="H61" s="8" t="n">
        <v>15.52</v>
      </c>
      <c r="I61" s="9" t="n">
        <v>16.46</v>
      </c>
      <c r="J61" s="10">
        <f>SUM(D61:I61)</f>
        <v/>
      </c>
      <c r="K61" s="11" t="n">
        <v>14.68</v>
      </c>
      <c r="L61" s="8" t="n">
        <v>13.2</v>
      </c>
      <c r="M61" s="8" t="n">
        <v>8.970000000000001</v>
      </c>
      <c r="N61" s="8" t="n">
        <v>10.34</v>
      </c>
      <c r="O61" s="8" t="n">
        <v>5.739999999999999</v>
      </c>
      <c r="P61" s="9" t="n">
        <v>8.66</v>
      </c>
      <c r="Q61" s="10">
        <f>SUM(K61:P61)</f>
        <v/>
      </c>
      <c r="R61" s="10">
        <f>J61+Q61</f>
        <v/>
      </c>
      <c r="S61" s="16" t="n"/>
    </row>
    <row r="62" ht="18" customHeight="1" s="47">
      <c r="A62" s="49" t="n"/>
      <c r="B62" s="52" t="n"/>
      <c r="C62" s="7" t="inlineStr">
        <is>
          <t>59期</t>
        </is>
      </c>
      <c r="D62" s="12" t="n">
        <v>12.66</v>
      </c>
      <c r="E62" s="12" t="n">
        <v>10.78</v>
      </c>
      <c r="F62" s="12" t="n">
        <v>0.01</v>
      </c>
      <c r="G62" s="12" t="n">
        <v>22.24</v>
      </c>
      <c r="H62" s="12" t="n"/>
      <c r="I62" s="13" t="n"/>
      <c r="J62" s="14">
        <f>SUM(D62:I62)</f>
        <v/>
      </c>
      <c r="K62" s="15" t="n"/>
      <c r="L62" s="12" t="n"/>
      <c r="M62" s="12" t="n"/>
      <c r="N62" s="12" t="n"/>
      <c r="O62" s="12" t="n"/>
      <c r="P62" s="13" t="n"/>
      <c r="Q62" s="14">
        <f>SUM(K62:P62)</f>
        <v/>
      </c>
      <c r="R62" s="14">
        <f>J62+Q62</f>
        <v/>
      </c>
      <c r="S62" s="17" t="n"/>
    </row>
    <row r="63" ht="18" customHeight="1" s="47">
      <c r="A63" s="49" t="n"/>
      <c r="B63" s="52" t="n"/>
      <c r="C63" s="23" t="inlineStr">
        <is>
          <t>増　減</t>
        </is>
      </c>
      <c r="D63" s="24">
        <f>D62-D61</f>
        <v/>
      </c>
      <c r="E63" s="24">
        <f>E62-E61</f>
        <v/>
      </c>
      <c r="F63" s="24">
        <f>F62-F61</f>
        <v/>
      </c>
      <c r="G63" s="24">
        <f>G62-G61</f>
        <v/>
      </c>
      <c r="H63" s="24">
        <f>H62-H61</f>
        <v/>
      </c>
      <c r="I63" s="27">
        <f>I62-I61</f>
        <v/>
      </c>
      <c r="J63" s="30">
        <f>SUM(D63:I63)</f>
        <v/>
      </c>
      <c r="K63" s="29">
        <f>K62-K61</f>
        <v/>
      </c>
      <c r="L63" s="24">
        <f>L62-L61</f>
        <v/>
      </c>
      <c r="M63" s="24">
        <f>M62-M61</f>
        <v/>
      </c>
      <c r="N63" s="24">
        <f>N62-N61</f>
        <v/>
      </c>
      <c r="O63" s="24">
        <f>O62-O61</f>
        <v/>
      </c>
      <c r="P63" s="27">
        <f>P62-P61</f>
        <v/>
      </c>
      <c r="Q63" s="30">
        <f>SUM(K63:P63)</f>
        <v/>
      </c>
      <c r="R63" s="30">
        <f>J63+Q63</f>
        <v/>
      </c>
      <c r="S63" s="17" t="n"/>
    </row>
    <row r="64" ht="18" customHeight="1" s="47" thickBot="1">
      <c r="A64" s="50" t="n"/>
      <c r="B64" s="53" t="n"/>
      <c r="C64" s="25" t="inlineStr">
        <is>
          <t>稼働棟数</t>
        </is>
      </c>
      <c r="D64" s="20" t="n"/>
      <c r="E64" s="20" t="n"/>
      <c r="F64" s="20" t="n"/>
      <c r="G64" s="20" t="n"/>
      <c r="H64" s="20" t="n"/>
      <c r="I64" s="28" t="n"/>
      <c r="J64" s="21">
        <f>I64</f>
        <v/>
      </c>
      <c r="K64" s="22" t="n"/>
      <c r="L64" s="20" t="n"/>
      <c r="M64" s="20" t="n"/>
      <c r="N64" s="20" t="n"/>
      <c r="O64" s="20" t="n"/>
      <c r="P64" s="28" t="n"/>
      <c r="Q64" s="21">
        <f>P64</f>
        <v/>
      </c>
      <c r="R64" s="21">
        <f>Q64</f>
        <v/>
      </c>
      <c r="S64" s="18" t="n"/>
    </row>
    <row r="65" ht="18" customHeight="1" s="47">
      <c r="A65" s="48" t="n">
        <v>15</v>
      </c>
      <c r="B65" s="51" t="inlineStr">
        <is>
          <t>岡部</t>
        </is>
      </c>
      <c r="C65" s="31" t="inlineStr">
        <is>
          <t>58期</t>
        </is>
      </c>
      <c r="D65" s="8" t="n">
        <v>7.5</v>
      </c>
      <c r="E65" s="8" t="n">
        <v>7.85</v>
      </c>
      <c r="F65" s="8" t="n">
        <v>5.28</v>
      </c>
      <c r="G65" s="8" t="n">
        <v>5.9</v>
      </c>
      <c r="H65" s="8" t="n">
        <v>5.32</v>
      </c>
      <c r="I65" s="9" t="n">
        <v>11.34</v>
      </c>
      <c r="J65" s="10">
        <f>SUM(D65:I65)</f>
        <v/>
      </c>
      <c r="K65" s="11" t="n">
        <v>10.28</v>
      </c>
      <c r="L65" s="8" t="n">
        <v>13.47</v>
      </c>
      <c r="M65" s="8" t="n">
        <v>11.04</v>
      </c>
      <c r="N65" s="8" t="n">
        <v>14.36</v>
      </c>
      <c r="O65" s="8" t="n">
        <v>6.16</v>
      </c>
      <c r="P65" s="9" t="n">
        <v>10.99</v>
      </c>
      <c r="Q65" s="10">
        <f>SUM(K65:P65)</f>
        <v/>
      </c>
      <c r="R65" s="10">
        <f>J65+Q65</f>
        <v/>
      </c>
      <c r="S65" s="16" t="n"/>
    </row>
    <row r="66" ht="18" customHeight="1" s="47">
      <c r="A66" s="49" t="n"/>
      <c r="B66" s="52" t="n"/>
      <c r="C66" s="7" t="inlineStr">
        <is>
          <t>59期</t>
        </is>
      </c>
      <c r="D66" s="12" t="n">
        <v>10.62</v>
      </c>
      <c r="E66" s="12" t="n">
        <v>12.12</v>
      </c>
      <c r="F66" s="12" t="n">
        <v>0.02</v>
      </c>
      <c r="G66" s="12" t="n">
        <v>34.45999999999999</v>
      </c>
      <c r="H66" s="12" t="n"/>
      <c r="I66" s="13" t="n"/>
      <c r="J66" s="14">
        <f>SUM(D66:I66)</f>
        <v/>
      </c>
      <c r="K66" s="15" t="n"/>
      <c r="L66" s="12" t="n"/>
      <c r="M66" s="12" t="n"/>
      <c r="N66" s="12" t="n"/>
      <c r="O66" s="12" t="n"/>
      <c r="P66" s="13" t="n"/>
      <c r="Q66" s="14">
        <f>SUM(K66:P66)</f>
        <v/>
      </c>
      <c r="R66" s="14">
        <f>J66+Q66</f>
        <v/>
      </c>
      <c r="S66" s="17" t="n"/>
    </row>
    <row r="67" ht="18" customHeight="1" s="47">
      <c r="A67" s="49" t="n"/>
      <c r="B67" s="52" t="n"/>
      <c r="C67" s="23" t="inlineStr">
        <is>
          <t>増　減</t>
        </is>
      </c>
      <c r="D67" s="24">
        <f>D66-D65</f>
        <v/>
      </c>
      <c r="E67" s="24">
        <f>E66-E65</f>
        <v/>
      </c>
      <c r="F67" s="24">
        <f>F66-F65</f>
        <v/>
      </c>
      <c r="G67" s="24">
        <f>G66-G65</f>
        <v/>
      </c>
      <c r="H67" s="24">
        <f>H66-H65</f>
        <v/>
      </c>
      <c r="I67" s="27">
        <f>I66-I65</f>
        <v/>
      </c>
      <c r="J67" s="30">
        <f>SUM(D67:I67)</f>
        <v/>
      </c>
      <c r="K67" s="29">
        <f>K66-K65</f>
        <v/>
      </c>
      <c r="L67" s="24">
        <f>L66-L65</f>
        <v/>
      </c>
      <c r="M67" s="24">
        <f>M66-M65</f>
        <v/>
      </c>
      <c r="N67" s="24">
        <f>N66-N65</f>
        <v/>
      </c>
      <c r="O67" s="24">
        <f>O66-O65</f>
        <v/>
      </c>
      <c r="P67" s="27">
        <f>P66-P65</f>
        <v/>
      </c>
      <c r="Q67" s="30">
        <f>SUM(K67:P67)</f>
        <v/>
      </c>
      <c r="R67" s="30">
        <f>J67+Q67</f>
        <v/>
      </c>
      <c r="S67" s="17" t="n"/>
    </row>
    <row r="68" ht="18" customHeight="1" s="47" thickBot="1">
      <c r="A68" s="50" t="n"/>
      <c r="B68" s="53" t="n"/>
      <c r="C68" s="25" t="inlineStr">
        <is>
          <t>稼働棟数</t>
        </is>
      </c>
      <c r="D68" s="20" t="n"/>
      <c r="E68" s="20" t="n"/>
      <c r="F68" s="20" t="n"/>
      <c r="G68" s="20" t="n"/>
      <c r="H68" s="20" t="n"/>
      <c r="I68" s="28" t="n"/>
      <c r="J68" s="21">
        <f>I68</f>
        <v/>
      </c>
      <c r="K68" s="22" t="n"/>
      <c r="L68" s="20" t="n"/>
      <c r="M68" s="20" t="n"/>
      <c r="N68" s="20" t="n"/>
      <c r="O68" s="20" t="n"/>
      <c r="P68" s="28" t="n"/>
      <c r="Q68" s="21">
        <f>P68</f>
        <v/>
      </c>
      <c r="R68" s="21">
        <f>Q68</f>
        <v/>
      </c>
      <c r="S68" s="18" t="n"/>
    </row>
    <row r="69" ht="18" customHeight="1" s="47">
      <c r="A69" s="48" t="n">
        <v>16</v>
      </c>
      <c r="B69" s="51" t="inlineStr">
        <is>
          <t>三和</t>
        </is>
      </c>
      <c r="C69" s="31" t="inlineStr">
        <is>
          <t>58期</t>
        </is>
      </c>
      <c r="D69" s="8" t="n">
        <v>3.3</v>
      </c>
      <c r="E69" s="8" t="n">
        <v>2.18</v>
      </c>
      <c r="F69" s="8" t="n">
        <v>0.2</v>
      </c>
      <c r="G69" s="8" t="n"/>
      <c r="H69" s="8" t="n">
        <v>8.08</v>
      </c>
      <c r="I69" s="9" t="n">
        <v>9.619999999999999</v>
      </c>
      <c r="J69" s="10">
        <f>SUM(D69:I69)</f>
        <v/>
      </c>
      <c r="K69" s="11" t="n">
        <v>9.44</v>
      </c>
      <c r="L69" s="8" t="n">
        <v>15.55</v>
      </c>
      <c r="M69" s="8" t="n">
        <v>11.09</v>
      </c>
      <c r="N69" s="8" t="n">
        <v>15.96</v>
      </c>
      <c r="O69" s="8" t="n">
        <v>7.659999999999999</v>
      </c>
      <c r="P69" s="9" t="n">
        <v>20.52</v>
      </c>
      <c r="Q69" s="10">
        <f>SUM(K69:P69)</f>
        <v/>
      </c>
      <c r="R69" s="10">
        <f>J69+Q69</f>
        <v/>
      </c>
      <c r="S69" s="16" t="n"/>
    </row>
    <row r="70" ht="18" customHeight="1" s="47">
      <c r="A70" s="49" t="n"/>
      <c r="B70" s="52" t="n"/>
      <c r="C70" s="7" t="inlineStr">
        <is>
          <t>59期</t>
        </is>
      </c>
      <c r="D70" s="12" t="n">
        <v>20.12</v>
      </c>
      <c r="E70" s="12" t="n">
        <v>13.7</v>
      </c>
      <c r="F70" s="12" t="n">
        <v>0.02</v>
      </c>
      <c r="G70" s="12" t="n">
        <v>16.68</v>
      </c>
      <c r="H70" s="12" t="n"/>
      <c r="I70" s="13" t="n"/>
      <c r="J70" s="14">
        <f>SUM(D70:I70)</f>
        <v/>
      </c>
      <c r="K70" s="15" t="n"/>
      <c r="L70" s="12" t="n"/>
      <c r="M70" s="12" t="n"/>
      <c r="N70" s="12" t="n"/>
      <c r="O70" s="12" t="n"/>
      <c r="P70" s="13" t="n"/>
      <c r="Q70" s="14">
        <f>SUM(K70:P70)</f>
        <v/>
      </c>
      <c r="R70" s="14">
        <f>J70+Q70</f>
        <v/>
      </c>
      <c r="S70" s="17" t="n"/>
    </row>
    <row r="71" ht="18" customHeight="1" s="47">
      <c r="A71" s="49" t="n"/>
      <c r="B71" s="52" t="n"/>
      <c r="C71" s="23" t="inlineStr">
        <is>
          <t>増　減</t>
        </is>
      </c>
      <c r="D71" s="24">
        <f>D70-D69</f>
        <v/>
      </c>
      <c r="E71" s="24">
        <f>E70-E69</f>
        <v/>
      </c>
      <c r="F71" s="24">
        <f>F70-F69</f>
        <v/>
      </c>
      <c r="G71" s="24">
        <f>G70-G69</f>
        <v/>
      </c>
      <c r="H71" s="24">
        <f>H70-H69</f>
        <v/>
      </c>
      <c r="I71" s="27">
        <f>I70-I69</f>
        <v/>
      </c>
      <c r="J71" s="30">
        <f>SUM(D71:I71)</f>
        <v/>
      </c>
      <c r="K71" s="29">
        <f>K70-K69</f>
        <v/>
      </c>
      <c r="L71" s="24">
        <f>L70-L69</f>
        <v/>
      </c>
      <c r="M71" s="24">
        <f>M70-M69</f>
        <v/>
      </c>
      <c r="N71" s="24">
        <f>N70-N69</f>
        <v/>
      </c>
      <c r="O71" s="24">
        <f>O70-O69</f>
        <v/>
      </c>
      <c r="P71" s="27">
        <f>P70-P69</f>
        <v/>
      </c>
      <c r="Q71" s="30">
        <f>SUM(K71:P71)</f>
        <v/>
      </c>
      <c r="R71" s="30">
        <f>J71+Q71</f>
        <v/>
      </c>
      <c r="S71" s="17" t="n"/>
    </row>
    <row r="72" ht="18" customHeight="1" s="47" thickBot="1">
      <c r="A72" s="50" t="n"/>
      <c r="B72" s="53" t="n"/>
      <c r="C72" s="25" t="inlineStr">
        <is>
          <t>稼働棟数</t>
        </is>
      </c>
      <c r="D72" s="20" t="n"/>
      <c r="E72" s="20" t="n"/>
      <c r="F72" s="20" t="n"/>
      <c r="G72" s="20" t="n"/>
      <c r="H72" s="20" t="n"/>
      <c r="I72" s="28" t="n"/>
      <c r="J72" s="21">
        <f>I72</f>
        <v/>
      </c>
      <c r="K72" s="22" t="n"/>
      <c r="L72" s="20" t="n"/>
      <c r="M72" s="20" t="n"/>
      <c r="N72" s="20" t="n"/>
      <c r="O72" s="20" t="n"/>
      <c r="P72" s="28" t="n"/>
      <c r="Q72" s="21">
        <f>P72</f>
        <v/>
      </c>
      <c r="R72" s="21">
        <f>Q72</f>
        <v/>
      </c>
      <c r="S72" s="18" t="n"/>
    </row>
    <row r="73" ht="18" customHeight="1" s="47">
      <c r="A73" s="48" t="n">
        <v>17</v>
      </c>
      <c r="B73" s="51" t="inlineStr">
        <is>
          <t>慈誠会</t>
        </is>
      </c>
      <c r="C73" s="31" t="inlineStr">
        <is>
          <t>58期</t>
        </is>
      </c>
      <c r="D73" s="8" t="n">
        <v>4.2</v>
      </c>
      <c r="E73" s="8" t="n">
        <v>4.44</v>
      </c>
      <c r="F73" s="8" t="n">
        <v>5.7</v>
      </c>
      <c r="G73" s="8" t="n">
        <v>9.4</v>
      </c>
      <c r="H73" s="8" t="n">
        <v>11.24</v>
      </c>
      <c r="I73" s="9" t="n">
        <v>13.4</v>
      </c>
      <c r="J73" s="10">
        <f>SUM(D73:I73)</f>
        <v/>
      </c>
      <c r="K73" s="11" t="n">
        <v>13.1</v>
      </c>
      <c r="L73" s="8" t="n">
        <v>45.12</v>
      </c>
      <c r="M73" s="8" t="n">
        <v>35.49</v>
      </c>
      <c r="N73" s="8" t="n">
        <v>5.56</v>
      </c>
      <c r="O73" s="8" t="n">
        <v>2.62</v>
      </c>
      <c r="P73" s="9" t="n">
        <v>25.84</v>
      </c>
      <c r="Q73" s="10">
        <f>SUM(K73:P73)</f>
        <v/>
      </c>
      <c r="R73" s="10">
        <f>J73+Q73</f>
        <v/>
      </c>
      <c r="S73" s="16" t="n"/>
    </row>
    <row r="74" ht="18" customHeight="1" s="47">
      <c r="A74" s="49" t="n"/>
      <c r="B74" s="52" t="n"/>
      <c r="C74" s="7" t="inlineStr">
        <is>
          <t>59期</t>
        </is>
      </c>
      <c r="D74" s="12" t="n">
        <v>26.19</v>
      </c>
      <c r="E74" s="12" t="n">
        <v>17.09999999999999</v>
      </c>
      <c r="F74" s="12" t="n">
        <v>0.02</v>
      </c>
      <c r="G74" s="12" t="n">
        <v>14.54</v>
      </c>
      <c r="H74" s="12" t="n"/>
      <c r="I74" s="13" t="n"/>
      <c r="J74" s="14">
        <f>SUM(D74:I74)</f>
        <v/>
      </c>
      <c r="K74" s="15" t="n"/>
      <c r="L74" s="12" t="n"/>
      <c r="M74" s="12" t="n"/>
      <c r="N74" s="12" t="n"/>
      <c r="O74" s="12" t="n"/>
      <c r="P74" s="13" t="n"/>
      <c r="Q74" s="14">
        <f>SUM(K74:P74)</f>
        <v/>
      </c>
      <c r="R74" s="14">
        <f>J74+Q74</f>
        <v/>
      </c>
      <c r="S74" s="17" t="n"/>
    </row>
    <row r="75" ht="18" customHeight="1" s="47">
      <c r="A75" s="49" t="n"/>
      <c r="B75" s="52" t="n"/>
      <c r="C75" s="23" t="inlineStr">
        <is>
          <t>増　減</t>
        </is>
      </c>
      <c r="D75" s="24">
        <f>D74-D73</f>
        <v/>
      </c>
      <c r="E75" s="24">
        <f>E74-E73</f>
        <v/>
      </c>
      <c r="F75" s="24">
        <f>F74-F73</f>
        <v/>
      </c>
      <c r="G75" s="24">
        <f>G74-G73</f>
        <v/>
      </c>
      <c r="H75" s="24">
        <f>H74-H73</f>
        <v/>
      </c>
      <c r="I75" s="27">
        <f>I74-I73</f>
        <v/>
      </c>
      <c r="J75" s="30">
        <f>SUM(D75:I75)</f>
        <v/>
      </c>
      <c r="K75" s="29">
        <f>K74-K73</f>
        <v/>
      </c>
      <c r="L75" s="24">
        <f>L74-L73</f>
        <v/>
      </c>
      <c r="M75" s="24">
        <f>M74-M73</f>
        <v/>
      </c>
      <c r="N75" s="24">
        <f>N74-N73</f>
        <v/>
      </c>
      <c r="O75" s="24">
        <f>O74-O73</f>
        <v/>
      </c>
      <c r="P75" s="27">
        <f>P74-P73</f>
        <v/>
      </c>
      <c r="Q75" s="30">
        <f>SUM(K75:P75)</f>
        <v/>
      </c>
      <c r="R75" s="30">
        <f>J75+Q75</f>
        <v/>
      </c>
      <c r="S75" s="17" t="n"/>
    </row>
    <row r="76" ht="18" customHeight="1" s="47" thickBot="1">
      <c r="A76" s="50" t="n"/>
      <c r="B76" s="53" t="n"/>
      <c r="C76" s="25" t="inlineStr">
        <is>
          <t>稼働棟数</t>
        </is>
      </c>
      <c r="D76" s="20" t="n"/>
      <c r="E76" s="20" t="n"/>
      <c r="F76" s="20" t="n"/>
      <c r="G76" s="20" t="n"/>
      <c r="H76" s="20" t="n"/>
      <c r="I76" s="28" t="n"/>
      <c r="J76" s="21">
        <f>I76</f>
        <v/>
      </c>
      <c r="K76" s="22" t="n"/>
      <c r="L76" s="20" t="n"/>
      <c r="M76" s="20" t="n"/>
      <c r="N76" s="20" t="n"/>
      <c r="O76" s="20" t="n"/>
      <c r="P76" s="28" t="n"/>
      <c r="Q76" s="21">
        <f>P76</f>
        <v/>
      </c>
      <c r="R76" s="21">
        <f>Q76</f>
        <v/>
      </c>
      <c r="S76" s="18" t="n"/>
    </row>
    <row r="77" ht="18" customHeight="1" s="47">
      <c r="A77" s="48" t="n">
        <v>18</v>
      </c>
      <c r="B77" s="51" t="inlineStr">
        <is>
          <t>富士機械</t>
        </is>
      </c>
      <c r="C77" s="31" t="inlineStr">
        <is>
          <t>58期</t>
        </is>
      </c>
      <c r="D77" s="8" t="n">
        <v>6.2</v>
      </c>
      <c r="E77" s="8" t="n">
        <v>8.44</v>
      </c>
      <c r="F77" s="8" t="n">
        <v>9.56</v>
      </c>
      <c r="G77" s="8" t="n">
        <v>14.36</v>
      </c>
      <c r="H77" s="8" t="n">
        <v>16.14</v>
      </c>
      <c r="I77" s="9" t="n">
        <v>19.48</v>
      </c>
      <c r="J77" s="10">
        <f>SUM(D77:I77)</f>
        <v/>
      </c>
      <c r="K77" s="11" t="n">
        <v>15.33</v>
      </c>
      <c r="L77" s="8" t="n">
        <v>38.93</v>
      </c>
      <c r="M77" s="8" t="n">
        <v>24.26</v>
      </c>
      <c r="N77" s="8" t="n">
        <v>13.95</v>
      </c>
      <c r="O77" s="8" t="n">
        <v>6.3</v>
      </c>
      <c r="P77" s="9" t="n">
        <v>30.91</v>
      </c>
      <c r="Q77" s="10">
        <f>SUM(K77:P77)</f>
        <v/>
      </c>
      <c r="R77" s="10">
        <f>J77+Q77</f>
        <v/>
      </c>
      <c r="S77" s="16" t="n"/>
    </row>
    <row r="78" ht="18" customHeight="1" s="47">
      <c r="A78" s="49" t="n"/>
      <c r="B78" s="52" t="n"/>
      <c r="C78" s="7" t="inlineStr">
        <is>
          <t>59期</t>
        </is>
      </c>
      <c r="D78" s="12" t="n">
        <v>24.82</v>
      </c>
      <c r="E78" s="12" t="n">
        <v>21.78</v>
      </c>
      <c r="F78" s="12" t="n">
        <v>0.01</v>
      </c>
      <c r="G78" s="12" t="n">
        <v>27.32</v>
      </c>
      <c r="H78" s="12" t="n"/>
      <c r="I78" s="13" t="n"/>
      <c r="J78" s="14">
        <f>SUM(D78:I78)</f>
        <v/>
      </c>
      <c r="K78" s="15" t="n"/>
      <c r="L78" s="12" t="n"/>
      <c r="M78" s="12" t="n"/>
      <c r="N78" s="12" t="n"/>
      <c r="O78" s="12" t="n"/>
      <c r="P78" s="13" t="n"/>
      <c r="Q78" s="14">
        <f>SUM(K78:P78)</f>
        <v/>
      </c>
      <c r="R78" s="14">
        <f>J78+Q78</f>
        <v/>
      </c>
      <c r="S78" s="17" t="n"/>
    </row>
    <row r="79" ht="18" customHeight="1" s="47">
      <c r="A79" s="49" t="n"/>
      <c r="B79" s="52" t="n"/>
      <c r="C79" s="23" t="inlineStr">
        <is>
          <t>増　減</t>
        </is>
      </c>
      <c r="D79" s="24">
        <f>D78-D77</f>
        <v/>
      </c>
      <c r="E79" s="24">
        <f>E78-E77</f>
        <v/>
      </c>
      <c r="F79" s="24">
        <f>F78-F77</f>
        <v/>
      </c>
      <c r="G79" s="24">
        <f>G78-G77</f>
        <v/>
      </c>
      <c r="H79" s="24">
        <f>H78-H77</f>
        <v/>
      </c>
      <c r="I79" s="27">
        <f>I78-I77</f>
        <v/>
      </c>
      <c r="J79" s="30">
        <f>SUM(D79:I79)</f>
        <v/>
      </c>
      <c r="K79" s="29">
        <f>K78-K77</f>
        <v/>
      </c>
      <c r="L79" s="24">
        <f>L78-L77</f>
        <v/>
      </c>
      <c r="M79" s="24">
        <f>M78-M77</f>
        <v/>
      </c>
      <c r="N79" s="24">
        <f>N78-N77</f>
        <v/>
      </c>
      <c r="O79" s="24">
        <f>O78-O77</f>
        <v/>
      </c>
      <c r="P79" s="27">
        <f>P78-P77</f>
        <v/>
      </c>
      <c r="Q79" s="30">
        <f>SUM(K79:P79)</f>
        <v/>
      </c>
      <c r="R79" s="30">
        <f>J79+Q79</f>
        <v/>
      </c>
      <c r="S79" s="17" t="n"/>
    </row>
    <row r="80" ht="18" customHeight="1" s="47" thickBot="1">
      <c r="A80" s="50" t="n"/>
      <c r="B80" s="53" t="n"/>
      <c r="C80" s="25" t="inlineStr">
        <is>
          <t>稼働棟数</t>
        </is>
      </c>
      <c r="D80" s="20" t="n"/>
      <c r="E80" s="20" t="n"/>
      <c r="F80" s="20" t="n"/>
      <c r="G80" s="20" t="n"/>
      <c r="H80" s="20" t="n"/>
      <c r="I80" s="28" t="n"/>
      <c r="J80" s="21">
        <f>I80</f>
        <v/>
      </c>
      <c r="K80" s="22" t="n"/>
      <c r="L80" s="20" t="n"/>
      <c r="M80" s="20" t="n"/>
      <c r="N80" s="20" t="n"/>
      <c r="O80" s="20" t="n"/>
      <c r="P80" s="28" t="n"/>
      <c r="Q80" s="21">
        <f>P80</f>
        <v/>
      </c>
      <c r="R80" s="21">
        <f>Q80</f>
        <v/>
      </c>
      <c r="S80" s="18" t="n"/>
    </row>
    <row r="81" ht="18" customHeight="1" s="47">
      <c r="A81" s="48" t="n">
        <v>19</v>
      </c>
      <c r="B81" s="51" t="inlineStr">
        <is>
          <t>サンテレホン</t>
        </is>
      </c>
      <c r="C81" s="31" t="inlineStr">
        <is>
          <t>58期</t>
        </is>
      </c>
      <c r="D81" s="8" t="n">
        <v>0.2</v>
      </c>
      <c r="E81" s="8" t="n">
        <v>6.51</v>
      </c>
      <c r="F81" s="8" t="n">
        <v>15.81</v>
      </c>
      <c r="G81" s="8" t="n">
        <v>14.02</v>
      </c>
      <c r="H81" s="8" t="n">
        <v>12.04</v>
      </c>
      <c r="I81" s="9" t="n">
        <v>12.6</v>
      </c>
      <c r="J81" s="10">
        <f>SUM(D81:I81)</f>
        <v/>
      </c>
      <c r="K81" s="11" t="n">
        <v>6</v>
      </c>
      <c r="L81" s="8" t="n">
        <v>10.39</v>
      </c>
      <c r="M81" s="8" t="n">
        <v>17.56</v>
      </c>
      <c r="N81" s="8" t="n">
        <v>9.880000000000001</v>
      </c>
      <c r="O81" s="8" t="n">
        <v>9.76</v>
      </c>
      <c r="P81" s="9" t="n">
        <v>19.7</v>
      </c>
      <c r="Q81" s="10">
        <f>SUM(K81:P81)</f>
        <v/>
      </c>
      <c r="R81" s="10">
        <f>J81+Q81</f>
        <v/>
      </c>
      <c r="S81" s="16" t="n"/>
    </row>
    <row r="82" ht="18" customHeight="1" s="47">
      <c r="A82" s="49" t="n"/>
      <c r="B82" s="52" t="n"/>
      <c r="C82" s="7" t="inlineStr">
        <is>
          <t>59期</t>
        </is>
      </c>
      <c r="D82" s="12" t="n">
        <v>18.14</v>
      </c>
      <c r="E82" s="12" t="n">
        <v>8.76</v>
      </c>
      <c r="F82" s="12" t="n">
        <v>5.9</v>
      </c>
      <c r="G82" s="12" t="n">
        <v>3.6</v>
      </c>
      <c r="H82" s="12" t="n"/>
      <c r="I82" s="13" t="n"/>
      <c r="J82" s="14">
        <f>SUM(D82:I82)</f>
        <v/>
      </c>
      <c r="K82" s="15" t="n"/>
      <c r="L82" s="12" t="n"/>
      <c r="M82" s="12" t="n"/>
      <c r="N82" s="12" t="n"/>
      <c r="O82" s="12" t="n"/>
      <c r="P82" s="13" t="n"/>
      <c r="Q82" s="14">
        <f>SUM(K82:P82)</f>
        <v/>
      </c>
      <c r="R82" s="14">
        <f>J82+Q82</f>
        <v/>
      </c>
      <c r="S82" s="17" t="n"/>
    </row>
    <row r="83" ht="18" customHeight="1" s="47">
      <c r="A83" s="49" t="n"/>
      <c r="B83" s="52" t="n"/>
      <c r="C83" s="23" t="inlineStr">
        <is>
          <t>増　減</t>
        </is>
      </c>
      <c r="D83" s="24">
        <f>D82-D81</f>
        <v/>
      </c>
      <c r="E83" s="24">
        <f>E82-E81</f>
        <v/>
      </c>
      <c r="F83" s="24">
        <f>F82-F81</f>
        <v/>
      </c>
      <c r="G83" s="24">
        <f>G82-G81</f>
        <v/>
      </c>
      <c r="H83" s="24">
        <f>H82-H81</f>
        <v/>
      </c>
      <c r="I83" s="27">
        <f>I82-I81</f>
        <v/>
      </c>
      <c r="J83" s="30">
        <f>SUM(D83:I83)</f>
        <v/>
      </c>
      <c r="K83" s="29">
        <f>K82-K81</f>
        <v/>
      </c>
      <c r="L83" s="24">
        <f>L82-L81</f>
        <v/>
      </c>
      <c r="M83" s="24">
        <f>M82-M81</f>
        <v/>
      </c>
      <c r="N83" s="24">
        <f>N82-N81</f>
        <v/>
      </c>
      <c r="O83" s="24">
        <f>O82-O81</f>
        <v/>
      </c>
      <c r="P83" s="27">
        <f>P82-P81</f>
        <v/>
      </c>
      <c r="Q83" s="30">
        <f>SUM(K83:P83)</f>
        <v/>
      </c>
      <c r="R83" s="30">
        <f>J83+Q83</f>
        <v/>
      </c>
      <c r="S83" s="17" t="n"/>
    </row>
    <row r="84" ht="18" customHeight="1" s="47" thickBot="1">
      <c r="A84" s="50" t="n"/>
      <c r="B84" s="53" t="n"/>
      <c r="C84" s="25" t="inlineStr">
        <is>
          <t>稼働棟数</t>
        </is>
      </c>
      <c r="D84" s="20" t="n"/>
      <c r="E84" s="20" t="n"/>
      <c r="F84" s="20" t="n"/>
      <c r="G84" s="20" t="n"/>
      <c r="H84" s="20" t="n"/>
      <c r="I84" s="28" t="n"/>
      <c r="J84" s="21">
        <f>I84</f>
        <v/>
      </c>
      <c r="K84" s="22" t="n"/>
      <c r="L84" s="20" t="n"/>
      <c r="M84" s="20" t="n"/>
      <c r="N84" s="20" t="n"/>
      <c r="O84" s="20" t="n"/>
      <c r="P84" s="28" t="n"/>
      <c r="Q84" s="21">
        <f>P84</f>
        <v/>
      </c>
      <c r="R84" s="21">
        <f>Q84</f>
        <v/>
      </c>
      <c r="S84" s="18" t="n"/>
    </row>
    <row r="85" ht="18" customHeight="1" s="47">
      <c r="A85" s="48" t="n">
        <v>20</v>
      </c>
      <c r="B85" s="51" t="n"/>
      <c r="C85" s="31" t="inlineStr">
        <is>
          <t>58期</t>
        </is>
      </c>
      <c r="D85" s="8" t="n"/>
      <c r="E85" s="8" t="n"/>
      <c r="F85" s="8" t="n"/>
      <c r="G85" s="8" t="n"/>
      <c r="H85" s="8" t="n"/>
      <c r="I85" s="9" t="n"/>
      <c r="J85" s="10">
        <f>SUM(D85:I85)</f>
        <v/>
      </c>
      <c r="K85" s="11" t="n"/>
      <c r="L85" s="8" t="n"/>
      <c r="M85" s="8" t="n"/>
      <c r="N85" s="8" t="n"/>
      <c r="O85" s="8" t="n"/>
      <c r="P85" s="9" t="n"/>
      <c r="Q85" s="10">
        <f>SUM(K85:P85)</f>
        <v/>
      </c>
      <c r="R85" s="10">
        <f>J85+Q85</f>
        <v/>
      </c>
      <c r="S85" s="16" t="n"/>
    </row>
    <row r="86" ht="18" customHeight="1" s="47">
      <c r="A86" s="49" t="n"/>
      <c r="B86" s="52" t="n"/>
      <c r="C86" s="7" t="inlineStr">
        <is>
          <t>59期</t>
        </is>
      </c>
      <c r="D86" s="12" t="n"/>
      <c r="E86" s="12" t="n"/>
      <c r="F86" s="12" t="n"/>
      <c r="G86" s="12" t="n"/>
      <c r="H86" s="12" t="n"/>
      <c r="I86" s="13" t="n"/>
      <c r="J86" s="14">
        <f>SUM(D86:I86)</f>
        <v/>
      </c>
      <c r="K86" s="15" t="n"/>
      <c r="L86" s="12" t="n"/>
      <c r="M86" s="12" t="n"/>
      <c r="N86" s="12" t="n"/>
      <c r="O86" s="12" t="n"/>
      <c r="P86" s="13" t="n"/>
      <c r="Q86" s="14">
        <f>SUM(K86:P86)</f>
        <v/>
      </c>
      <c r="R86" s="14">
        <f>J86+Q86</f>
        <v/>
      </c>
      <c r="S86" s="17" t="n"/>
    </row>
    <row r="87" ht="18" customHeight="1" s="47">
      <c r="A87" s="49" t="n"/>
      <c r="B87" s="52" t="n"/>
      <c r="C87" s="23" t="inlineStr">
        <is>
          <t>増　減</t>
        </is>
      </c>
      <c r="D87" s="24">
        <f>D86-D85</f>
        <v/>
      </c>
      <c r="E87" s="24">
        <f>E86-E85</f>
        <v/>
      </c>
      <c r="F87" s="24">
        <f>F86-F85</f>
        <v/>
      </c>
      <c r="G87" s="24">
        <f>G86-G85</f>
        <v/>
      </c>
      <c r="H87" s="24">
        <f>H86-H85</f>
        <v/>
      </c>
      <c r="I87" s="27">
        <f>I86-I85</f>
        <v/>
      </c>
      <c r="J87" s="30">
        <f>SUM(D87:I87)</f>
        <v/>
      </c>
      <c r="K87" s="29">
        <f>K86-K85</f>
        <v/>
      </c>
      <c r="L87" s="24">
        <f>L86-L85</f>
        <v/>
      </c>
      <c r="M87" s="24">
        <f>M86-M85</f>
        <v/>
      </c>
      <c r="N87" s="24">
        <f>N86-N85</f>
        <v/>
      </c>
      <c r="O87" s="24">
        <f>O86-O85</f>
        <v/>
      </c>
      <c r="P87" s="27">
        <f>P86-P85</f>
        <v/>
      </c>
      <c r="Q87" s="30">
        <f>SUM(K87:P87)</f>
        <v/>
      </c>
      <c r="R87" s="30">
        <f>J87+Q87</f>
        <v/>
      </c>
      <c r="S87" s="17" t="n"/>
    </row>
    <row r="88" ht="18" customHeight="1" s="47" thickBot="1">
      <c r="A88" s="50" t="n"/>
      <c r="B88" s="53" t="n"/>
      <c r="C88" s="25" t="inlineStr">
        <is>
          <t>稼働棟数</t>
        </is>
      </c>
      <c r="D88" s="20" t="n"/>
      <c r="E88" s="20" t="n"/>
      <c r="F88" s="20" t="n"/>
      <c r="G88" s="20" t="n"/>
      <c r="H88" s="20" t="n"/>
      <c r="I88" s="28" t="n"/>
      <c r="J88" s="21">
        <f>I88</f>
        <v/>
      </c>
      <c r="K88" s="22" t="n"/>
      <c r="L88" s="20" t="n"/>
      <c r="M88" s="20" t="n"/>
      <c r="N88" s="20" t="n"/>
      <c r="O88" s="20" t="n"/>
      <c r="P88" s="28" t="n"/>
      <c r="Q88" s="21">
        <f>P88</f>
        <v/>
      </c>
      <c r="R88" s="21">
        <f>Q88</f>
        <v/>
      </c>
      <c r="S88" s="18" t="n"/>
    </row>
    <row r="89" ht="18" customHeight="1" s="47">
      <c r="A89" s="48" t="n">
        <v>21</v>
      </c>
      <c r="B89" s="51" t="n"/>
      <c r="C89" s="31" t="inlineStr">
        <is>
          <t>58期</t>
        </is>
      </c>
      <c r="D89" s="8" t="n"/>
      <c r="E89" s="8" t="n"/>
      <c r="F89" s="8" t="n"/>
      <c r="G89" s="8" t="n"/>
      <c r="H89" s="8" t="n"/>
      <c r="I89" s="9" t="n"/>
      <c r="J89" s="10">
        <f>SUM(D89:I89)</f>
        <v/>
      </c>
      <c r="K89" s="11" t="n"/>
      <c r="L89" s="8" t="n"/>
      <c r="M89" s="8" t="n"/>
      <c r="N89" s="8" t="n"/>
      <c r="O89" s="8" t="n"/>
      <c r="P89" s="9" t="n"/>
      <c r="Q89" s="10">
        <f>SUM(K89:P89)</f>
        <v/>
      </c>
      <c r="R89" s="10">
        <f>J89+Q89</f>
        <v/>
      </c>
      <c r="S89" s="16" t="n"/>
    </row>
    <row r="90" ht="18" customHeight="1" s="47">
      <c r="A90" s="49" t="n"/>
      <c r="B90" s="52" t="n"/>
      <c r="C90" s="7" t="inlineStr">
        <is>
          <t>59期</t>
        </is>
      </c>
      <c r="D90" s="12" t="n"/>
      <c r="E90" s="12" t="n"/>
      <c r="F90" s="12" t="n"/>
      <c r="G90" s="12" t="n"/>
      <c r="H90" s="12" t="n"/>
      <c r="I90" s="13" t="n"/>
      <c r="J90" s="14">
        <f>SUM(D90:I90)</f>
        <v/>
      </c>
      <c r="K90" s="15" t="n"/>
      <c r="L90" s="12" t="n"/>
      <c r="M90" s="12" t="n"/>
      <c r="N90" s="12" t="n"/>
      <c r="O90" s="12" t="n"/>
      <c r="P90" s="13" t="n"/>
      <c r="Q90" s="14">
        <f>SUM(K90:P90)</f>
        <v/>
      </c>
      <c r="R90" s="14">
        <f>J90+Q90</f>
        <v/>
      </c>
      <c r="S90" s="17" t="n"/>
    </row>
    <row r="91" ht="18" customHeight="1" s="47">
      <c r="A91" s="49" t="n"/>
      <c r="B91" s="52" t="n"/>
      <c r="C91" s="23" t="inlineStr">
        <is>
          <t>増　減</t>
        </is>
      </c>
      <c r="D91" s="24">
        <f>D90-D89</f>
        <v/>
      </c>
      <c r="E91" s="24">
        <f>E90-E89</f>
        <v/>
      </c>
      <c r="F91" s="24">
        <f>F90-F89</f>
        <v/>
      </c>
      <c r="G91" s="24">
        <f>G90-G89</f>
        <v/>
      </c>
      <c r="H91" s="24">
        <f>H90-H89</f>
        <v/>
      </c>
      <c r="I91" s="27">
        <f>I90-I89</f>
        <v/>
      </c>
      <c r="J91" s="30">
        <f>SUM(D91:I91)</f>
        <v/>
      </c>
      <c r="K91" s="29">
        <f>K90-K89</f>
        <v/>
      </c>
      <c r="L91" s="24">
        <f>L90-L89</f>
        <v/>
      </c>
      <c r="M91" s="24" t="n"/>
      <c r="N91" s="24">
        <f>N90-N89</f>
        <v/>
      </c>
      <c r="O91" s="24">
        <f>O90-O89</f>
        <v/>
      </c>
      <c r="P91" s="27">
        <f>P90-P89</f>
        <v/>
      </c>
      <c r="Q91" s="30">
        <f>SUM(K91:P91)</f>
        <v/>
      </c>
      <c r="R91" s="30">
        <f>J91+Q91</f>
        <v/>
      </c>
      <c r="S91" s="17" t="n"/>
    </row>
    <row r="92" ht="18" customHeight="1" s="47" thickBot="1">
      <c r="A92" s="50" t="n"/>
      <c r="B92" s="53" t="n"/>
      <c r="C92" s="25" t="inlineStr">
        <is>
          <t>稼働棟数</t>
        </is>
      </c>
      <c r="D92" s="20" t="n"/>
      <c r="E92" s="20" t="n"/>
      <c r="F92" s="20" t="n"/>
      <c r="G92" s="20" t="n"/>
      <c r="H92" s="20" t="n"/>
      <c r="I92" s="28" t="n"/>
      <c r="J92" s="21">
        <f>I92</f>
        <v/>
      </c>
      <c r="K92" s="22" t="n"/>
      <c r="L92" s="20" t="n"/>
      <c r="M92" s="20" t="n"/>
      <c r="N92" s="20" t="n"/>
      <c r="O92" s="20" t="n"/>
      <c r="P92" s="28" t="n"/>
      <c r="Q92" s="21">
        <f>P92</f>
        <v/>
      </c>
      <c r="R92" s="21">
        <f>Q92</f>
        <v/>
      </c>
      <c r="S92" s="18" t="n"/>
    </row>
    <row r="93" ht="18" customHeight="1" s="47">
      <c r="A93" s="48" t="n">
        <v>22</v>
      </c>
      <c r="B93" s="51" t="n"/>
      <c r="C93" s="31" t="inlineStr">
        <is>
          <t>58期</t>
        </is>
      </c>
      <c r="D93" s="8" t="n"/>
      <c r="E93" s="8" t="n"/>
      <c r="F93" s="8" t="n"/>
      <c r="G93" s="8" t="n"/>
      <c r="H93" s="8" t="n"/>
      <c r="I93" s="9" t="n"/>
      <c r="J93" s="10">
        <f>SUM(D93:I93)</f>
        <v/>
      </c>
      <c r="K93" s="11" t="n"/>
      <c r="L93" s="8" t="n"/>
      <c r="M93" s="8" t="n"/>
      <c r="N93" s="8" t="n"/>
      <c r="O93" s="8" t="n"/>
      <c r="P93" s="9" t="n"/>
      <c r="Q93" s="10">
        <f>SUM(K93:P93)</f>
        <v/>
      </c>
      <c r="R93" s="10">
        <f>J93+Q93</f>
        <v/>
      </c>
      <c r="S93" s="16" t="n"/>
    </row>
    <row r="94" ht="18" customHeight="1" s="47">
      <c r="A94" s="49" t="n"/>
      <c r="B94" s="52" t="n"/>
      <c r="C94" s="7" t="inlineStr">
        <is>
          <t>59期</t>
        </is>
      </c>
      <c r="D94" s="12" t="n"/>
      <c r="E94" s="12" t="n"/>
      <c r="F94" s="12" t="n"/>
      <c r="G94" s="12" t="n"/>
      <c r="H94" s="12" t="n"/>
      <c r="I94" s="13" t="n"/>
      <c r="J94" s="14">
        <f>SUM(D94:I94)</f>
        <v/>
      </c>
      <c r="K94" s="15" t="n"/>
      <c r="L94" s="12" t="n"/>
      <c r="M94" s="12" t="n"/>
      <c r="N94" s="12" t="n"/>
      <c r="O94" s="12" t="n"/>
      <c r="P94" s="13" t="n"/>
      <c r="Q94" s="14">
        <f>SUM(K94:P94)</f>
        <v/>
      </c>
      <c r="R94" s="14">
        <f>J94+Q94</f>
        <v/>
      </c>
      <c r="S94" s="17" t="n"/>
    </row>
    <row r="95" ht="18" customHeight="1" s="47">
      <c r="A95" s="49" t="n"/>
      <c r="B95" s="52" t="n"/>
      <c r="C95" s="23" t="inlineStr">
        <is>
          <t>増　減</t>
        </is>
      </c>
      <c r="D95" s="24">
        <f>D94-D93</f>
        <v/>
      </c>
      <c r="E95" s="24">
        <f>E94-E93</f>
        <v/>
      </c>
      <c r="F95" s="24">
        <f>F94-F93</f>
        <v/>
      </c>
      <c r="G95" s="24">
        <f>G94-G93</f>
        <v/>
      </c>
      <c r="H95" s="24">
        <f>H94-H93</f>
        <v/>
      </c>
      <c r="I95" s="27">
        <f>I94-I93</f>
        <v/>
      </c>
      <c r="J95" s="30">
        <f>SUM(D95:I95)</f>
        <v/>
      </c>
      <c r="K95" s="29">
        <f>K94-K93</f>
        <v/>
      </c>
      <c r="L95" s="24">
        <f>L94-L93</f>
        <v/>
      </c>
      <c r="M95" s="24">
        <f>M94-M93</f>
        <v/>
      </c>
      <c r="N95" s="24">
        <f>N94-N93</f>
        <v/>
      </c>
      <c r="O95" s="24">
        <f>O94-O93</f>
        <v/>
      </c>
      <c r="P95" s="27">
        <f>P94-P93</f>
        <v/>
      </c>
      <c r="Q95" s="30">
        <f>SUM(K95:P95)</f>
        <v/>
      </c>
      <c r="R95" s="30">
        <f>J95+Q95</f>
        <v/>
      </c>
      <c r="S95" s="17" t="n"/>
    </row>
    <row r="96" ht="18" customHeight="1" s="47" thickBot="1">
      <c r="A96" s="50" t="n"/>
      <c r="B96" s="53" t="n"/>
      <c r="C96" s="25" t="inlineStr">
        <is>
          <t>稼働棟数</t>
        </is>
      </c>
      <c r="D96" s="20" t="n"/>
      <c r="E96" s="20" t="n"/>
      <c r="F96" s="20" t="n"/>
      <c r="G96" s="20" t="n"/>
      <c r="H96" s="20" t="n"/>
      <c r="I96" s="28" t="n"/>
      <c r="J96" s="21">
        <f>I96</f>
        <v/>
      </c>
      <c r="K96" s="22" t="n"/>
      <c r="L96" s="20" t="n"/>
      <c r="M96" s="20" t="n"/>
      <c r="N96" s="20" t="n"/>
      <c r="O96" s="20" t="n"/>
      <c r="P96" s="28" t="n"/>
      <c r="Q96" s="21">
        <f>P96</f>
        <v/>
      </c>
      <c r="R96" s="21">
        <f>Q96</f>
        <v/>
      </c>
      <c r="S96" s="18" t="n"/>
    </row>
    <row r="97" ht="18" customHeight="1" s="47">
      <c r="A97" s="48" t="n">
        <v>23</v>
      </c>
      <c r="B97" s="51" t="n"/>
      <c r="C97" s="31" t="inlineStr">
        <is>
          <t>58期</t>
        </is>
      </c>
      <c r="D97" s="8" t="n"/>
      <c r="E97" s="8" t="n"/>
      <c r="F97" s="8" t="n"/>
      <c r="G97" s="8" t="n"/>
      <c r="H97" s="8" t="n"/>
      <c r="I97" s="9" t="n"/>
      <c r="J97" s="10">
        <f>SUM(D97:I97)</f>
        <v/>
      </c>
      <c r="K97" s="11" t="n"/>
      <c r="L97" s="8" t="n"/>
      <c r="M97" s="8" t="n"/>
      <c r="N97" s="8" t="n"/>
      <c r="O97" s="8" t="n"/>
      <c r="P97" s="9" t="n"/>
      <c r="Q97" s="10">
        <f>SUM(K97:P97)</f>
        <v/>
      </c>
      <c r="R97" s="10">
        <f>J97+Q97</f>
        <v/>
      </c>
      <c r="S97" s="16" t="n"/>
    </row>
    <row r="98" ht="18" customHeight="1" s="47">
      <c r="A98" s="49" t="n"/>
      <c r="B98" s="52" t="n"/>
      <c r="C98" s="7" t="inlineStr">
        <is>
          <t>59期</t>
        </is>
      </c>
      <c r="D98" s="12" t="n"/>
      <c r="E98" s="12" t="n"/>
      <c r="F98" s="12" t="n"/>
      <c r="G98" s="12" t="n"/>
      <c r="H98" s="12" t="n"/>
      <c r="I98" s="13" t="n"/>
      <c r="J98" s="14">
        <f>SUM(D98:I98)</f>
        <v/>
      </c>
      <c r="K98" s="15" t="n"/>
      <c r="L98" s="12" t="n"/>
      <c r="M98" s="12" t="n"/>
      <c r="N98" s="12" t="n"/>
      <c r="O98" s="12" t="n"/>
      <c r="P98" s="13" t="n"/>
      <c r="Q98" s="14">
        <f>SUM(K98:P98)</f>
        <v/>
      </c>
      <c r="R98" s="14">
        <f>J98+Q98</f>
        <v/>
      </c>
      <c r="S98" s="17" t="n"/>
    </row>
    <row r="99" ht="18" customHeight="1" s="47">
      <c r="A99" s="49" t="n"/>
      <c r="B99" s="52" t="n"/>
      <c r="C99" s="23" t="inlineStr">
        <is>
          <t>増　減</t>
        </is>
      </c>
      <c r="D99" s="24">
        <f>D98-D97</f>
        <v/>
      </c>
      <c r="E99" s="24">
        <f>E98-E97</f>
        <v/>
      </c>
      <c r="F99" s="24">
        <f>F98-F97</f>
        <v/>
      </c>
      <c r="G99" s="24">
        <f>G98-G97</f>
        <v/>
      </c>
      <c r="H99" s="24">
        <f>H98-H97</f>
        <v/>
      </c>
      <c r="I99" s="27">
        <f>I98-I97</f>
        <v/>
      </c>
      <c r="J99" s="30">
        <f>SUM(D99:I99)</f>
        <v/>
      </c>
      <c r="K99" s="29">
        <f>K98-K97</f>
        <v/>
      </c>
      <c r="L99" s="24">
        <f>L98-L97</f>
        <v/>
      </c>
      <c r="M99" s="24">
        <f>M98-M97</f>
        <v/>
      </c>
      <c r="N99" s="24">
        <f>N98-N97</f>
        <v/>
      </c>
      <c r="O99" s="24">
        <f>O98-O97</f>
        <v/>
      </c>
      <c r="P99" s="27">
        <f>P98-P97</f>
        <v/>
      </c>
      <c r="Q99" s="30">
        <f>SUM(K99:P99)</f>
        <v/>
      </c>
      <c r="R99" s="30">
        <f>J99+Q99</f>
        <v/>
      </c>
      <c r="S99" s="17" t="n"/>
    </row>
    <row r="100" ht="18" customHeight="1" s="47" thickBot="1">
      <c r="A100" s="50" t="n"/>
      <c r="B100" s="53" t="n"/>
      <c r="C100" s="25" t="inlineStr">
        <is>
          <t>稼働棟数</t>
        </is>
      </c>
      <c r="D100" s="20" t="n"/>
      <c r="E100" s="20" t="n"/>
      <c r="F100" s="20" t="n"/>
      <c r="G100" s="20" t="n"/>
      <c r="H100" s="20" t="n"/>
      <c r="I100" s="28" t="n"/>
      <c r="J100" s="21">
        <f>I100</f>
        <v/>
      </c>
      <c r="K100" s="22" t="n"/>
      <c r="L100" s="20" t="n"/>
      <c r="M100" s="20" t="n"/>
      <c r="N100" s="20" t="n"/>
      <c r="O100" s="20" t="n"/>
      <c r="P100" s="28" t="n"/>
      <c r="Q100" s="21">
        <f>P100</f>
        <v/>
      </c>
      <c r="R100" s="21">
        <f>Q100</f>
        <v/>
      </c>
      <c r="S100" s="18" t="n"/>
    </row>
    <row r="101" ht="18" customHeight="1" s="47">
      <c r="A101" s="48" t="n">
        <v>24</v>
      </c>
      <c r="B101" s="51" t="n"/>
      <c r="C101" s="31" t="inlineStr">
        <is>
          <t>58期</t>
        </is>
      </c>
      <c r="D101" s="8" t="n"/>
      <c r="E101" s="8" t="n"/>
      <c r="F101" s="8" t="n"/>
      <c r="G101" s="8" t="n"/>
      <c r="H101" s="8" t="n"/>
      <c r="I101" s="9" t="n"/>
      <c r="J101" s="10">
        <f>SUM(D101:I101)</f>
        <v/>
      </c>
      <c r="K101" s="11" t="n"/>
      <c r="L101" s="8" t="n"/>
      <c r="M101" s="8" t="n"/>
      <c r="N101" s="8" t="n"/>
      <c r="O101" s="8" t="n"/>
      <c r="P101" s="9" t="n"/>
      <c r="Q101" s="10">
        <f>SUM(K101:P101)</f>
        <v/>
      </c>
      <c r="R101" s="10">
        <f>J101+Q101</f>
        <v/>
      </c>
      <c r="S101" s="16" t="n"/>
    </row>
    <row r="102" ht="18" customHeight="1" s="47">
      <c r="A102" s="49" t="n"/>
      <c r="B102" s="52" t="n"/>
      <c r="C102" s="7" t="inlineStr">
        <is>
          <t>59期</t>
        </is>
      </c>
      <c r="D102" s="12" t="n"/>
      <c r="E102" s="12" t="n"/>
      <c r="F102" s="12" t="n"/>
      <c r="G102" s="12" t="n"/>
      <c r="H102" s="12" t="n"/>
      <c r="I102" s="13" t="n"/>
      <c r="J102" s="14">
        <f>SUM(D102:I102)</f>
        <v/>
      </c>
      <c r="K102" s="15" t="n"/>
      <c r="L102" s="12" t="n"/>
      <c r="M102" s="12" t="n"/>
      <c r="N102" s="12" t="n"/>
      <c r="O102" s="12" t="n"/>
      <c r="P102" s="13" t="n"/>
      <c r="Q102" s="14">
        <f>SUM(K102:P102)</f>
        <v/>
      </c>
      <c r="R102" s="14">
        <f>J102+Q102</f>
        <v/>
      </c>
      <c r="S102" s="17" t="n"/>
    </row>
    <row r="103" ht="18" customHeight="1" s="47">
      <c r="A103" s="49" t="n"/>
      <c r="B103" s="52" t="n"/>
      <c r="C103" s="23" t="inlineStr">
        <is>
          <t>増　減</t>
        </is>
      </c>
      <c r="D103" s="24">
        <f>D102-D101</f>
        <v/>
      </c>
      <c r="E103" s="24">
        <f>E102-E101</f>
        <v/>
      </c>
      <c r="F103" s="24">
        <f>F102-F101</f>
        <v/>
      </c>
      <c r="G103" s="24">
        <f>G102-G101</f>
        <v/>
      </c>
      <c r="H103" s="24">
        <f>H102-H101</f>
        <v/>
      </c>
      <c r="I103" s="27">
        <f>I102-I101</f>
        <v/>
      </c>
      <c r="J103" s="30">
        <f>SUM(D103:I103)</f>
        <v/>
      </c>
      <c r="K103" s="29">
        <f>K102-K101</f>
        <v/>
      </c>
      <c r="L103" s="24">
        <f>L102-L101</f>
        <v/>
      </c>
      <c r="M103" s="24">
        <f>M102-M101</f>
        <v/>
      </c>
      <c r="N103" s="24">
        <f>N102-N101</f>
        <v/>
      </c>
      <c r="O103" s="24">
        <f>O102-O101</f>
        <v/>
      </c>
      <c r="P103" s="27">
        <f>P102-P101</f>
        <v/>
      </c>
      <c r="Q103" s="30">
        <f>SUM(K103:P103)</f>
        <v/>
      </c>
      <c r="R103" s="30">
        <f>J103+Q103</f>
        <v/>
      </c>
      <c r="S103" s="17" t="n"/>
    </row>
    <row r="104" ht="18" customHeight="1" s="47" thickBot="1">
      <c r="A104" s="50" t="n"/>
      <c r="B104" s="53" t="n"/>
      <c r="C104" s="25" t="inlineStr">
        <is>
          <t>稼働棟数</t>
        </is>
      </c>
      <c r="D104" s="20" t="n"/>
      <c r="E104" s="20" t="n"/>
      <c r="F104" s="20" t="n"/>
      <c r="G104" s="20" t="n"/>
      <c r="H104" s="20" t="n"/>
      <c r="I104" s="28" t="n"/>
      <c r="J104" s="21">
        <f>I104</f>
        <v/>
      </c>
      <c r="K104" s="22" t="n"/>
      <c r="L104" s="20" t="n"/>
      <c r="M104" s="20" t="n"/>
      <c r="N104" s="20" t="n"/>
      <c r="O104" s="20" t="n"/>
      <c r="P104" s="28" t="n"/>
      <c r="Q104" s="21">
        <f>P104</f>
        <v/>
      </c>
      <c r="R104" s="21">
        <f>Q104</f>
        <v/>
      </c>
      <c r="S104" s="18" t="n"/>
    </row>
    <row r="105" ht="18" customHeight="1" s="47">
      <c r="A105" s="48" t="n">
        <v>25</v>
      </c>
      <c r="B105" s="51" t="n"/>
      <c r="C105" s="31" t="inlineStr">
        <is>
          <t>58期</t>
        </is>
      </c>
      <c r="D105" s="8" t="n"/>
      <c r="E105" s="8" t="n"/>
      <c r="F105" s="8" t="n"/>
      <c r="G105" s="8" t="n"/>
      <c r="H105" s="8" t="n"/>
      <c r="I105" s="9" t="n"/>
      <c r="J105" s="10">
        <f>SUM(D105:I105)</f>
        <v/>
      </c>
      <c r="K105" s="11" t="n"/>
      <c r="L105" s="8" t="n"/>
      <c r="M105" s="8" t="n"/>
      <c r="N105" s="8" t="n"/>
      <c r="O105" s="8" t="n"/>
      <c r="P105" s="9" t="n"/>
      <c r="Q105" s="10">
        <f>SUM(K105:P105)</f>
        <v/>
      </c>
      <c r="R105" s="10">
        <f>J105+Q105</f>
        <v/>
      </c>
      <c r="S105" s="16" t="n"/>
    </row>
    <row r="106" ht="18" customHeight="1" s="47">
      <c r="A106" s="49" t="n"/>
      <c r="B106" s="52" t="n"/>
      <c r="C106" s="7" t="inlineStr">
        <is>
          <t>59期</t>
        </is>
      </c>
      <c r="D106" s="12" t="n"/>
      <c r="E106" s="12" t="n"/>
      <c r="F106" s="12" t="n"/>
      <c r="G106" s="12" t="n"/>
      <c r="H106" s="12" t="n"/>
      <c r="I106" s="13" t="n"/>
      <c r="J106" s="14">
        <f>SUM(D106:I106)</f>
        <v/>
      </c>
      <c r="K106" s="15" t="n"/>
      <c r="L106" s="12" t="n"/>
      <c r="M106" s="12" t="n"/>
      <c r="N106" s="12" t="n"/>
      <c r="O106" s="12" t="n"/>
      <c r="P106" s="13" t="n"/>
      <c r="Q106" s="14">
        <f>SUM(K106:P106)</f>
        <v/>
      </c>
      <c r="R106" s="14">
        <f>J106+Q106</f>
        <v/>
      </c>
      <c r="S106" s="17" t="n"/>
    </row>
    <row r="107" ht="18" customHeight="1" s="47">
      <c r="A107" s="49" t="n"/>
      <c r="B107" s="52" t="n"/>
      <c r="C107" s="23" t="inlineStr">
        <is>
          <t>増　減</t>
        </is>
      </c>
      <c r="D107" s="24">
        <f>D106-D105</f>
        <v/>
      </c>
      <c r="E107" s="24">
        <f>E106-E105</f>
        <v/>
      </c>
      <c r="F107" s="24">
        <f>F106-F105</f>
        <v/>
      </c>
      <c r="G107" s="24">
        <f>G106-G105</f>
        <v/>
      </c>
      <c r="H107" s="24">
        <f>H106-H105</f>
        <v/>
      </c>
      <c r="I107" s="27">
        <f>I106-I105</f>
        <v/>
      </c>
      <c r="J107" s="30">
        <f>SUM(D107:I107)</f>
        <v/>
      </c>
      <c r="K107" s="29">
        <f>K106-K105</f>
        <v/>
      </c>
      <c r="L107" s="24">
        <f>L106-L105</f>
        <v/>
      </c>
      <c r="M107" s="24">
        <f>M106-M105</f>
        <v/>
      </c>
      <c r="N107" s="24">
        <f>N106-N105</f>
        <v/>
      </c>
      <c r="O107" s="24">
        <f>O106-O105</f>
        <v/>
      </c>
      <c r="P107" s="27">
        <f>P106-P105</f>
        <v/>
      </c>
      <c r="Q107" s="30">
        <f>SUM(K107:P107)</f>
        <v/>
      </c>
      <c r="R107" s="30">
        <f>J107+Q107</f>
        <v/>
      </c>
      <c r="S107" s="17" t="n"/>
    </row>
    <row r="108" ht="18" customHeight="1" s="47" thickBot="1">
      <c r="A108" s="50" t="n"/>
      <c r="B108" s="53" t="n"/>
      <c r="C108" s="25" t="inlineStr">
        <is>
          <t>稼働棟数</t>
        </is>
      </c>
      <c r="D108" s="20" t="n"/>
      <c r="E108" s="20" t="n"/>
      <c r="F108" s="20" t="n"/>
      <c r="G108" s="20" t="n"/>
      <c r="H108" s="20" t="n"/>
      <c r="I108" s="28" t="n"/>
      <c r="J108" s="21">
        <f>I108</f>
        <v/>
      </c>
      <c r="K108" s="22" t="n"/>
      <c r="L108" s="20" t="n"/>
      <c r="M108" s="20" t="n"/>
      <c r="N108" s="20" t="n"/>
      <c r="O108" s="20" t="n"/>
      <c r="P108" s="28" t="n"/>
      <c r="Q108" s="21">
        <f>P108</f>
        <v/>
      </c>
      <c r="R108" s="21">
        <f>Q108</f>
        <v/>
      </c>
      <c r="S108" s="18" t="n"/>
    </row>
    <row r="109" ht="18" customHeight="1" s="47">
      <c r="A109" s="48" t="n"/>
      <c r="B109" s="55" t="inlineStr">
        <is>
          <t>企業棟月間合計</t>
        </is>
      </c>
      <c r="C109" s="31" t="inlineStr">
        <is>
          <t>58期</t>
        </is>
      </c>
      <c r="D109" s="8">
        <f>D9+D13+D17+D21+D25+D29+D33+D37+D41+D45+D49+D53+D57+D61+D65+D69+D73+D77+D81+D85+D89+D93+D97+D101+D105</f>
        <v/>
      </c>
      <c r="E109" s="8">
        <f>E9+E13+E17+E21+E25+E29+E33+E37+E41+E45+E49+E53+E57+E61+E65+E69+E73+E77+E81+E85+E89+E93+E97+E101+E105</f>
        <v/>
      </c>
      <c r="F109" s="8">
        <f>F9+F13+F17+F21+F25+F29+F33+F37+F41+F45+F49+F53+F57+F61+F65+F69+F73+F77+F81+F85+F89+F93+F97+F101+F105</f>
        <v/>
      </c>
      <c r="G109" s="8">
        <f>G9+G13+G17+G21+G25+G29+G33+G37+G41+G45+G49+G53+G57+G61+G65+G69+G73+G77+G81+G85+G89+G93+G97+G101+G105</f>
        <v/>
      </c>
      <c r="H109" s="8">
        <f>H9+H13+H17+H21+H25+H29+H33+H37+H41+H45+H49+H53+H57+H61+H65+H69+H73+H77+H81+H85+H89+H93+H97+H101+H105</f>
        <v/>
      </c>
      <c r="I109" s="9">
        <f>I9+I13+I17+I21+I25+I29+I33+I37+I41+I45+I49+I53+I57+I61+I65+I69+I73+I77+I81+I85+I89+I93+I97+I101+I105</f>
        <v/>
      </c>
      <c r="J109" s="10">
        <f>SUM(D109:I109)</f>
        <v/>
      </c>
      <c r="K109" s="11">
        <f>K9+K13+K17+K21+K25+K29+K33+K37+K41+K45+K49+K53+K57+K61+K65+K69+K73+K77+K81+K85+K89+K93+K97+K101+K105</f>
        <v/>
      </c>
      <c r="L109" s="8">
        <f>L9+L13+L17+L21+L25+L29+L33+L37+L41+L45+L49+L53+L57+L61+L65+L69+L73+L77+L81+L85+L89+L93+L97+L101+L105</f>
        <v/>
      </c>
      <c r="M109" s="8">
        <f>M9+M13+M17+M21+M25+M29+M33+M37+M41+M45+M49+M53+M57+M61+M65+M69+M73+M77+M81+M85+M89+M93+M97+M101+M105</f>
        <v/>
      </c>
      <c r="N109" s="8">
        <f>N9+N13+N17+N21+N25+N29+N33+N37+N41+N45+N49+N53+N57+N61+N65+N69+N73+N77+N81+N85+N89+N93+N97+N101+N105</f>
        <v/>
      </c>
      <c r="O109" s="8">
        <f>O9+O13+O17+O21+O25+O29+O33+O37+O41+O45+O49+O53+O57+O61+O65+O69+O73+O77+O81+O85+O89+O93+O97+O101+O105</f>
        <v/>
      </c>
      <c r="P109" s="9">
        <f>P9+P13+P17+P21+P25+P29+P33+P37+P41+P45+P49+P53+P57+P61+P65+P69+P73+P77+P81+P85+P89+P93+P97+P101+P105</f>
        <v/>
      </c>
      <c r="Q109" s="10">
        <f>SUM(K109:P109)</f>
        <v/>
      </c>
      <c r="R109" s="10">
        <f>J109+Q109</f>
        <v/>
      </c>
      <c r="S109" s="16" t="n"/>
    </row>
    <row r="110" ht="18" customHeight="1" s="47">
      <c r="A110" s="49" t="n"/>
      <c r="B110" s="52" t="n"/>
      <c r="C110" s="7" t="inlineStr">
        <is>
          <t>59期</t>
        </is>
      </c>
      <c r="D110" s="12">
        <f>D10+D14+D18+D22+D26+D30+D34+D38+D42+D46+D50+D54+D58+D62+D66+D70+D74+D78+D82+D86+D90+D94+D98+D102+D106</f>
        <v/>
      </c>
      <c r="E110" s="12">
        <f>E10+E14+E18+E22+E26+E30+E34+E38+E42+E46+E50+E54+E58+E62+E66+E70+E74+E78+E82+E86+E90+E94+E98+E102+E106</f>
        <v/>
      </c>
      <c r="F110" s="12">
        <f>F10+F14+F18+F22+F26+F30+F34+F38+F42+F46+F50+F54+F58+F62+F66+F70+F74+F78+F82+F86+F90+F94+F98+F102+F106</f>
        <v/>
      </c>
      <c r="G110" s="12">
        <f>G10+G14+G18+G22+G26+G30+G34+G38+G42+G46+G50+G54+G58+G62+G66+G70+G74+G78+G82+G86+G90+G94+G98+G102+G106</f>
        <v/>
      </c>
      <c r="H110" s="12">
        <f>H10+H14+H18+H22+H26+H30+H34+H38+H42+H46+H50+H54+H58+H62+H66+H70+H74+H78+H82+H86+H90+H94+H98+H102+H106</f>
        <v/>
      </c>
      <c r="I110" s="13">
        <f>I10+I14+I18+I22+I26+I30+I34+I38+I42+I46+I50+I54+I58+I62+I66+I70+I74+I78+I82+I86+I90+I94+I98+I102+I106</f>
        <v/>
      </c>
      <c r="J110" s="14">
        <f>SUM(D110:I110)</f>
        <v/>
      </c>
      <c r="K110" s="15">
        <f>K10+K14+K18+K22+K26+K30+K34+K38+K42+K46+K50+K54+K58+K62+K66+K70+K74+K78+K82+K86+K90+K94+K98+K102+K106</f>
        <v/>
      </c>
      <c r="L110" s="12">
        <f>L10+L14+L18+L22+L26+L30+L34+L38+L42+L46+L50+L54+L58+L62+L66+L70+L74+L78+L82+L86+L90+L94+L98+L102+L106</f>
        <v/>
      </c>
      <c r="M110" s="12">
        <f>M10+M14+M18+M22+M26+M30+M34+M38+M42+M46+M50+M54+M58+M62+M66+M70+M74+M78+M82+M86+M90+M94+M98+M102+M106</f>
        <v/>
      </c>
      <c r="N110" s="12">
        <f>N10+N14+N18+N22+N26+N30+N34+N38+N42+N46+N50+N54+N58+N62+N66+N70+N74+N78+N82+N86+N90+N94+N98+N102+N106</f>
        <v/>
      </c>
      <c r="O110" s="12">
        <f>O10+O14+O18+O22+O26+O30+O34+O38+O42+O46+O50+O54+O58+O62+O66+O70+O74+O78+O82+O86+O90+O94+O98+O102+O106</f>
        <v/>
      </c>
      <c r="P110" s="13">
        <f>P10+P14+P18+P22+P26+P30+P34+P38+P42+P46+P50+P54+P58+P62+P66+P70+P74+P78+P82+P86+P90+P94+P98+P102+P106</f>
        <v/>
      </c>
      <c r="Q110" s="14">
        <f>SUM(K110:P110)</f>
        <v/>
      </c>
      <c r="R110" s="14">
        <f>J110+Q110</f>
        <v/>
      </c>
      <c r="S110" s="17" t="n"/>
    </row>
    <row r="111" ht="18" customHeight="1" s="47">
      <c r="A111" s="49" t="n"/>
      <c r="B111" s="52" t="n"/>
      <c r="C111" s="23" t="inlineStr">
        <is>
          <t>増　減</t>
        </is>
      </c>
      <c r="D111" s="24">
        <f>D110-D109</f>
        <v/>
      </c>
      <c r="E111" s="24">
        <f>E110-E109</f>
        <v/>
      </c>
      <c r="F111" s="24">
        <f>F110-F109</f>
        <v/>
      </c>
      <c r="G111" s="24">
        <f>G110-G109</f>
        <v/>
      </c>
      <c r="H111" s="24">
        <f>H110-H109</f>
        <v/>
      </c>
      <c r="I111" s="27">
        <f>I110-I109</f>
        <v/>
      </c>
      <c r="J111" s="30">
        <f>SUM(D111:I111)</f>
        <v/>
      </c>
      <c r="K111" s="29">
        <f>K110-K109</f>
        <v/>
      </c>
      <c r="L111" s="24">
        <f>L110-L109</f>
        <v/>
      </c>
      <c r="M111" s="24">
        <f>M110-M109</f>
        <v/>
      </c>
      <c r="N111" s="24">
        <f>N110-N109</f>
        <v/>
      </c>
      <c r="O111" s="24">
        <f>O110-O109</f>
        <v/>
      </c>
      <c r="P111" s="27">
        <f>P110-P109</f>
        <v/>
      </c>
      <c r="Q111" s="30">
        <f>SUM(K111:P111)</f>
        <v/>
      </c>
      <c r="R111" s="30">
        <f>J111+Q111</f>
        <v/>
      </c>
      <c r="S111" s="17" t="n"/>
    </row>
    <row r="112" ht="18" customHeight="1" s="47" thickBot="1">
      <c r="A112" s="50" t="n"/>
      <c r="B112" s="53" t="n"/>
      <c r="C112" s="25" t="inlineStr">
        <is>
          <t>稼働棟数</t>
        </is>
      </c>
      <c r="D112" s="20">
        <f>D12+D16+D20+D24+D28+D32+D36+D40+D44+D48+D52+D56+D60+D64+D68+D72+D76+D80+D84+D88+D92+D96+D100+D104+D108</f>
        <v/>
      </c>
      <c r="E112" s="20">
        <f>E12+E16+E20+E24+E28+E32+E36+E40+E44+E48+E52+E56+E60+E64+E68+E72+E76+E80+E84+E88+E92+E96+E100+E104+E108</f>
        <v/>
      </c>
      <c r="F112" s="20">
        <f>F12+F16+F20+F24+F28+F32+F36+F40+F44+F48+F52+F56+F60+F64+F68+F72+F76+F80+F84+F88+F92+F96+F100+F104+F108</f>
        <v/>
      </c>
      <c r="G112" s="20">
        <f>G12+G16+G20+G24+G28+G32+G36+G40+G44+G48+G52+G56+G60+G64+G68+G72+G76+G80+G84+G88+G92+G96+G100+G104+G108</f>
        <v/>
      </c>
      <c r="H112" s="20">
        <f>H12+H16+H20+H24+H28+H32+H36+H40+H44+H48+H52+H56+H60+H64+H68+H72+H76+H80+H84+H88+H92+H96+H100+H104+H108</f>
        <v/>
      </c>
      <c r="I112" s="28">
        <f>I12+I16+I20+I24+I28+I32+I36+I40+I44+I48+I52+I56+I60+I64+I68+I72+I76+I80+I84+I88+I92+I96+I100+I104+I108</f>
        <v/>
      </c>
      <c r="J112" s="21">
        <f>I112</f>
        <v/>
      </c>
      <c r="K112" s="22">
        <f>K12+K16+K20+K24+K28+K32+K36+K40+K44+K48+K52+K56+K60+K64+K68+K72+K76+K80+K84+K88+K92+K96+K100+K104+K108</f>
        <v/>
      </c>
      <c r="L112" s="20">
        <f>L12+L16+L20+L24+L28+L32+L36+L40+L44+L48+L52+L56+L60+L64+L68+L72+L76+L80+L84+L88+L92+L96+L100+L104+L108</f>
        <v/>
      </c>
      <c r="M112" s="20">
        <f>M12+M16+M20+M24+M28+M32+M36+M40+M44+M48+M52+M56+M60+M64+M68+M72+M76+M80+M84+M88+M92+M96+M100+M104+M108</f>
        <v/>
      </c>
      <c r="N112" s="20">
        <f>N12+N16+N20+N24+N28+N32+N36+N40+N44+N48+N52+N56+N60+N64+N68+N72+N76+N80+N84+N88+N92+N96+N100+N104+N108</f>
        <v/>
      </c>
      <c r="O112" s="20">
        <f>O12+O16+O20+O24+O28+O32+O36+O40+O44+O48+O52+O56+O60+O64+O68+O72+O76+O80+O84+O88+O92+O96+O100+O104+O108</f>
        <v/>
      </c>
      <c r="P112" s="28">
        <f>P12+P16+P20+P24+P28+P32+P36+P40+P44+P48+P52+P56+P60+P64+P68+P72+P76+P80+P84+P88+P92+P96+P100+P104+P108</f>
        <v/>
      </c>
      <c r="Q112" s="21">
        <f>P112</f>
        <v/>
      </c>
      <c r="R112" s="21">
        <f>Q112</f>
        <v/>
      </c>
      <c r="S112" s="18" t="n"/>
    </row>
    <row r="113" ht="18" customHeight="1" s="47">
      <c r="A113" s="48" t="n"/>
      <c r="B113" s="51" t="inlineStr">
        <is>
          <t>日建</t>
        </is>
      </c>
      <c r="C113" s="31" t="inlineStr">
        <is>
          <t>58期</t>
        </is>
      </c>
      <c r="D113" s="8" t="n">
        <v>3.8</v>
      </c>
      <c r="E113" s="8" t="n">
        <v>7.1</v>
      </c>
      <c r="F113" s="8" t="n"/>
      <c r="G113" s="8" t="n">
        <v>13.36</v>
      </c>
      <c r="H113" s="8" t="n"/>
      <c r="I113" s="9" t="n">
        <v>7.1</v>
      </c>
      <c r="J113" s="10">
        <f>SUM(D113:I113)</f>
        <v/>
      </c>
      <c r="K113" s="11" t="n">
        <v>9.880000000000001</v>
      </c>
      <c r="L113" s="8" t="n">
        <v>5.46</v>
      </c>
      <c r="M113" s="8" t="n">
        <v>2.52</v>
      </c>
      <c r="N113" s="8" t="n">
        <v>7.36</v>
      </c>
      <c r="O113" s="8" t="n">
        <v>4.4</v>
      </c>
      <c r="P113" s="9" t="n">
        <v>9.48</v>
      </c>
      <c r="Q113" s="10">
        <f>SUM(K113:P113)</f>
        <v/>
      </c>
      <c r="R113" s="10">
        <f>J113+Q113</f>
        <v/>
      </c>
      <c r="S113" s="16" t="n"/>
    </row>
    <row r="114" ht="18" customHeight="1" s="47">
      <c r="A114" s="49" t="n"/>
      <c r="B114" s="52" t="n"/>
      <c r="C114" s="7" t="inlineStr">
        <is>
          <t>59期</t>
        </is>
      </c>
      <c r="D114" s="12" t="n">
        <v>3.790000000000001</v>
      </c>
      <c r="E114" s="12" t="n">
        <v>6.46</v>
      </c>
      <c r="F114" s="12" t="n">
        <v>0</v>
      </c>
      <c r="G114" s="12" t="n">
        <v>9.279999999999999</v>
      </c>
      <c r="H114" s="12" t="n"/>
      <c r="I114" s="13" t="n"/>
      <c r="J114" s="14">
        <f>SUM(D114:I114)</f>
        <v/>
      </c>
      <c r="K114" s="15" t="n"/>
      <c r="L114" s="12" t="n"/>
      <c r="M114" s="12" t="n"/>
      <c r="N114" s="12" t="n"/>
      <c r="O114" s="12" t="n"/>
      <c r="P114" s="13" t="n"/>
      <c r="Q114" s="14">
        <f>SUM(K114:P114)</f>
        <v/>
      </c>
      <c r="R114" s="14">
        <f>J114+Q114</f>
        <v/>
      </c>
      <c r="S114" s="17" t="n"/>
    </row>
    <row r="115" ht="18" customHeight="1" s="47">
      <c r="A115" s="49" t="n"/>
      <c r="B115" s="52" t="n"/>
      <c r="C115" s="23" t="inlineStr">
        <is>
          <t>増　減</t>
        </is>
      </c>
      <c r="D115" s="24">
        <f>D114-D113</f>
        <v/>
      </c>
      <c r="E115" s="24">
        <f>E114-E113</f>
        <v/>
      </c>
      <c r="F115" s="24">
        <f>F114-F113</f>
        <v/>
      </c>
      <c r="G115" s="24">
        <f>G114-G113</f>
        <v/>
      </c>
      <c r="H115" s="24">
        <f>H114-H113</f>
        <v/>
      </c>
      <c r="I115" s="27">
        <f>I114-I113</f>
        <v/>
      </c>
      <c r="J115" s="30">
        <f>SUM(D115:I115)</f>
        <v/>
      </c>
      <c r="K115" s="29">
        <f>K114-K113</f>
        <v/>
      </c>
      <c r="L115" s="24">
        <f>L114-L113</f>
        <v/>
      </c>
      <c r="M115" s="24">
        <f>M114-M113</f>
        <v/>
      </c>
      <c r="N115" s="24">
        <f>N114-N113</f>
        <v/>
      </c>
      <c r="O115" s="24">
        <f>O114-O113</f>
        <v/>
      </c>
      <c r="P115" s="27">
        <f>P114-P113</f>
        <v/>
      </c>
      <c r="Q115" s="30">
        <f>SUM(K115:P115)</f>
        <v/>
      </c>
      <c r="R115" s="30">
        <f>J115+Q115</f>
        <v/>
      </c>
      <c r="S115" s="17" t="n"/>
    </row>
    <row r="116" ht="18" customHeight="1" s="47" thickBot="1">
      <c r="A116" s="50" t="n"/>
      <c r="B116" s="53" t="n"/>
      <c r="C116" s="25" t="inlineStr">
        <is>
          <t>稼働棟数</t>
        </is>
      </c>
      <c r="D116" s="20" t="n"/>
      <c r="E116" s="20" t="n"/>
      <c r="F116" s="20" t="n"/>
      <c r="G116" s="20" t="n"/>
      <c r="H116" s="20" t="n"/>
      <c r="I116" s="28" t="n"/>
      <c r="J116" s="21">
        <f>I116</f>
        <v/>
      </c>
      <c r="K116" s="22" t="n"/>
      <c r="L116" s="20" t="n"/>
      <c r="M116" s="20" t="n"/>
      <c r="N116" s="20" t="n"/>
      <c r="O116" s="20" t="n"/>
      <c r="P116" s="28" t="n"/>
      <c r="Q116" s="21">
        <f>P116</f>
        <v/>
      </c>
      <c r="R116" s="21">
        <f>Q116</f>
        <v/>
      </c>
      <c r="S116" s="18" t="n"/>
    </row>
    <row r="117" ht="18" customHeight="1" s="47" thickBot="1">
      <c r="A117" s="48" t="n"/>
      <c r="B117" s="55" t="inlineStr">
        <is>
          <t>月間総合計</t>
        </is>
      </c>
      <c r="C117" s="31" t="inlineStr">
        <is>
          <t>58期</t>
        </is>
      </c>
      <c r="D117" s="8">
        <f>D109+D113</f>
        <v/>
      </c>
      <c r="E117" s="8">
        <f>E109+E113</f>
        <v/>
      </c>
      <c r="F117" s="8">
        <f>F109+F113</f>
        <v/>
      </c>
      <c r="G117" s="8">
        <f>G109+G113</f>
        <v/>
      </c>
      <c r="H117" s="8">
        <f>H109+H113</f>
        <v/>
      </c>
      <c r="I117" s="9">
        <f>I109+I113</f>
        <v/>
      </c>
      <c r="J117" s="10">
        <f>SUM(D117:I117)</f>
        <v/>
      </c>
      <c r="K117" s="11">
        <f>K109+K113</f>
        <v/>
      </c>
      <c r="L117" s="8">
        <f>L109+L113</f>
        <v/>
      </c>
      <c r="M117" s="8">
        <f>M109+M113</f>
        <v/>
      </c>
      <c r="N117" s="8">
        <f>N109+N113</f>
        <v/>
      </c>
      <c r="O117" s="8">
        <f>O109+O113</f>
        <v/>
      </c>
      <c r="P117" s="9">
        <f>P109+P113</f>
        <v/>
      </c>
      <c r="Q117" s="10">
        <f>SUM(K117:P117)</f>
        <v/>
      </c>
      <c r="R117" s="10">
        <f>J117+Q117</f>
        <v/>
      </c>
      <c r="S117" s="16" t="n"/>
    </row>
    <row r="118" ht="18" customHeight="1" s="47">
      <c r="A118" s="49" t="n"/>
      <c r="B118" s="52" t="n"/>
      <c r="C118" s="7" t="inlineStr">
        <is>
          <t>59期</t>
        </is>
      </c>
      <c r="D118" s="12">
        <f>D110+D114</f>
        <v/>
      </c>
      <c r="E118" s="12">
        <f>E110+E114</f>
        <v/>
      </c>
      <c r="F118" s="12">
        <f>F110+F114</f>
        <v/>
      </c>
      <c r="G118" s="12">
        <f>G110+G114</f>
        <v/>
      </c>
      <c r="H118" s="12">
        <f>H110+H114</f>
        <v/>
      </c>
      <c r="I118" s="13">
        <f>I110+I114</f>
        <v/>
      </c>
      <c r="J118" s="14">
        <f>SUM(D118:I118)</f>
        <v/>
      </c>
      <c r="K118" s="15">
        <f>K110+K114</f>
        <v/>
      </c>
      <c r="L118" s="12">
        <f>L110+L114</f>
        <v/>
      </c>
      <c r="M118" s="12">
        <f>M110+M114</f>
        <v/>
      </c>
      <c r="N118" s="8">
        <f>N110+N114</f>
        <v/>
      </c>
      <c r="O118" s="12">
        <f>O110+O114</f>
        <v/>
      </c>
      <c r="P118" s="13">
        <f>P110+P114</f>
        <v/>
      </c>
      <c r="Q118" s="14">
        <f>SUM(K118:P118)</f>
        <v/>
      </c>
      <c r="R118" s="14">
        <f>J118+Q118</f>
        <v/>
      </c>
      <c r="S118" s="17" t="n"/>
    </row>
    <row r="119" ht="18" customHeight="1" s="47">
      <c r="A119" s="49" t="n"/>
      <c r="B119" s="52" t="n"/>
      <c r="C119" s="23" t="inlineStr">
        <is>
          <t>増　減</t>
        </is>
      </c>
      <c r="D119" s="24">
        <f>D118-D117</f>
        <v/>
      </c>
      <c r="E119" s="24">
        <f>E118-E117</f>
        <v/>
      </c>
      <c r="F119" s="24">
        <f>F118-F117</f>
        <v/>
      </c>
      <c r="G119" s="24">
        <f>G118-G117</f>
        <v/>
      </c>
      <c r="H119" s="24">
        <f>H118-H117</f>
        <v/>
      </c>
      <c r="I119" s="27">
        <f>I118-I117</f>
        <v/>
      </c>
      <c r="J119" s="30">
        <f>SUM(D119:I119)</f>
        <v/>
      </c>
      <c r="K119" s="29">
        <f>K118-K117</f>
        <v/>
      </c>
      <c r="L119" s="24">
        <f>L118-L117</f>
        <v/>
      </c>
      <c r="M119" s="24">
        <f>M118-M117</f>
        <v/>
      </c>
      <c r="N119" s="24">
        <f>N118-N117</f>
        <v/>
      </c>
      <c r="O119" s="24">
        <f>O118-O117</f>
        <v/>
      </c>
      <c r="P119" s="27">
        <f>P118-P117</f>
        <v/>
      </c>
      <c r="Q119" s="30">
        <f>SUM(K119:P119)</f>
        <v/>
      </c>
      <c r="R119" s="30">
        <f>J119+Q119</f>
        <v/>
      </c>
      <c r="S119" s="17" t="n"/>
    </row>
    <row r="120" ht="18" customHeight="1" s="47" thickBot="1">
      <c r="A120" s="50" t="n"/>
      <c r="B120" s="53" t="n"/>
      <c r="C120" s="25" t="inlineStr">
        <is>
          <t>稼働棟数</t>
        </is>
      </c>
      <c r="D120" s="20">
        <f>D112+D116</f>
        <v/>
      </c>
      <c r="E120" s="20">
        <f>E112+E116</f>
        <v/>
      </c>
      <c r="F120" s="20">
        <f>F112+F116</f>
        <v/>
      </c>
      <c r="G120" s="20">
        <f>G112+G116</f>
        <v/>
      </c>
      <c r="H120" s="20">
        <f>H112+H116</f>
        <v/>
      </c>
      <c r="I120" s="28">
        <f>I112+I116</f>
        <v/>
      </c>
      <c r="J120" s="21">
        <f>I120</f>
        <v/>
      </c>
      <c r="K120" s="22">
        <f>K112+K116</f>
        <v/>
      </c>
      <c r="L120" s="20">
        <f>L112+L116</f>
        <v/>
      </c>
      <c r="M120" s="20">
        <f>M112+M116</f>
        <v/>
      </c>
      <c r="N120" s="20">
        <f>N112+N116</f>
        <v/>
      </c>
      <c r="O120" s="20">
        <f>O112+O116</f>
        <v/>
      </c>
      <c r="P120" s="28">
        <f>P112+P116</f>
        <v/>
      </c>
      <c r="Q120" s="21">
        <f>P120</f>
        <v/>
      </c>
      <c r="R120" s="21">
        <f>Q120</f>
        <v/>
      </c>
      <c r="S120" s="18" t="n"/>
    </row>
    <row r="121">
      <c r="A121" t="n">
        <v>26</v>
      </c>
      <c r="B121" t="inlineStr">
        <is>
          <t>サンセイ</t>
        </is>
      </c>
      <c r="C121" t="inlineStr">
        <is>
          <t>58期</t>
        </is>
      </c>
    </row>
    <row r="122">
      <c r="C122" t="inlineStr">
        <is>
          <t>59期</t>
        </is>
      </c>
      <c r="F122" t="n">
        <v>0</v>
      </c>
    </row>
    <row r="123">
      <c r="C123" t="inlineStr">
        <is>
          <t>増　減</t>
        </is>
      </c>
      <c r="D123">
        <f>D122-D121</f>
        <v/>
      </c>
      <c r="E123">
        <f>E122-E121</f>
        <v/>
      </c>
      <c r="F123">
        <f>F122-F121</f>
        <v/>
      </c>
      <c r="G123">
        <f>G122-G121</f>
        <v/>
      </c>
      <c r="H123">
        <f>H122-H121</f>
        <v/>
      </c>
      <c r="I123">
        <f>I122-I121</f>
        <v/>
      </c>
      <c r="J123">
        <f>J122-J121</f>
        <v/>
      </c>
      <c r="K123">
        <f>K122-K121</f>
        <v/>
      </c>
      <c r="L123">
        <f>L122-L121</f>
        <v/>
      </c>
      <c r="M123">
        <f>M122-M121</f>
        <v/>
      </c>
      <c r="N123">
        <f>N122-N121</f>
        <v/>
      </c>
      <c r="O123">
        <f>O122-O121</f>
        <v/>
      </c>
      <c r="P123">
        <f>P122-P121</f>
        <v/>
      </c>
      <c r="Q123">
        <f>Q122-Q121</f>
        <v/>
      </c>
      <c r="R123">
        <f>R122-R121</f>
        <v/>
      </c>
      <c r="S123">
        <f>S122-S121</f>
        <v/>
      </c>
    </row>
    <row r="124">
      <c r="C124" t="inlineStr">
        <is>
          <t>稼働棟数</t>
        </is>
      </c>
    </row>
    <row r="125">
      <c r="A125" t="n">
        <v>27</v>
      </c>
      <c r="B125" t="inlineStr">
        <is>
          <t>サンテレ</t>
        </is>
      </c>
      <c r="C125" t="inlineStr">
        <is>
          <t>58期</t>
        </is>
      </c>
    </row>
    <row r="126">
      <c r="C126" t="inlineStr">
        <is>
          <t>59期</t>
        </is>
      </c>
      <c r="F126" t="n">
        <v>0.01</v>
      </c>
    </row>
    <row r="127">
      <c r="C127" t="inlineStr">
        <is>
          <t>増　減</t>
        </is>
      </c>
      <c r="D127">
        <f>D126-D125</f>
        <v/>
      </c>
      <c r="E127">
        <f>E126-E125</f>
        <v/>
      </c>
      <c r="F127">
        <f>F126-F125</f>
        <v/>
      </c>
      <c r="G127">
        <f>G126-G125</f>
        <v/>
      </c>
      <c r="H127">
        <f>H126-H125</f>
        <v/>
      </c>
      <c r="I127">
        <f>I126-I125</f>
        <v/>
      </c>
      <c r="J127">
        <f>J126-J125</f>
        <v/>
      </c>
      <c r="K127">
        <f>K126-K125</f>
        <v/>
      </c>
      <c r="L127">
        <f>L126-L125</f>
        <v/>
      </c>
      <c r="M127">
        <f>M126-M125</f>
        <v/>
      </c>
      <c r="N127">
        <f>N126-N125</f>
        <v/>
      </c>
      <c r="O127">
        <f>O126-O125</f>
        <v/>
      </c>
      <c r="P127">
        <f>P126-P125</f>
        <v/>
      </c>
      <c r="Q127">
        <f>Q126-Q125</f>
        <v/>
      </c>
      <c r="R127">
        <f>R126-R125</f>
        <v/>
      </c>
      <c r="S127">
        <f>S126-S125</f>
        <v/>
      </c>
    </row>
    <row r="128">
      <c r="C128" t="inlineStr">
        <is>
          <t>稼働棟数</t>
        </is>
      </c>
    </row>
    <row r="129">
      <c r="A129" t="n">
        <v>28</v>
      </c>
      <c r="B129" t="inlineStr">
        <is>
          <t>バリュ</t>
        </is>
      </c>
      <c r="C129" t="inlineStr">
        <is>
          <t>58期</t>
        </is>
      </c>
    </row>
    <row r="130">
      <c r="C130" t="inlineStr">
        <is>
          <t>59期</t>
        </is>
      </c>
      <c r="F130" t="n">
        <v>0.01</v>
      </c>
    </row>
    <row r="131">
      <c r="C131" t="inlineStr">
        <is>
          <t>増　減</t>
        </is>
      </c>
      <c r="D131">
        <f>D130-D129</f>
        <v/>
      </c>
      <c r="E131">
        <f>E130-E129</f>
        <v/>
      </c>
      <c r="F131">
        <f>F130-F129</f>
        <v/>
      </c>
      <c r="G131">
        <f>G130-G129</f>
        <v/>
      </c>
      <c r="H131">
        <f>H130-H129</f>
        <v/>
      </c>
      <c r="I131">
        <f>I130-I129</f>
        <v/>
      </c>
      <c r="J131">
        <f>J130-J129</f>
        <v/>
      </c>
      <c r="K131">
        <f>K130-K129</f>
        <v/>
      </c>
      <c r="L131">
        <f>L130-L129</f>
        <v/>
      </c>
      <c r="M131">
        <f>M130-M129</f>
        <v/>
      </c>
      <c r="N131">
        <f>N130-N129</f>
        <v/>
      </c>
      <c r="O131">
        <f>O130-O129</f>
        <v/>
      </c>
      <c r="P131">
        <f>P130-P129</f>
        <v/>
      </c>
      <c r="Q131">
        <f>Q130-Q129</f>
        <v/>
      </c>
      <c r="R131">
        <f>R130-R129</f>
        <v/>
      </c>
      <c r="S131">
        <f>S130-S129</f>
        <v/>
      </c>
    </row>
    <row r="132">
      <c r="C132" t="inlineStr">
        <is>
          <t>稼働棟数</t>
        </is>
      </c>
    </row>
    <row r="133">
      <c r="A133" t="n">
        <v>29</v>
      </c>
      <c r="B133" t="inlineStr">
        <is>
          <t>日本ファブ</t>
        </is>
      </c>
      <c r="C133" t="inlineStr">
        <is>
          <t>58期</t>
        </is>
      </c>
    </row>
    <row r="134">
      <c r="C134" t="inlineStr">
        <is>
          <t>59期</t>
        </is>
      </c>
      <c r="F134" t="n">
        <v>0</v>
      </c>
    </row>
    <row r="135">
      <c r="C135" t="inlineStr">
        <is>
          <t>増　減</t>
        </is>
      </c>
      <c r="D135">
        <f>D134-D133</f>
        <v/>
      </c>
      <c r="E135">
        <f>E134-E133</f>
        <v/>
      </c>
      <c r="F135">
        <f>F134-F133</f>
        <v/>
      </c>
      <c r="G135">
        <f>G134-G133</f>
        <v/>
      </c>
      <c r="H135">
        <f>H134-H133</f>
        <v/>
      </c>
      <c r="I135">
        <f>I134-I133</f>
        <v/>
      </c>
      <c r="J135">
        <f>J134-J133</f>
        <v/>
      </c>
      <c r="K135">
        <f>K134-K133</f>
        <v/>
      </c>
      <c r="L135">
        <f>L134-L133</f>
        <v/>
      </c>
      <c r="M135">
        <f>M134-M133</f>
        <v/>
      </c>
      <c r="N135">
        <f>N134-N133</f>
        <v/>
      </c>
      <c r="O135">
        <f>O134-O133</f>
        <v/>
      </c>
      <c r="P135">
        <f>P134-P133</f>
        <v/>
      </c>
      <c r="Q135">
        <f>Q134-Q133</f>
        <v/>
      </c>
      <c r="R135">
        <f>R134-R133</f>
        <v/>
      </c>
      <c r="S135">
        <f>S134-S133</f>
        <v/>
      </c>
    </row>
    <row r="136">
      <c r="C136" t="inlineStr">
        <is>
          <t>稼働棟数</t>
        </is>
      </c>
    </row>
    <row r="137">
      <c r="A137" t="n">
        <v>30</v>
      </c>
      <c r="B137" t="inlineStr">
        <is>
          <t>昭和</t>
        </is>
      </c>
      <c r="C137" t="inlineStr">
        <is>
          <t>58期</t>
        </is>
      </c>
    </row>
    <row r="138">
      <c r="C138" t="inlineStr">
        <is>
          <t>59期</t>
        </is>
      </c>
      <c r="F138" t="n">
        <v>0.01</v>
      </c>
    </row>
    <row r="139">
      <c r="C139" t="inlineStr">
        <is>
          <t>増　減</t>
        </is>
      </c>
      <c r="D139">
        <f>D138-D137</f>
        <v/>
      </c>
      <c r="E139">
        <f>E138-E137</f>
        <v/>
      </c>
      <c r="F139">
        <f>F138-F137</f>
        <v/>
      </c>
      <c r="G139">
        <f>G138-G137</f>
        <v/>
      </c>
      <c r="H139">
        <f>H138-H137</f>
        <v/>
      </c>
      <c r="I139">
        <f>I138-I137</f>
        <v/>
      </c>
      <c r="J139">
        <f>J138-J137</f>
        <v/>
      </c>
      <c r="K139">
        <f>K138-K137</f>
        <v/>
      </c>
      <c r="L139">
        <f>L138-L137</f>
        <v/>
      </c>
      <c r="M139">
        <f>M138-M137</f>
        <v/>
      </c>
      <c r="N139">
        <f>N138-N137</f>
        <v/>
      </c>
      <c r="O139">
        <f>O138-O137</f>
        <v/>
      </c>
      <c r="P139">
        <f>P138-P137</f>
        <v/>
      </c>
      <c r="Q139">
        <f>Q138-Q137</f>
        <v/>
      </c>
      <c r="R139">
        <f>R138-R137</f>
        <v/>
      </c>
      <c r="S139">
        <f>S138-S137</f>
        <v/>
      </c>
    </row>
    <row r="140">
      <c r="C140" t="inlineStr">
        <is>
          <t>稼働棟数</t>
        </is>
      </c>
    </row>
    <row r="141">
      <c r="A141" t="n">
        <v>31</v>
      </c>
      <c r="B141" t="inlineStr">
        <is>
          <t>牧野</t>
        </is>
      </c>
      <c r="C141" t="inlineStr">
        <is>
          <t>58期</t>
        </is>
      </c>
    </row>
    <row r="142">
      <c r="C142" t="inlineStr">
        <is>
          <t>59期</t>
        </is>
      </c>
      <c r="F142" t="n">
        <v>0</v>
      </c>
    </row>
    <row r="143">
      <c r="C143" t="inlineStr">
        <is>
          <t>増　減</t>
        </is>
      </c>
      <c r="D143">
        <f>D142-D141</f>
        <v/>
      </c>
      <c r="E143">
        <f>E142-E141</f>
        <v/>
      </c>
      <c r="F143">
        <f>F142-F141</f>
        <v/>
      </c>
      <c r="G143">
        <f>G142-G141</f>
        <v/>
      </c>
      <c r="H143">
        <f>H142-H141</f>
        <v/>
      </c>
      <c r="I143">
        <f>I142-I141</f>
        <v/>
      </c>
      <c r="J143">
        <f>J142-J141</f>
        <v/>
      </c>
      <c r="K143">
        <f>K142-K141</f>
        <v/>
      </c>
      <c r="L143">
        <f>L142-L141</f>
        <v/>
      </c>
      <c r="M143">
        <f>M142-M141</f>
        <v/>
      </c>
      <c r="N143">
        <f>N142-N141</f>
        <v/>
      </c>
      <c r="O143">
        <f>O142-O141</f>
        <v/>
      </c>
      <c r="P143">
        <f>P142-P141</f>
        <v/>
      </c>
      <c r="Q143">
        <f>Q142-Q141</f>
        <v/>
      </c>
      <c r="R143">
        <f>R142-R141</f>
        <v/>
      </c>
      <c r="S143">
        <f>S142-S141</f>
        <v/>
      </c>
    </row>
    <row r="144">
      <c r="C144" t="inlineStr">
        <is>
          <t>稼働棟数</t>
        </is>
      </c>
    </row>
  </sheetData>
  <mergeCells count="58">
    <mergeCell ref="B97:B100"/>
    <mergeCell ref="B109:B112"/>
    <mergeCell ref="A117:A120"/>
    <mergeCell ref="A61:A64"/>
    <mergeCell ref="B21:B24"/>
    <mergeCell ref="A69:A72"/>
    <mergeCell ref="A45:A48"/>
    <mergeCell ref="B77:B80"/>
    <mergeCell ref="A25:A28"/>
    <mergeCell ref="B93:B96"/>
    <mergeCell ref="B105:B108"/>
    <mergeCell ref="B17:B20"/>
    <mergeCell ref="B61:B64"/>
    <mergeCell ref="A65:A68"/>
    <mergeCell ref="A89:A92"/>
    <mergeCell ref="B81:B84"/>
    <mergeCell ref="B117:B120"/>
    <mergeCell ref="A105:A108"/>
    <mergeCell ref="B85:B88"/>
    <mergeCell ref="B73:B76"/>
    <mergeCell ref="A41:A44"/>
    <mergeCell ref="A21:A24"/>
    <mergeCell ref="B29:B32"/>
    <mergeCell ref="B3:B5"/>
    <mergeCell ref="A37:A40"/>
    <mergeCell ref="B101:B104"/>
    <mergeCell ref="B57:B60"/>
    <mergeCell ref="A33:A36"/>
    <mergeCell ref="A85:A88"/>
    <mergeCell ref="B13:B16"/>
    <mergeCell ref="A101:A104"/>
    <mergeCell ref="B53:B56"/>
    <mergeCell ref="B9:B12"/>
    <mergeCell ref="B69:B72"/>
    <mergeCell ref="A113:A116"/>
    <mergeCell ref="A97:A100"/>
    <mergeCell ref="A17:A20"/>
    <mergeCell ref="A53:A56"/>
    <mergeCell ref="B37:B40"/>
    <mergeCell ref="A29:A32"/>
    <mergeCell ref="B33:B36"/>
    <mergeCell ref="A81:A84"/>
    <mergeCell ref="A57:A60"/>
    <mergeCell ref="B49:B52"/>
    <mergeCell ref="B65:B68"/>
    <mergeCell ref="A93:A96"/>
    <mergeCell ref="A13:A16"/>
    <mergeCell ref="B41:B44"/>
    <mergeCell ref="A109:A112"/>
    <mergeCell ref="A9:A12"/>
    <mergeCell ref="B113:B116"/>
    <mergeCell ref="B89:B92"/>
    <mergeCell ref="A3:A5"/>
    <mergeCell ref="A77:A80"/>
    <mergeCell ref="B45:B48"/>
    <mergeCell ref="B25:B28"/>
    <mergeCell ref="A73:A76"/>
    <mergeCell ref="A49:A52"/>
  </mergeCells>
  <printOptions horizontalCentered="1"/>
  <pageMargins left="0.7" right="0.7" top="0.75" bottom="0.75" header="0.3" footer="0.3"/>
  <pageSetup orientation="portrait" paperSize="8" scale="65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36"/>
  <sheetViews>
    <sheetView zoomScaleNormal="100" workbookViewId="0">
      <pane xSplit="3" ySplit="4" topLeftCell="D65" activePane="bottomRight" state="frozen"/>
      <selection pane="topRight" activeCell="C1" sqref="C1"/>
      <selection pane="bottomLeft" activeCell="A5" sqref="A5"/>
      <selection pane="bottomRight" activeCell="E76" sqref="E76"/>
    </sheetView>
  </sheetViews>
  <sheetFormatPr baseColWidth="8" defaultRowHeight="13"/>
  <cols>
    <col width="5.26953125" customWidth="1" style="47" min="1" max="1"/>
    <col width="21" customWidth="1" style="47" min="2" max="2"/>
    <col width="9" bestFit="1" customWidth="1" style="47" min="3" max="3"/>
    <col width="10.08984375" bestFit="1" customWidth="1" style="47" min="18" max="18"/>
    <col width="35.7265625" bestFit="1" customWidth="1" style="47" min="19" max="19"/>
  </cols>
  <sheetData>
    <row r="1" ht="16.5" customHeight="1" s="47">
      <c r="A1" s="1" t="inlineStr">
        <is>
          <t>■ベビーリーフ以外　企業・月別生産量集計表</t>
        </is>
      </c>
      <c r="G1" s="1" t="inlineStr">
        <is>
          <t>はーとふる農園愛川</t>
        </is>
      </c>
      <c r="S1" s="39" t="inlineStr">
        <is>
          <t>●/●時点</t>
        </is>
      </c>
    </row>
    <row r="2" ht="13.5" customHeight="1" s="47">
      <c r="B2" s="1" t="n"/>
      <c r="G2" s="1" t="n"/>
      <c r="S2" s="39" t="n"/>
    </row>
    <row r="3" ht="13.5" customHeight="1" s="47" thickBot="1">
      <c r="K3" s="19" t="n"/>
      <c r="S3" s="39" t="inlineStr">
        <is>
          <t>（単位：㎏）</t>
        </is>
      </c>
    </row>
    <row r="4" ht="18" customHeight="1" s="47" thickBot="1">
      <c r="A4" s="26" t="n"/>
      <c r="B4" s="2" t="inlineStr">
        <is>
          <t>企業名/野菜名</t>
        </is>
      </c>
      <c r="C4" s="2" t="inlineStr">
        <is>
          <t>期</t>
        </is>
      </c>
      <c r="D4" s="2" t="inlineStr">
        <is>
          <t>10月</t>
        </is>
      </c>
      <c r="E4" s="2" t="inlineStr">
        <is>
          <t>11月</t>
        </is>
      </c>
      <c r="F4" s="2" t="inlineStr">
        <is>
          <t>12月</t>
        </is>
      </c>
      <c r="G4" s="2" t="inlineStr">
        <is>
          <t>1月</t>
        </is>
      </c>
      <c r="H4" s="2" t="inlineStr">
        <is>
          <t>2月</t>
        </is>
      </c>
      <c r="I4" s="3" t="inlineStr">
        <is>
          <t>3月</t>
        </is>
      </c>
      <c r="J4" s="4" t="inlineStr">
        <is>
          <t>上期集計</t>
        </is>
      </c>
      <c r="K4" s="5" t="inlineStr">
        <is>
          <t>4月</t>
        </is>
      </c>
      <c r="L4" s="2" t="inlineStr">
        <is>
          <t>5月</t>
        </is>
      </c>
      <c r="M4" s="2" t="inlineStr">
        <is>
          <t>6月</t>
        </is>
      </c>
      <c r="N4" s="2" t="inlineStr">
        <is>
          <t>7月</t>
        </is>
      </c>
      <c r="O4" s="2" t="inlineStr">
        <is>
          <t>8月</t>
        </is>
      </c>
      <c r="P4" s="3" t="inlineStr">
        <is>
          <t>9月</t>
        </is>
      </c>
      <c r="Q4" s="4" t="inlineStr">
        <is>
          <t>下期集計</t>
        </is>
      </c>
      <c r="R4" s="4" t="inlineStr">
        <is>
          <t>合　計</t>
        </is>
      </c>
      <c r="S4" s="6" t="inlineStr">
        <is>
          <t>備考</t>
        </is>
      </c>
    </row>
    <row r="5" ht="18" customHeight="1" s="47">
      <c r="A5" s="48" t="n">
        <v>1</v>
      </c>
      <c r="B5" s="51" t="inlineStr">
        <is>
          <t>牧野フライス
/葉物野菜</t>
        </is>
      </c>
      <c r="C5" s="31" t="inlineStr">
        <is>
          <t>58期</t>
        </is>
      </c>
      <c r="D5" s="8" t="n"/>
      <c r="E5" s="8" t="n"/>
      <c r="F5" s="8" t="n"/>
      <c r="G5" s="8" t="n"/>
      <c r="H5" s="8" t="n">
        <v>0.58</v>
      </c>
      <c r="I5" s="9" t="n">
        <v>1.28</v>
      </c>
      <c r="J5" s="10">
        <f>SUM(D5:I5)</f>
        <v/>
      </c>
      <c r="K5" s="11" t="n">
        <v>2.72</v>
      </c>
      <c r="L5" s="8" t="n"/>
      <c r="M5" s="8" t="n"/>
      <c r="N5" s="8" t="n"/>
      <c r="O5" s="8" t="n">
        <v>0.14</v>
      </c>
      <c r="P5" s="9" t="n"/>
      <c r="Q5" s="10">
        <f>SUM(K5:P5)</f>
        <v/>
      </c>
      <c r="R5" s="10">
        <f>J5+Q5</f>
        <v/>
      </c>
      <c r="S5" s="16" t="n"/>
    </row>
    <row r="6" ht="18" customHeight="1" s="47">
      <c r="A6" s="49" t="n"/>
      <c r="B6" s="52" t="n"/>
      <c r="C6" s="7" t="inlineStr">
        <is>
          <t>59期</t>
        </is>
      </c>
      <c r="D6" s="12" t="n"/>
      <c r="E6" s="12" t="n"/>
      <c r="F6" s="12" t="n"/>
      <c r="G6" s="12" t="n"/>
      <c r="H6" s="12" t="n"/>
      <c r="I6" s="13" t="n"/>
      <c r="J6" s="14">
        <f>SUM(D6:I6)</f>
        <v/>
      </c>
      <c r="K6" s="15" t="n"/>
      <c r="L6" s="12" t="n"/>
      <c r="M6" s="12" t="n"/>
      <c r="N6" s="12" t="n"/>
      <c r="O6" s="12" t="n"/>
      <c r="P6" s="13" t="n"/>
      <c r="Q6" s="14">
        <f>SUM(K6:P6)</f>
        <v/>
      </c>
      <c r="R6" s="14">
        <f>J6+Q6</f>
        <v/>
      </c>
      <c r="S6" s="17" t="n"/>
    </row>
    <row r="7" ht="18" customHeight="1" s="47">
      <c r="A7" s="49" t="n"/>
      <c r="B7" s="52" t="n"/>
      <c r="C7" s="23" t="inlineStr">
        <is>
          <t>増　減</t>
        </is>
      </c>
      <c r="D7" s="24">
        <f>D6-D5</f>
        <v/>
      </c>
      <c r="E7" s="24">
        <f>E6-E5</f>
        <v/>
      </c>
      <c r="F7" s="24">
        <f>F6-F5</f>
        <v/>
      </c>
      <c r="G7" s="24">
        <f>G6-G5</f>
        <v/>
      </c>
      <c r="H7" s="24">
        <f>H6-H5</f>
        <v/>
      </c>
      <c r="I7" s="27">
        <f>I6-I5</f>
        <v/>
      </c>
      <c r="J7" s="30">
        <f>SUM(D7:I7)</f>
        <v/>
      </c>
      <c r="K7" s="29">
        <f>K6-K5</f>
        <v/>
      </c>
      <c r="L7" s="24">
        <f>L6-L5</f>
        <v/>
      </c>
      <c r="M7" s="24">
        <f>M6-M5</f>
        <v/>
      </c>
      <c r="N7" s="24">
        <f>N6-N5</f>
        <v/>
      </c>
      <c r="O7" s="24">
        <f>O6-O5</f>
        <v/>
      </c>
      <c r="P7" s="27">
        <f>P6-P5</f>
        <v/>
      </c>
      <c r="Q7" s="30">
        <f>SUM(K7:P7)</f>
        <v/>
      </c>
      <c r="R7" s="30">
        <f>J7+Q7</f>
        <v/>
      </c>
      <c r="S7" s="17" t="n"/>
    </row>
    <row r="8" ht="18" customHeight="1" s="47" thickBot="1">
      <c r="A8" s="50" t="n"/>
      <c r="B8" s="53" t="n"/>
      <c r="C8" s="25" t="inlineStr">
        <is>
          <t>稼働棟数</t>
        </is>
      </c>
      <c r="D8" s="20" t="n"/>
      <c r="E8" s="20" t="n"/>
      <c r="F8" s="20" t="n"/>
      <c r="G8" s="20" t="n"/>
      <c r="H8" s="20" t="n"/>
      <c r="I8" s="28" t="n"/>
      <c r="J8" s="21">
        <f>I8</f>
        <v/>
      </c>
      <c r="K8" s="22" t="n"/>
      <c r="L8" s="20" t="n"/>
      <c r="M8" s="20" t="n"/>
      <c r="N8" s="20" t="n"/>
      <c r="O8" s="20" t="n"/>
      <c r="P8" s="28" t="n"/>
      <c r="Q8" s="21">
        <f>P8</f>
        <v/>
      </c>
      <c r="R8" s="21">
        <f>Q8</f>
        <v/>
      </c>
      <c r="S8" s="18" t="n"/>
    </row>
    <row r="9" ht="18" customHeight="1" s="47">
      <c r="A9" s="48" t="n">
        <v>2</v>
      </c>
      <c r="B9" s="51" t="inlineStr">
        <is>
          <t>牧野フライス
/ミニトマト</t>
        </is>
      </c>
      <c r="C9" s="31" t="inlineStr">
        <is>
          <t>58期</t>
        </is>
      </c>
      <c r="D9" s="8" t="n">
        <v>1.2</v>
      </c>
      <c r="E9" s="8" t="n">
        <v>1.74</v>
      </c>
      <c r="F9" s="8" t="n">
        <v>16</v>
      </c>
      <c r="G9" s="8" t="n">
        <v>0.9</v>
      </c>
      <c r="H9" s="8" t="n">
        <v>0.26</v>
      </c>
      <c r="I9" s="9" t="n">
        <v>0.4</v>
      </c>
      <c r="J9" s="10">
        <f>SUM(D9:I9)</f>
        <v/>
      </c>
      <c r="K9" s="11" t="n">
        <v>0.36</v>
      </c>
      <c r="L9" s="8" t="n">
        <v>5.38</v>
      </c>
      <c r="M9" s="8" t="n"/>
      <c r="N9" s="8" t="n"/>
      <c r="O9" s="8" t="n"/>
      <c r="P9" s="9" t="n"/>
      <c r="Q9" s="10">
        <f>SUM(K9:P9)</f>
        <v/>
      </c>
      <c r="R9" s="10">
        <f>J9+Q9</f>
        <v/>
      </c>
      <c r="S9" s="16" t="n"/>
    </row>
    <row r="10" ht="18" customHeight="1" s="47">
      <c r="A10" s="49" t="n"/>
      <c r="B10" s="52" t="n"/>
      <c r="C10" s="7" t="inlineStr">
        <is>
          <t>59期</t>
        </is>
      </c>
      <c r="D10" s="12" t="n"/>
      <c r="E10" s="12" t="n"/>
      <c r="F10" s="12" t="n"/>
      <c r="G10" s="12" t="n"/>
      <c r="H10" s="12" t="n"/>
      <c r="I10" s="13" t="n"/>
      <c r="J10" s="14">
        <f>SUM(D10:I10)</f>
        <v/>
      </c>
      <c r="K10" s="15" t="n"/>
      <c r="L10" s="12" t="n"/>
      <c r="M10" s="12" t="n"/>
      <c r="N10" s="12" t="n"/>
      <c r="O10" s="12" t="n"/>
      <c r="P10" s="13" t="n"/>
      <c r="Q10" s="14">
        <f>SUM(K10:P10)</f>
        <v/>
      </c>
      <c r="R10" s="14">
        <f>J10+Q10</f>
        <v/>
      </c>
      <c r="S10" s="17" t="n"/>
    </row>
    <row r="11" ht="18" customHeight="1" s="47">
      <c r="A11" s="49" t="n"/>
      <c r="B11" s="52" t="n"/>
      <c r="C11" s="23" t="inlineStr">
        <is>
          <t>増　減</t>
        </is>
      </c>
      <c r="D11" s="24">
        <f>D10-D9</f>
        <v/>
      </c>
      <c r="E11" s="24">
        <f>E10-E9</f>
        <v/>
      </c>
      <c r="F11" s="24">
        <f>F10-F9</f>
        <v/>
      </c>
      <c r="G11" s="24">
        <f>G10-G9</f>
        <v/>
      </c>
      <c r="H11" s="24">
        <f>H10-H9</f>
        <v/>
      </c>
      <c r="I11" s="27">
        <f>I10-I9</f>
        <v/>
      </c>
      <c r="J11" s="30">
        <f>SUM(D11:I11)</f>
        <v/>
      </c>
      <c r="K11" s="29">
        <f>K10-K9</f>
        <v/>
      </c>
      <c r="L11" s="24">
        <f>L10-L9</f>
        <v/>
      </c>
      <c r="M11" s="24">
        <f>M10-M9</f>
        <v/>
      </c>
      <c r="N11" s="24">
        <f>N10-N9</f>
        <v/>
      </c>
      <c r="O11" s="24">
        <f>O10-O9</f>
        <v/>
      </c>
      <c r="P11" s="27">
        <f>P10-P9</f>
        <v/>
      </c>
      <c r="Q11" s="30">
        <f>SUM(K11:P11)</f>
        <v/>
      </c>
      <c r="R11" s="30">
        <f>J11+Q11</f>
        <v/>
      </c>
      <c r="S11" s="17" t="n"/>
    </row>
    <row r="12" ht="18" customHeight="1" s="47" thickBot="1">
      <c r="A12" s="50" t="n"/>
      <c r="B12" s="53" t="n"/>
      <c r="C12" s="25" t="inlineStr">
        <is>
          <t>稼働棟数</t>
        </is>
      </c>
      <c r="D12" s="20" t="n"/>
      <c r="E12" s="20" t="n"/>
      <c r="F12" s="20" t="n"/>
      <c r="G12" s="20" t="n"/>
      <c r="H12" s="20" t="n"/>
      <c r="I12" s="28" t="n"/>
      <c r="J12" s="21">
        <f>I12</f>
        <v/>
      </c>
      <c r="K12" s="22" t="n"/>
      <c r="L12" s="20" t="n"/>
      <c r="M12" s="20" t="n"/>
      <c r="N12" s="20" t="n"/>
      <c r="O12" s="20" t="n"/>
      <c r="P12" s="28" t="n"/>
      <c r="Q12" s="21">
        <f>P12</f>
        <v/>
      </c>
      <c r="R12" s="21">
        <f>Q12</f>
        <v/>
      </c>
      <c r="S12" s="18" t="n"/>
    </row>
    <row r="13" ht="18" customHeight="1" s="47">
      <c r="A13" s="48" t="n">
        <v>3</v>
      </c>
      <c r="B13" s="51" t="inlineStr">
        <is>
          <t>日本ファブテック
/葉物野菜</t>
        </is>
      </c>
      <c r="C13" s="31" t="inlineStr">
        <is>
          <t>58期</t>
        </is>
      </c>
      <c r="D13" s="8" t="n"/>
      <c r="E13" s="8" t="n"/>
      <c r="F13" s="8" t="n">
        <v>0.14</v>
      </c>
      <c r="G13" s="8" t="n">
        <v>0.26</v>
      </c>
      <c r="H13" s="8" t="n">
        <v>1.2</v>
      </c>
      <c r="I13" s="9" t="n"/>
      <c r="J13" s="10">
        <f>SUM(D13:I13)</f>
        <v/>
      </c>
      <c r="K13" s="11" t="n"/>
      <c r="L13" s="8" t="n"/>
      <c r="M13" s="8" t="n"/>
      <c r="N13" s="8" t="n">
        <v>3.04</v>
      </c>
      <c r="O13" s="8" t="n"/>
      <c r="P13" s="9" t="n"/>
      <c r="Q13" s="10">
        <f>SUM(K13:P13)</f>
        <v/>
      </c>
      <c r="R13" s="10">
        <f>J13+Q13</f>
        <v/>
      </c>
      <c r="S13" s="16" t="n"/>
    </row>
    <row r="14" ht="18" customHeight="1" s="47">
      <c r="A14" s="49" t="n"/>
      <c r="B14" s="52" t="n"/>
      <c r="C14" s="7" t="inlineStr">
        <is>
          <t>59期</t>
        </is>
      </c>
      <c r="D14" s="12" t="n"/>
      <c r="E14" s="12" t="n"/>
      <c r="F14" s="12" t="n"/>
      <c r="G14" s="12" t="n"/>
      <c r="H14" s="12" t="n"/>
      <c r="I14" s="13" t="n"/>
      <c r="J14" s="14">
        <f>SUM(D14:I14)</f>
        <v/>
      </c>
      <c r="K14" s="15" t="n"/>
      <c r="L14" s="12" t="n"/>
      <c r="M14" s="12" t="n"/>
      <c r="N14" s="12" t="n"/>
      <c r="O14" s="12" t="n"/>
      <c r="P14" s="13" t="n"/>
      <c r="Q14" s="14">
        <f>SUM(K14:P14)</f>
        <v/>
      </c>
      <c r="R14" s="14">
        <f>J14+Q14</f>
        <v/>
      </c>
      <c r="S14" s="17" t="n"/>
    </row>
    <row r="15" ht="18" customHeight="1" s="47">
      <c r="A15" s="49" t="n"/>
      <c r="B15" s="52" t="n"/>
      <c r="C15" s="23" t="inlineStr">
        <is>
          <t>増　減</t>
        </is>
      </c>
      <c r="D15" s="24">
        <f>D14-D13</f>
        <v/>
      </c>
      <c r="E15" s="24">
        <f>E14-E13</f>
        <v/>
      </c>
      <c r="F15" s="24">
        <f>F14-F13</f>
        <v/>
      </c>
      <c r="G15" s="24">
        <f>G14-G13</f>
        <v/>
      </c>
      <c r="H15" s="24">
        <f>H14-H13</f>
        <v/>
      </c>
      <c r="I15" s="27">
        <f>I14-I13</f>
        <v/>
      </c>
      <c r="J15" s="30">
        <f>SUM(D15:I15)</f>
        <v/>
      </c>
      <c r="K15" s="29">
        <f>K14-K13</f>
        <v/>
      </c>
      <c r="L15" s="24">
        <f>L14-L13</f>
        <v/>
      </c>
      <c r="M15" s="24">
        <f>M14-M13</f>
        <v/>
      </c>
      <c r="N15" s="24">
        <f>N14-N13</f>
        <v/>
      </c>
      <c r="O15" s="24">
        <f>O14-O13</f>
        <v/>
      </c>
      <c r="P15" s="27">
        <f>P14-P13</f>
        <v/>
      </c>
      <c r="Q15" s="30">
        <f>SUM(K15:P15)</f>
        <v/>
      </c>
      <c r="R15" s="30">
        <f>J15+Q15</f>
        <v/>
      </c>
      <c r="S15" s="17" t="n"/>
    </row>
    <row r="16" ht="18" customHeight="1" s="47" thickBot="1">
      <c r="A16" s="50" t="n"/>
      <c r="B16" s="53" t="n"/>
      <c r="C16" s="25" t="inlineStr">
        <is>
          <t>稼働棟数</t>
        </is>
      </c>
      <c r="D16" s="20" t="n"/>
      <c r="E16" s="20" t="n"/>
      <c r="F16" s="20" t="n"/>
      <c r="G16" s="20" t="n"/>
      <c r="H16" s="20" t="n"/>
      <c r="I16" s="28" t="n"/>
      <c r="J16" s="21">
        <f>I16</f>
        <v/>
      </c>
      <c r="K16" s="22" t="n"/>
      <c r="L16" s="20" t="n"/>
      <c r="M16" s="20" t="n"/>
      <c r="N16" s="20" t="n"/>
      <c r="O16" s="20" t="n"/>
      <c r="P16" s="28" t="n"/>
      <c r="Q16" s="21">
        <f>P16</f>
        <v/>
      </c>
      <c r="R16" s="21">
        <f>Q16</f>
        <v/>
      </c>
      <c r="S16" s="18" t="n"/>
    </row>
    <row r="17" ht="18" customHeight="1" s="47">
      <c r="A17" s="48" t="n">
        <v>4</v>
      </c>
      <c r="B17" s="51" t="inlineStr">
        <is>
          <t>日本ファブテック
/ミニトマト</t>
        </is>
      </c>
      <c r="C17" s="31" t="inlineStr">
        <is>
          <t>58期</t>
        </is>
      </c>
      <c r="D17" s="8" t="n">
        <v>0.4</v>
      </c>
      <c r="E17" s="8" t="n">
        <v>0.14</v>
      </c>
      <c r="F17" s="8" t="n"/>
      <c r="G17" s="8" t="n"/>
      <c r="H17" s="8" t="n">
        <v>0.23</v>
      </c>
      <c r="I17" s="9" t="n">
        <v>0.22</v>
      </c>
      <c r="J17" s="10">
        <f>SUM(D17:I17)</f>
        <v/>
      </c>
      <c r="K17" s="11" t="n"/>
      <c r="L17" s="8" t="n">
        <v>5.86</v>
      </c>
      <c r="M17" s="8" t="n"/>
      <c r="N17" s="8" t="n"/>
      <c r="O17" s="8" t="n"/>
      <c r="P17" s="9" t="n"/>
      <c r="Q17" s="10">
        <f>SUM(K17:P17)</f>
        <v/>
      </c>
      <c r="R17" s="10">
        <f>J17+Q17</f>
        <v/>
      </c>
      <c r="S17" s="16" t="n"/>
    </row>
    <row r="18" ht="18" customHeight="1" s="47">
      <c r="A18" s="49" t="n"/>
      <c r="B18" s="52" t="n"/>
      <c r="C18" s="7" t="inlineStr">
        <is>
          <t>59期</t>
        </is>
      </c>
      <c r="D18" s="12" t="n"/>
      <c r="E18" s="12" t="n"/>
      <c r="F18" s="12" t="n"/>
      <c r="G18" s="12" t="n"/>
      <c r="H18" s="12" t="n"/>
      <c r="I18" s="13" t="n"/>
      <c r="J18" s="14">
        <f>SUM(D18:I18)</f>
        <v/>
      </c>
      <c r="K18" s="15" t="n"/>
      <c r="L18" s="12" t="n"/>
      <c r="M18" s="12" t="n"/>
      <c r="N18" s="12" t="n"/>
      <c r="O18" s="12" t="n"/>
      <c r="P18" s="13" t="n"/>
      <c r="Q18" s="14">
        <f>SUM(K18:P18)</f>
        <v/>
      </c>
      <c r="R18" s="14">
        <f>J18+Q18</f>
        <v/>
      </c>
      <c r="S18" s="17" t="n"/>
    </row>
    <row r="19" ht="18" customHeight="1" s="47">
      <c r="A19" s="49" t="n"/>
      <c r="B19" s="52" t="n"/>
      <c r="C19" s="23" t="inlineStr">
        <is>
          <t>増　減</t>
        </is>
      </c>
      <c r="D19" s="24">
        <f>D18-D17</f>
        <v/>
      </c>
      <c r="E19" s="24">
        <f>E18-E17</f>
        <v/>
      </c>
      <c r="F19" s="24">
        <f>F18-F17</f>
        <v/>
      </c>
      <c r="G19" s="24">
        <f>G18-G17</f>
        <v/>
      </c>
      <c r="H19" s="24">
        <f>H18-H17</f>
        <v/>
      </c>
      <c r="I19" s="27">
        <f>I18-I17</f>
        <v/>
      </c>
      <c r="J19" s="30">
        <f>SUM(D19:I19)</f>
        <v/>
      </c>
      <c r="K19" s="29">
        <f>K18-K17</f>
        <v/>
      </c>
      <c r="L19" s="24">
        <f>L18-L17</f>
        <v/>
      </c>
      <c r="M19" s="24">
        <f>M18-M17</f>
        <v/>
      </c>
      <c r="N19" s="24">
        <f>N18-N17</f>
        <v/>
      </c>
      <c r="O19" s="24">
        <f>O18-O17</f>
        <v/>
      </c>
      <c r="P19" s="27">
        <f>P18-P17</f>
        <v/>
      </c>
      <c r="Q19" s="30">
        <f>SUM(K19:P19)</f>
        <v/>
      </c>
      <c r="R19" s="30">
        <f>J19+Q19</f>
        <v/>
      </c>
      <c r="S19" s="17" t="n"/>
    </row>
    <row r="20" ht="18" customHeight="1" s="47" thickBot="1">
      <c r="A20" s="50" t="n"/>
      <c r="B20" s="53" t="n"/>
      <c r="C20" s="25" t="inlineStr">
        <is>
          <t>稼働棟数</t>
        </is>
      </c>
      <c r="D20" s="20" t="n"/>
      <c r="E20" s="20" t="n"/>
      <c r="F20" s="20" t="n"/>
      <c r="G20" s="20" t="n"/>
      <c r="H20" s="20" t="n"/>
      <c r="I20" s="28" t="n"/>
      <c r="J20" s="21">
        <f>I20</f>
        <v/>
      </c>
      <c r="K20" s="22" t="n"/>
      <c r="L20" s="20" t="n"/>
      <c r="M20" s="20" t="n"/>
      <c r="N20" s="20" t="n"/>
      <c r="O20" s="20" t="n"/>
      <c r="P20" s="28" t="n"/>
      <c r="Q20" s="21">
        <f>P20</f>
        <v/>
      </c>
      <c r="R20" s="21">
        <f>Q20</f>
        <v/>
      </c>
      <c r="S20" s="18" t="n"/>
    </row>
    <row r="21" ht="18" customHeight="1" s="47">
      <c r="A21" s="48" t="n">
        <v>5</v>
      </c>
      <c r="B21" s="51" t="inlineStr">
        <is>
          <t>東レ
/葉物野菜</t>
        </is>
      </c>
      <c r="C21" s="31" t="inlineStr">
        <is>
          <t>58期</t>
        </is>
      </c>
      <c r="D21" s="8" t="n">
        <v>1.2</v>
      </c>
      <c r="E21" s="8" t="n"/>
      <c r="F21" s="8" t="n">
        <v>2.16</v>
      </c>
      <c r="G21" s="8" t="n">
        <v>1.66</v>
      </c>
      <c r="H21" s="8" t="n">
        <v>8.460000000000001</v>
      </c>
      <c r="I21" s="9" t="n">
        <v>5.26</v>
      </c>
      <c r="J21" s="10">
        <f>SUM(D21:I21)</f>
        <v/>
      </c>
      <c r="K21" s="11" t="n"/>
      <c r="L21" s="8" t="n">
        <v>5.98</v>
      </c>
      <c r="M21" s="8" t="n">
        <v>4.34</v>
      </c>
      <c r="N21" s="8" t="n"/>
      <c r="O21" s="8" t="n"/>
      <c r="P21" s="9" t="n"/>
      <c r="Q21" s="10">
        <f>SUM(K21:P21)</f>
        <v/>
      </c>
      <c r="R21" s="10">
        <f>J21+Q21</f>
        <v/>
      </c>
      <c r="S21" s="16" t="n"/>
    </row>
    <row r="22" ht="18" customHeight="1" s="47">
      <c r="A22" s="49" t="n"/>
      <c r="B22" s="52" t="n"/>
      <c r="C22" s="7" t="inlineStr">
        <is>
          <t>59期</t>
        </is>
      </c>
      <c r="D22" s="12" t="n"/>
      <c r="E22" s="12" t="n"/>
      <c r="F22" s="12" t="n"/>
      <c r="G22" s="12" t="n"/>
      <c r="H22" s="12" t="n"/>
      <c r="I22" s="13" t="n"/>
      <c r="J22" s="14">
        <f>SUM(D22:I22)</f>
        <v/>
      </c>
      <c r="K22" s="15" t="n"/>
      <c r="L22" s="12" t="n"/>
      <c r="M22" s="12" t="n"/>
      <c r="N22" s="12" t="n"/>
      <c r="O22" s="12" t="n"/>
      <c r="P22" s="13" t="n"/>
      <c r="Q22" s="14">
        <f>SUM(K22:P22)</f>
        <v/>
      </c>
      <c r="R22" s="14">
        <f>J22+Q22</f>
        <v/>
      </c>
      <c r="S22" s="17" t="n"/>
    </row>
    <row r="23" ht="18" customHeight="1" s="47">
      <c r="A23" s="49" t="n"/>
      <c r="B23" s="52" t="n"/>
      <c r="C23" s="23" t="inlineStr">
        <is>
          <t>増　減</t>
        </is>
      </c>
      <c r="D23" s="24">
        <f>D22-D21</f>
        <v/>
      </c>
      <c r="E23" s="24">
        <f>E22-E21</f>
        <v/>
      </c>
      <c r="F23" s="24">
        <f>F22-F21</f>
        <v/>
      </c>
      <c r="G23" s="24">
        <f>G22-G21</f>
        <v/>
      </c>
      <c r="H23" s="24">
        <f>H22-H21</f>
        <v/>
      </c>
      <c r="I23" s="27">
        <f>I22-I21</f>
        <v/>
      </c>
      <c r="J23" s="30">
        <f>SUM(D23:I23)</f>
        <v/>
      </c>
      <c r="K23" s="29">
        <f>K22-K21</f>
        <v/>
      </c>
      <c r="L23" s="24">
        <f>L22-L21</f>
        <v/>
      </c>
      <c r="M23" s="24">
        <f>M22-M21</f>
        <v/>
      </c>
      <c r="N23" s="24">
        <f>N22-N21</f>
        <v/>
      </c>
      <c r="O23" s="24">
        <f>O22-O21</f>
        <v/>
      </c>
      <c r="P23" s="27">
        <f>P22-P21</f>
        <v/>
      </c>
      <c r="Q23" s="30">
        <f>SUM(K23:P23)</f>
        <v/>
      </c>
      <c r="R23" s="30">
        <f>J23+Q23</f>
        <v/>
      </c>
      <c r="S23" s="17" t="n"/>
    </row>
    <row r="24" ht="18" customHeight="1" s="47" thickBot="1">
      <c r="A24" s="50" t="n"/>
      <c r="B24" s="53" t="n"/>
      <c r="C24" s="25" t="inlineStr">
        <is>
          <t>稼働棟数</t>
        </is>
      </c>
      <c r="D24" s="20" t="n"/>
      <c r="E24" s="20" t="n"/>
      <c r="F24" s="20" t="n"/>
      <c r="G24" s="20" t="n"/>
      <c r="H24" s="20" t="n"/>
      <c r="I24" s="28" t="n"/>
      <c r="J24" s="21">
        <f>I24</f>
        <v/>
      </c>
      <c r="K24" s="22" t="n"/>
      <c r="L24" s="20" t="n"/>
      <c r="M24" s="20" t="n"/>
      <c r="N24" s="20" t="n"/>
      <c r="O24" s="20" t="n"/>
      <c r="P24" s="28" t="n"/>
      <c r="Q24" s="21">
        <f>P24</f>
        <v/>
      </c>
      <c r="R24" s="21">
        <f>Q24</f>
        <v/>
      </c>
      <c r="S24" s="18" t="n"/>
    </row>
    <row r="25" ht="18" customHeight="1" s="47" thickBot="1">
      <c r="A25" s="58" t="n">
        <v>6</v>
      </c>
      <c r="B25" s="56" t="inlineStr">
        <is>
          <t>東レ
/ミニトマト</t>
        </is>
      </c>
      <c r="C25" s="31" t="inlineStr">
        <is>
          <t>58期</t>
        </is>
      </c>
      <c r="D25" s="8" t="n"/>
      <c r="E25" s="8" t="n"/>
      <c r="F25" s="8" t="n"/>
      <c r="G25" s="8" t="n"/>
      <c r="H25" s="8" t="n"/>
      <c r="I25" s="9" t="n"/>
      <c r="J25" s="10">
        <f>SUM(D25:I25)</f>
        <v/>
      </c>
      <c r="K25" s="11" t="n">
        <v>1.3</v>
      </c>
      <c r="L25" s="8" t="n">
        <v>54.68</v>
      </c>
      <c r="M25" s="8" t="n">
        <v>2.16</v>
      </c>
      <c r="N25" s="8" t="n"/>
      <c r="O25" s="8" t="n"/>
      <c r="P25" s="9" t="n"/>
      <c r="Q25" s="10">
        <f>SUM(K25:P25)</f>
        <v/>
      </c>
      <c r="R25" s="10">
        <f>J25+Q25</f>
        <v/>
      </c>
      <c r="S25" s="16" t="n"/>
    </row>
    <row r="26" ht="18" customHeight="1" s="47">
      <c r="A26" s="49" t="n"/>
      <c r="B26" s="52" t="n"/>
      <c r="C26" s="7" t="inlineStr">
        <is>
          <t>59期</t>
        </is>
      </c>
      <c r="D26" s="12" t="n"/>
      <c r="E26" s="12" t="n"/>
      <c r="F26" s="12" t="n"/>
      <c r="G26" s="12" t="n"/>
      <c r="H26" s="12" t="n"/>
      <c r="I26" s="13" t="n"/>
      <c r="J26" s="14">
        <f>SUM(D26:I26)</f>
        <v/>
      </c>
      <c r="K26" s="15" t="n"/>
      <c r="L26" s="12" t="n"/>
      <c r="M26" s="12" t="n"/>
      <c r="N26" s="12" t="n"/>
      <c r="O26" s="12" t="n"/>
      <c r="P26" s="13" t="n"/>
      <c r="Q26" s="14">
        <f>SUM(K26:P26)</f>
        <v/>
      </c>
      <c r="R26" s="14">
        <f>J26+Q26</f>
        <v/>
      </c>
      <c r="S26" s="17" t="n"/>
    </row>
    <row r="27" ht="18" customHeight="1" s="47">
      <c r="A27" s="49" t="n"/>
      <c r="B27" s="52" t="n"/>
      <c r="C27" s="23" t="inlineStr">
        <is>
          <t>増　減</t>
        </is>
      </c>
      <c r="D27" s="24">
        <f>D26-D25</f>
        <v/>
      </c>
      <c r="E27" s="24">
        <f>E26-E25</f>
        <v/>
      </c>
      <c r="F27" s="24">
        <f>F26-F25</f>
        <v/>
      </c>
      <c r="G27" s="24">
        <f>G26-G25</f>
        <v/>
      </c>
      <c r="H27" s="24">
        <f>H26-H25</f>
        <v/>
      </c>
      <c r="I27" s="27">
        <f>I26-I25</f>
        <v/>
      </c>
      <c r="J27" s="30">
        <f>SUM(D27:I27)</f>
        <v/>
      </c>
      <c r="K27" s="29">
        <f>K26-K25</f>
        <v/>
      </c>
      <c r="L27" s="24">
        <f>L26-L25</f>
        <v/>
      </c>
      <c r="M27" s="24">
        <f>M26-M25</f>
        <v/>
      </c>
      <c r="N27" s="24">
        <f>N26-N25</f>
        <v/>
      </c>
      <c r="O27" s="24">
        <f>O26-O25</f>
        <v/>
      </c>
      <c r="P27" s="27">
        <f>P26-P25</f>
        <v/>
      </c>
      <c r="Q27" s="30">
        <f>SUM(K27:P27)</f>
        <v/>
      </c>
      <c r="R27" s="30">
        <f>J27+Q27</f>
        <v/>
      </c>
      <c r="S27" s="17" t="n"/>
    </row>
    <row r="28" ht="18" customHeight="1" s="47" thickBot="1">
      <c r="A28" s="59" t="n"/>
      <c r="B28" s="57" t="n"/>
      <c r="C28" s="25" t="inlineStr">
        <is>
          <t>稼働棟数</t>
        </is>
      </c>
      <c r="D28" s="20" t="n"/>
      <c r="E28" s="20" t="n"/>
      <c r="F28" s="20" t="n"/>
      <c r="G28" s="20" t="n"/>
      <c r="H28" s="20" t="n"/>
      <c r="I28" s="28" t="n"/>
      <c r="J28" s="21">
        <f>I28</f>
        <v/>
      </c>
      <c r="K28" s="22" t="n"/>
      <c r="L28" s="20" t="n"/>
      <c r="M28" s="20" t="n"/>
      <c r="N28" s="20" t="n"/>
      <c r="O28" s="20" t="n"/>
      <c r="P28" s="28" t="n"/>
      <c r="Q28" s="21">
        <f>P28</f>
        <v/>
      </c>
      <c r="R28" s="21">
        <f>Q28</f>
        <v/>
      </c>
      <c r="S28" s="18" t="n"/>
    </row>
    <row r="29" ht="18" customHeight="1" s="47" thickBot="1">
      <c r="A29" s="58" t="n">
        <v>6</v>
      </c>
      <c r="B29" s="56" t="inlineStr">
        <is>
          <t>東レ
/イチゴ</t>
        </is>
      </c>
      <c r="C29" s="31" t="inlineStr">
        <is>
          <t>58期</t>
        </is>
      </c>
      <c r="D29" s="8" t="n"/>
      <c r="E29" s="8" t="n"/>
      <c r="F29" s="8" t="n">
        <v>1.6</v>
      </c>
      <c r="G29" s="8" t="n">
        <v>14.13</v>
      </c>
      <c r="H29" s="8" t="n">
        <v>12.45</v>
      </c>
      <c r="I29" s="9" t="n">
        <v>3.75</v>
      </c>
      <c r="J29" s="10">
        <f>SUM(D29:I29)</f>
        <v/>
      </c>
      <c r="K29" s="11" t="n">
        <v>6.7</v>
      </c>
      <c r="L29" s="8" t="n">
        <v>23.85</v>
      </c>
      <c r="M29" s="8" t="n">
        <v>18.82</v>
      </c>
      <c r="N29" s="8" t="n"/>
      <c r="O29" s="8" t="n"/>
      <c r="P29" s="9" t="n"/>
      <c r="Q29" s="10">
        <f>SUM(K29:P29)</f>
        <v/>
      </c>
      <c r="R29" s="10">
        <f>J29+Q29</f>
        <v/>
      </c>
      <c r="S29" s="16" t="n"/>
    </row>
    <row r="30" ht="18" customHeight="1" s="47">
      <c r="A30" s="49" t="n"/>
      <c r="B30" s="52" t="n"/>
      <c r="C30" s="7" t="inlineStr">
        <is>
          <t>59期</t>
        </is>
      </c>
      <c r="D30" s="12" t="n"/>
      <c r="E30" s="12" t="n"/>
      <c r="F30" s="12" t="n"/>
      <c r="G30" s="12" t="n">
        <v>2.55</v>
      </c>
      <c r="H30" s="12" t="n"/>
      <c r="I30" s="13" t="n"/>
      <c r="J30" s="14">
        <f>SUM(D30:I30)</f>
        <v/>
      </c>
      <c r="K30" s="15" t="n"/>
      <c r="L30" s="12" t="n"/>
      <c r="M30" s="12" t="n"/>
      <c r="N30" s="12" t="n"/>
      <c r="O30" s="12" t="n"/>
      <c r="P30" s="13" t="n"/>
      <c r="Q30" s="14">
        <f>SUM(K30:P30)</f>
        <v/>
      </c>
      <c r="R30" s="14">
        <f>J30+Q30</f>
        <v/>
      </c>
      <c r="S30" s="17" t="n"/>
    </row>
    <row r="31" ht="18" customHeight="1" s="47">
      <c r="A31" s="49" t="n"/>
      <c r="B31" s="52" t="n"/>
      <c r="C31" s="23" t="inlineStr">
        <is>
          <t>増　減</t>
        </is>
      </c>
      <c r="D31" s="24">
        <f>D30-D29</f>
        <v/>
      </c>
      <c r="E31" s="24">
        <f>E30-E29</f>
        <v/>
      </c>
      <c r="F31" s="24">
        <f>F30-F29</f>
        <v/>
      </c>
      <c r="G31" s="24">
        <f>G30-G29</f>
        <v/>
      </c>
      <c r="H31" s="24">
        <f>H30-H29</f>
        <v/>
      </c>
      <c r="I31" s="27">
        <f>I30-I29</f>
        <v/>
      </c>
      <c r="J31" s="30">
        <f>SUM(D31:I31)</f>
        <v/>
      </c>
      <c r="K31" s="29">
        <f>K30-K29</f>
        <v/>
      </c>
      <c r="L31" s="24">
        <f>L30-L29</f>
        <v/>
      </c>
      <c r="M31" s="24">
        <f>M30-M29</f>
        <v/>
      </c>
      <c r="N31" s="24">
        <f>N30-N29</f>
        <v/>
      </c>
      <c r="O31" s="24">
        <f>O30-O29</f>
        <v/>
      </c>
      <c r="P31" s="27">
        <f>P30-P29</f>
        <v/>
      </c>
      <c r="Q31" s="30">
        <f>SUM(K31:P31)</f>
        <v/>
      </c>
      <c r="R31" s="30">
        <f>J31+Q31</f>
        <v/>
      </c>
      <c r="S31" s="17" t="n"/>
    </row>
    <row r="32" ht="18" customHeight="1" s="47" thickBot="1">
      <c r="A32" s="59" t="n"/>
      <c r="B32" s="57" t="n"/>
      <c r="C32" s="25" t="inlineStr">
        <is>
          <t>稼働棟数</t>
        </is>
      </c>
      <c r="D32" s="20" t="n"/>
      <c r="E32" s="20" t="n"/>
      <c r="F32" s="20" t="n"/>
      <c r="G32" s="20" t="n"/>
      <c r="H32" s="20" t="n"/>
      <c r="I32" s="28" t="n"/>
      <c r="J32" s="21">
        <f>I32</f>
        <v/>
      </c>
      <c r="K32" s="22" t="n"/>
      <c r="L32" s="20" t="n"/>
      <c r="M32" s="20" t="n"/>
      <c r="N32" s="20" t="n"/>
      <c r="O32" s="20" t="n"/>
      <c r="P32" s="28" t="n"/>
      <c r="Q32" s="21">
        <f>P32</f>
        <v/>
      </c>
      <c r="R32" s="21">
        <f>Q32</f>
        <v/>
      </c>
      <c r="S32" s="18" t="n"/>
    </row>
    <row r="33" ht="18" customHeight="1" s="47">
      <c r="A33" s="48" t="n">
        <v>7</v>
      </c>
      <c r="B33" s="54" t="inlineStr">
        <is>
          <t>日本ロレアル
/ミニトマト</t>
        </is>
      </c>
      <c r="C33" s="31" t="inlineStr">
        <is>
          <t>58期</t>
        </is>
      </c>
      <c r="D33" s="8" t="n"/>
      <c r="E33" s="8" t="n"/>
      <c r="F33" s="8" t="n"/>
      <c r="G33" s="8" t="n"/>
      <c r="H33" s="8" t="n"/>
      <c r="I33" s="9" t="n"/>
      <c r="J33" s="10">
        <f>SUM(D33:I33)</f>
        <v/>
      </c>
      <c r="K33" s="11" t="n">
        <v>0.27</v>
      </c>
      <c r="L33" s="8" t="n"/>
      <c r="M33" s="8" t="n">
        <v>0.78</v>
      </c>
      <c r="N33" s="8" t="n"/>
      <c r="O33" s="8" t="n"/>
      <c r="P33" s="9" t="n"/>
      <c r="Q33" s="10">
        <f>SUM(K33:P33)</f>
        <v/>
      </c>
      <c r="R33" s="10">
        <f>J33+Q33</f>
        <v/>
      </c>
      <c r="S33" s="16" t="n"/>
    </row>
    <row r="34" ht="18" customHeight="1" s="47">
      <c r="A34" s="49" t="n"/>
      <c r="B34" s="52" t="n"/>
      <c r="C34" s="7" t="inlineStr">
        <is>
          <t>59期</t>
        </is>
      </c>
      <c r="D34" s="12" t="n"/>
      <c r="E34" s="12" t="n"/>
      <c r="F34" s="12" t="n"/>
      <c r="G34" s="12" t="n"/>
      <c r="H34" s="12" t="n"/>
      <c r="I34" s="13" t="n"/>
      <c r="J34" s="14">
        <f>SUM(D34:I34)</f>
        <v/>
      </c>
      <c r="K34" s="15" t="n"/>
      <c r="L34" s="12" t="n"/>
      <c r="M34" s="12" t="n"/>
      <c r="N34" s="12" t="n"/>
      <c r="O34" s="12" t="n"/>
      <c r="P34" s="13" t="n"/>
      <c r="Q34" s="14">
        <f>SUM(K34:P34)</f>
        <v/>
      </c>
      <c r="R34" s="14">
        <f>J34+Q34</f>
        <v/>
      </c>
      <c r="S34" s="17" t="n"/>
    </row>
    <row r="35" ht="18" customHeight="1" s="47">
      <c r="A35" s="49" t="n"/>
      <c r="B35" s="52" t="n"/>
      <c r="C35" s="23" t="inlineStr">
        <is>
          <t>増　減</t>
        </is>
      </c>
      <c r="D35" s="24">
        <f>D34-D33</f>
        <v/>
      </c>
      <c r="E35" s="24">
        <f>E34-E33</f>
        <v/>
      </c>
      <c r="F35" s="24">
        <f>F34-F33</f>
        <v/>
      </c>
      <c r="G35" s="24">
        <f>G34-G33</f>
        <v/>
      </c>
      <c r="H35" s="24">
        <f>H34-H33</f>
        <v/>
      </c>
      <c r="I35" s="27">
        <f>I34-I33</f>
        <v/>
      </c>
      <c r="J35" s="30">
        <f>SUM(D35:I35)</f>
        <v/>
      </c>
      <c r="K35" s="29">
        <f>K34-K33</f>
        <v/>
      </c>
      <c r="L35" s="24">
        <f>L34-L33</f>
        <v/>
      </c>
      <c r="M35" s="24">
        <f>M34-M33</f>
        <v/>
      </c>
      <c r="N35" s="24">
        <f>N34-N33</f>
        <v/>
      </c>
      <c r="O35" s="24">
        <f>O34-O33</f>
        <v/>
      </c>
      <c r="P35" s="27">
        <f>P34-P33</f>
        <v/>
      </c>
      <c r="Q35" s="30">
        <f>SUM(K35:P35)</f>
        <v/>
      </c>
      <c r="R35" s="30">
        <f>J35+Q35</f>
        <v/>
      </c>
      <c r="S35" s="17" t="n"/>
    </row>
    <row r="36" ht="18" customHeight="1" s="47" thickBot="1">
      <c r="A36" s="50" t="n"/>
      <c r="B36" s="53" t="n"/>
      <c r="C36" s="25" t="inlineStr">
        <is>
          <t>稼働棟数</t>
        </is>
      </c>
      <c r="D36" s="20" t="n"/>
      <c r="E36" s="20" t="n"/>
      <c r="F36" s="20" t="n"/>
      <c r="G36" s="20" t="n"/>
      <c r="H36" s="20" t="n"/>
      <c r="I36" s="28" t="n"/>
      <c r="J36" s="21">
        <f>I36</f>
        <v/>
      </c>
      <c r="K36" s="22" t="n"/>
      <c r="L36" s="20" t="n"/>
      <c r="M36" s="20" t="n"/>
      <c r="N36" s="20" t="n"/>
      <c r="O36" s="20" t="n"/>
      <c r="P36" s="28" t="n"/>
      <c r="Q36" s="21">
        <f>P36</f>
        <v/>
      </c>
      <c r="R36" s="21">
        <f>Q36</f>
        <v/>
      </c>
      <c r="S36" s="18" t="n"/>
    </row>
    <row r="37" ht="18" customHeight="1" s="47">
      <c r="A37" s="48" t="n">
        <v>7</v>
      </c>
      <c r="B37" s="54" t="inlineStr">
        <is>
          <t>日本ロレアル
/葉物野菜</t>
        </is>
      </c>
      <c r="C37" s="31" t="inlineStr">
        <is>
          <t>58期</t>
        </is>
      </c>
      <c r="D37" s="8" t="n"/>
      <c r="E37" s="8" t="n"/>
      <c r="F37" s="8" t="n">
        <v>0.2</v>
      </c>
      <c r="G37" s="8" t="n"/>
      <c r="H37" s="8" t="n">
        <v>0.28</v>
      </c>
      <c r="I37" s="9" t="n"/>
      <c r="J37" s="10">
        <f>SUM(D37:I37)</f>
        <v/>
      </c>
      <c r="K37" s="11" t="n"/>
      <c r="L37" s="8" t="n"/>
      <c r="M37" s="8" t="n"/>
      <c r="N37" s="8" t="n">
        <v>0.24</v>
      </c>
      <c r="O37" s="8" t="n"/>
      <c r="P37" s="9" t="n"/>
      <c r="Q37" s="10">
        <f>SUM(K37:P37)</f>
        <v/>
      </c>
      <c r="R37" s="10">
        <f>J37+Q37</f>
        <v/>
      </c>
      <c r="S37" s="16" t="n"/>
    </row>
    <row r="38" ht="18" customHeight="1" s="47">
      <c r="A38" s="49" t="n"/>
      <c r="B38" s="52" t="n"/>
      <c r="C38" s="7" t="inlineStr">
        <is>
          <t>59期</t>
        </is>
      </c>
      <c r="D38" s="12" t="n"/>
      <c r="E38" s="12" t="n"/>
      <c r="F38" s="12" t="n"/>
      <c r="G38" s="12" t="n"/>
      <c r="H38" s="12" t="n"/>
      <c r="I38" s="13" t="n"/>
      <c r="J38" s="14">
        <f>SUM(D38:I38)</f>
        <v/>
      </c>
      <c r="K38" s="15" t="n"/>
      <c r="L38" s="12" t="n"/>
      <c r="M38" s="12" t="n"/>
      <c r="N38" s="12" t="n"/>
      <c r="O38" s="12" t="n"/>
      <c r="P38" s="13" t="n"/>
      <c r="Q38" s="14">
        <f>SUM(K38:P38)</f>
        <v/>
      </c>
      <c r="R38" s="14">
        <f>J38+Q38</f>
        <v/>
      </c>
      <c r="S38" s="17" t="n"/>
    </row>
    <row r="39" ht="18" customHeight="1" s="47">
      <c r="A39" s="49" t="n"/>
      <c r="B39" s="52" t="n"/>
      <c r="C39" s="23" t="inlineStr">
        <is>
          <t>増　減</t>
        </is>
      </c>
      <c r="D39" s="24">
        <f>D38-D37</f>
        <v/>
      </c>
      <c r="E39" s="24">
        <f>E38-E37</f>
        <v/>
      </c>
      <c r="F39" s="24">
        <f>F38-F37</f>
        <v/>
      </c>
      <c r="G39" s="24">
        <f>G38-G37</f>
        <v/>
      </c>
      <c r="H39" s="24">
        <f>H38-H37</f>
        <v/>
      </c>
      <c r="I39" s="27">
        <f>I38-I37</f>
        <v/>
      </c>
      <c r="J39" s="30">
        <f>SUM(D39:I39)</f>
        <v/>
      </c>
      <c r="K39" s="29">
        <f>K38-K37</f>
        <v/>
      </c>
      <c r="L39" s="24">
        <f>L38-L37</f>
        <v/>
      </c>
      <c r="M39" s="24">
        <f>M38-M37</f>
        <v/>
      </c>
      <c r="N39" s="24">
        <f>N38-N37</f>
        <v/>
      </c>
      <c r="O39" s="24">
        <f>O38-O37</f>
        <v/>
      </c>
      <c r="P39" s="27">
        <f>P38-P37</f>
        <v/>
      </c>
      <c r="Q39" s="30">
        <f>SUM(K39:P39)</f>
        <v/>
      </c>
      <c r="R39" s="30">
        <f>J39+Q39</f>
        <v/>
      </c>
      <c r="S39" s="17" t="n"/>
    </row>
    <row r="40" ht="18" customHeight="1" s="47" thickBot="1">
      <c r="A40" s="50" t="n"/>
      <c r="B40" s="53" t="n"/>
      <c r="C40" s="25" t="inlineStr">
        <is>
          <t>稼働棟数</t>
        </is>
      </c>
      <c r="D40" s="20" t="n"/>
      <c r="E40" s="20" t="n"/>
      <c r="F40" s="20" t="n"/>
      <c r="G40" s="20" t="n"/>
      <c r="H40" s="20" t="n"/>
      <c r="I40" s="28" t="n"/>
      <c r="J40" s="21">
        <f>I40</f>
        <v/>
      </c>
      <c r="K40" s="22" t="n"/>
      <c r="L40" s="20" t="n"/>
      <c r="M40" s="20" t="n"/>
      <c r="N40" s="20" t="n"/>
      <c r="O40" s="20" t="n"/>
      <c r="P40" s="28" t="n"/>
      <c r="Q40" s="21">
        <f>P40</f>
        <v/>
      </c>
      <c r="R40" s="21">
        <f>Q40</f>
        <v/>
      </c>
      <c r="S40" s="18" t="n"/>
    </row>
    <row r="41" ht="18" customHeight="1" s="47">
      <c r="A41" s="48" t="n">
        <v>8</v>
      </c>
      <c r="B41" s="54" t="inlineStr">
        <is>
          <t>サンセイランディック
/葉物野菜</t>
        </is>
      </c>
      <c r="C41" s="31" t="inlineStr">
        <is>
          <t>58期</t>
        </is>
      </c>
      <c r="D41" s="8" t="n">
        <v>4.05</v>
      </c>
      <c r="E41" s="8" t="n">
        <v>0.54</v>
      </c>
      <c r="F41" s="8" t="n">
        <v>1.97</v>
      </c>
      <c r="G41" s="8" t="n">
        <v>0.45</v>
      </c>
      <c r="H41" s="8" t="n">
        <v>1.86</v>
      </c>
      <c r="I41" s="9" t="n"/>
      <c r="J41" s="10">
        <f>SUM(D41:I41)</f>
        <v/>
      </c>
      <c r="K41" s="11" t="n"/>
      <c r="L41" s="8" t="n">
        <v>0.2</v>
      </c>
      <c r="M41" s="8" t="n">
        <v>0.26</v>
      </c>
      <c r="N41" s="8" t="n"/>
      <c r="O41" s="8" t="n">
        <v>0.28</v>
      </c>
      <c r="P41" s="9" t="n"/>
      <c r="Q41" s="10">
        <f>SUM(K41:P41)</f>
        <v/>
      </c>
      <c r="R41" s="10">
        <f>J41+Q41</f>
        <v/>
      </c>
      <c r="S41" s="16" t="n"/>
    </row>
    <row r="42" ht="18" customHeight="1" s="47">
      <c r="A42" s="49" t="n"/>
      <c r="B42" s="52" t="n"/>
      <c r="C42" s="7" t="inlineStr">
        <is>
          <t>59期</t>
        </is>
      </c>
      <c r="D42" s="12" t="n"/>
      <c r="E42" s="12" t="n"/>
      <c r="F42" s="12" t="n"/>
      <c r="G42" s="12" t="n">
        <v>0.33</v>
      </c>
      <c r="H42" s="12" t="n"/>
      <c r="I42" s="13" t="n"/>
      <c r="J42" s="14">
        <f>SUM(D42:I42)</f>
        <v/>
      </c>
      <c r="K42" s="15" t="n"/>
      <c r="L42" s="12" t="n"/>
      <c r="M42" s="12" t="n"/>
      <c r="N42" s="12" t="n"/>
      <c r="O42" s="12" t="n"/>
      <c r="P42" s="13" t="n"/>
      <c r="Q42" s="14">
        <f>SUM(K42:P42)</f>
        <v/>
      </c>
      <c r="R42" s="14">
        <f>J42+Q42</f>
        <v/>
      </c>
      <c r="S42" s="17" t="n"/>
    </row>
    <row r="43" ht="18" customHeight="1" s="47">
      <c r="A43" s="49" t="n"/>
      <c r="B43" s="52" t="n"/>
      <c r="C43" s="23" t="inlineStr">
        <is>
          <t>増　減</t>
        </is>
      </c>
      <c r="D43" s="24">
        <f>D42-D41</f>
        <v/>
      </c>
      <c r="E43" s="24">
        <f>E42-E41</f>
        <v/>
      </c>
      <c r="F43" s="24">
        <f>F42-F41</f>
        <v/>
      </c>
      <c r="G43" s="24">
        <f>G42-G41</f>
        <v/>
      </c>
      <c r="H43" s="24">
        <f>H42-H41</f>
        <v/>
      </c>
      <c r="I43" s="27">
        <f>I42-I41</f>
        <v/>
      </c>
      <c r="J43" s="30">
        <f>SUM(D43:I43)</f>
        <v/>
      </c>
      <c r="K43" s="29">
        <f>K42-K41</f>
        <v/>
      </c>
      <c r="L43" s="24">
        <f>L42-L41</f>
        <v/>
      </c>
      <c r="M43" s="24">
        <f>M42-M41</f>
        <v/>
      </c>
      <c r="N43" s="24">
        <f>N42-N41</f>
        <v/>
      </c>
      <c r="O43" s="24">
        <f>O42-O41</f>
        <v/>
      </c>
      <c r="P43" s="27">
        <f>P42-P41</f>
        <v/>
      </c>
      <c r="Q43" s="30">
        <f>SUM(K43:P43)</f>
        <v/>
      </c>
      <c r="R43" s="30">
        <f>J43+Q43</f>
        <v/>
      </c>
      <c r="S43" s="17" t="n"/>
    </row>
    <row r="44" ht="18" customHeight="1" s="47" thickBot="1">
      <c r="A44" s="50" t="n"/>
      <c r="B44" s="53" t="n"/>
      <c r="C44" s="25" t="inlineStr">
        <is>
          <t>稼働棟数</t>
        </is>
      </c>
      <c r="D44" s="20" t="n"/>
      <c r="E44" s="20" t="n"/>
      <c r="F44" s="20" t="n"/>
      <c r="G44" s="20" t="n"/>
      <c r="H44" s="20" t="n"/>
      <c r="I44" s="28" t="n"/>
      <c r="J44" s="21">
        <f>I44</f>
        <v/>
      </c>
      <c r="K44" s="22" t="n"/>
      <c r="L44" s="20" t="n"/>
      <c r="M44" s="20" t="n"/>
      <c r="N44" s="20" t="n"/>
      <c r="O44" s="20" t="n"/>
      <c r="P44" s="28" t="n"/>
      <c r="Q44" s="21">
        <f>P44</f>
        <v/>
      </c>
      <c r="R44" s="21">
        <f>Q44</f>
        <v/>
      </c>
      <c r="S44" s="18" t="n"/>
    </row>
    <row r="45" ht="18" customHeight="1" s="47">
      <c r="A45" s="48" t="n">
        <v>9</v>
      </c>
      <c r="B45" s="54" t="inlineStr">
        <is>
          <t>サンセイランディック
/ミニトマト</t>
        </is>
      </c>
      <c r="C45" s="31" t="inlineStr">
        <is>
          <t>58期</t>
        </is>
      </c>
      <c r="D45" s="8" t="n">
        <v>2.4</v>
      </c>
      <c r="E45" s="8" t="n">
        <v>2.52</v>
      </c>
      <c r="F45" s="8" t="n">
        <v>1.2</v>
      </c>
      <c r="G45" s="8" t="n">
        <v>0.78</v>
      </c>
      <c r="H45" s="8" t="n"/>
      <c r="I45" s="9" t="n"/>
      <c r="J45" s="10">
        <f>SUM(D45:I45)</f>
        <v/>
      </c>
      <c r="K45" s="11" t="n">
        <v>2</v>
      </c>
      <c r="L45" s="8" t="n">
        <v>17.15</v>
      </c>
      <c r="M45" s="8" t="n">
        <v>1.08</v>
      </c>
      <c r="N45" s="8" t="n"/>
      <c r="O45" s="8" t="n"/>
      <c r="P45" s="9" t="n"/>
      <c r="Q45" s="10">
        <f>SUM(K45:P45)</f>
        <v/>
      </c>
      <c r="R45" s="10">
        <f>J45+Q45</f>
        <v/>
      </c>
      <c r="S45" s="16" t="n"/>
    </row>
    <row r="46" ht="18" customHeight="1" s="47">
      <c r="A46" s="49" t="n"/>
      <c r="B46" s="52" t="n"/>
      <c r="C46" s="7" t="inlineStr">
        <is>
          <t>59期</t>
        </is>
      </c>
      <c r="D46" s="12" t="n"/>
      <c r="E46" s="12" t="n"/>
      <c r="F46" s="12" t="n"/>
      <c r="G46" s="12" t="n"/>
      <c r="H46" s="12" t="n"/>
      <c r="I46" s="13" t="n"/>
      <c r="J46" s="14">
        <f>SUM(D46:I46)</f>
        <v/>
      </c>
      <c r="K46" s="15" t="n"/>
      <c r="L46" s="12" t="n"/>
      <c r="M46" s="12" t="n"/>
      <c r="N46" s="12" t="n"/>
      <c r="O46" s="12" t="n"/>
      <c r="P46" s="13" t="n"/>
      <c r="Q46" s="14">
        <f>SUM(K46:P46)</f>
        <v/>
      </c>
      <c r="R46" s="14">
        <f>J46+Q46</f>
        <v/>
      </c>
      <c r="S46" s="17" t="n"/>
    </row>
    <row r="47" ht="18" customHeight="1" s="47">
      <c r="A47" s="49" t="n"/>
      <c r="B47" s="52" t="n"/>
      <c r="C47" s="23" t="inlineStr">
        <is>
          <t>増　減</t>
        </is>
      </c>
      <c r="D47" s="24">
        <f>D46-D45</f>
        <v/>
      </c>
      <c r="E47" s="24">
        <f>E46-E45</f>
        <v/>
      </c>
      <c r="F47" s="24">
        <f>F46-F45</f>
        <v/>
      </c>
      <c r="G47" s="24">
        <f>G46-G45</f>
        <v/>
      </c>
      <c r="H47" s="24">
        <f>H46-H45</f>
        <v/>
      </c>
      <c r="I47" s="27">
        <f>I46-I45</f>
        <v/>
      </c>
      <c r="J47" s="30">
        <f>SUM(D47:I47)</f>
        <v/>
      </c>
      <c r="K47" s="29">
        <f>K46-K45</f>
        <v/>
      </c>
      <c r="L47" s="24">
        <f>L46-L45</f>
        <v/>
      </c>
      <c r="M47" s="24">
        <f>M46-M45</f>
        <v/>
      </c>
      <c r="N47" s="24">
        <f>N46-N45</f>
        <v/>
      </c>
      <c r="O47" s="24">
        <f>O46-O45</f>
        <v/>
      </c>
      <c r="P47" s="27">
        <f>P46-P45</f>
        <v/>
      </c>
      <c r="Q47" s="30">
        <f>SUM(K47:P47)</f>
        <v/>
      </c>
      <c r="R47" s="30">
        <f>J47+Q47</f>
        <v/>
      </c>
      <c r="S47" s="17" t="n"/>
    </row>
    <row r="48" ht="18" customHeight="1" s="47" thickBot="1">
      <c r="A48" s="50" t="n"/>
      <c r="B48" s="53" t="n"/>
      <c r="C48" s="25" t="inlineStr">
        <is>
          <t>稼働棟数</t>
        </is>
      </c>
      <c r="D48" s="20" t="n"/>
      <c r="E48" s="20" t="n"/>
      <c r="F48" s="20" t="n"/>
      <c r="G48" s="20" t="n"/>
      <c r="H48" s="20" t="n"/>
      <c r="I48" s="28" t="n"/>
      <c r="J48" s="21">
        <f>I48</f>
        <v/>
      </c>
      <c r="K48" s="22" t="n"/>
      <c r="L48" s="20" t="n"/>
      <c r="M48" s="20" t="n"/>
      <c r="N48" s="20" t="n"/>
      <c r="O48" s="20" t="n"/>
      <c r="P48" s="28" t="n"/>
      <c r="Q48" s="21">
        <f>P48</f>
        <v/>
      </c>
      <c r="R48" s="21">
        <f>Q48</f>
        <v/>
      </c>
      <c r="S48" s="18" t="n"/>
    </row>
    <row r="49" ht="18" customHeight="1" s="47">
      <c r="A49" s="48" t="n">
        <v>10</v>
      </c>
      <c r="B49" s="51" t="inlineStr">
        <is>
          <t>昭和女子
/葉物野菜</t>
        </is>
      </c>
      <c r="C49" s="31" t="inlineStr">
        <is>
          <t>58期</t>
        </is>
      </c>
      <c r="D49" s="8" t="n">
        <v>0.51</v>
      </c>
      <c r="E49" s="8" t="n">
        <v>1.39</v>
      </c>
      <c r="F49" s="8" t="n">
        <v>0.36</v>
      </c>
      <c r="G49" s="8" t="n">
        <v>10.96</v>
      </c>
      <c r="H49" s="8" t="n">
        <v>3.14</v>
      </c>
      <c r="I49" s="9" t="n">
        <v>2.79</v>
      </c>
      <c r="J49" s="10">
        <f>SUM(D49:I49)</f>
        <v/>
      </c>
      <c r="K49" s="11" t="n"/>
      <c r="L49" s="8" t="n">
        <v>0.12</v>
      </c>
      <c r="M49" s="8" t="n"/>
      <c r="N49" s="8" t="n">
        <v>0.24</v>
      </c>
      <c r="O49" s="8" t="n"/>
      <c r="P49" s="9" t="n">
        <v>0.26</v>
      </c>
      <c r="Q49" s="10">
        <f>SUM(K49:P49)</f>
        <v/>
      </c>
      <c r="R49" s="10">
        <f>J49+Q49</f>
        <v/>
      </c>
      <c r="S49" s="16" t="n"/>
    </row>
    <row r="50" ht="18" customHeight="1" s="47">
      <c r="A50" s="49" t="n"/>
      <c r="B50" s="52" t="n"/>
      <c r="C50" s="7" t="inlineStr">
        <is>
          <t>59期</t>
        </is>
      </c>
      <c r="D50" s="12" t="n">
        <v>0.44</v>
      </c>
      <c r="E50" s="12" t="n"/>
      <c r="F50" s="12" t="n"/>
      <c r="G50" s="12" t="n"/>
      <c r="H50" s="12" t="n"/>
      <c r="I50" s="13" t="n"/>
      <c r="J50" s="14">
        <f>SUM(D50:I50)</f>
        <v/>
      </c>
      <c r="K50" s="15" t="n"/>
      <c r="L50" s="12" t="n"/>
      <c r="M50" s="12" t="n"/>
      <c r="N50" s="12" t="n"/>
      <c r="O50" s="12" t="n"/>
      <c r="P50" s="13" t="n"/>
      <c r="Q50" s="14">
        <f>SUM(K50:P50)</f>
        <v/>
      </c>
      <c r="R50" s="14">
        <f>J50+Q50</f>
        <v/>
      </c>
      <c r="S50" s="17" t="n"/>
    </row>
    <row r="51" ht="18" customHeight="1" s="47">
      <c r="A51" s="49" t="n"/>
      <c r="B51" s="52" t="n"/>
      <c r="C51" s="23" t="inlineStr">
        <is>
          <t>増　減</t>
        </is>
      </c>
      <c r="D51" s="24">
        <f>D50-D49</f>
        <v/>
      </c>
      <c r="E51" s="24">
        <f>E50-E49</f>
        <v/>
      </c>
      <c r="F51" s="24">
        <f>F50-F49</f>
        <v/>
      </c>
      <c r="G51" s="24">
        <f>G50-G49</f>
        <v/>
      </c>
      <c r="H51" s="24">
        <f>H50-H49</f>
        <v/>
      </c>
      <c r="I51" s="27">
        <f>I50-I49</f>
        <v/>
      </c>
      <c r="J51" s="30">
        <f>SUM(D51:I51)</f>
        <v/>
      </c>
      <c r="K51" s="29">
        <f>K50-K49</f>
        <v/>
      </c>
      <c r="L51" s="24">
        <f>L50-L49</f>
        <v/>
      </c>
      <c r="M51" s="24">
        <f>M50-M49</f>
        <v/>
      </c>
      <c r="N51" s="24">
        <f>N50-N49</f>
        <v/>
      </c>
      <c r="O51" s="24">
        <f>O50-O49</f>
        <v/>
      </c>
      <c r="P51" s="27">
        <f>P50-P49</f>
        <v/>
      </c>
      <c r="Q51" s="30">
        <f>SUM(K51:P51)</f>
        <v/>
      </c>
      <c r="R51" s="30">
        <f>J51+Q51</f>
        <v/>
      </c>
      <c r="S51" s="17" t="n"/>
    </row>
    <row r="52" ht="18" customHeight="1" s="47" thickBot="1">
      <c r="A52" s="50" t="n"/>
      <c r="B52" s="53" t="n"/>
      <c r="C52" s="25" t="inlineStr">
        <is>
          <t>稼働棟数</t>
        </is>
      </c>
      <c r="D52" s="20" t="n"/>
      <c r="E52" s="20" t="n"/>
      <c r="F52" s="20" t="n"/>
      <c r="G52" s="20" t="n"/>
      <c r="H52" s="20" t="n"/>
      <c r="I52" s="28" t="n"/>
      <c r="J52" s="21">
        <f>I52</f>
        <v/>
      </c>
      <c r="K52" s="22" t="n"/>
      <c r="L52" s="20" t="n"/>
      <c r="M52" s="20" t="n"/>
      <c r="N52" s="20" t="n"/>
      <c r="O52" s="20" t="n"/>
      <c r="P52" s="28" t="n"/>
      <c r="Q52" s="21">
        <f>P52</f>
        <v/>
      </c>
      <c r="R52" s="21">
        <f>Q52</f>
        <v/>
      </c>
      <c r="S52" s="18" t="n"/>
    </row>
    <row r="53" ht="18" customHeight="1" s="47">
      <c r="A53" s="48" t="n">
        <v>11</v>
      </c>
      <c r="B53" s="51" t="inlineStr">
        <is>
          <t>昭和女子
/イチゴ</t>
        </is>
      </c>
      <c r="C53" s="31" t="inlineStr">
        <is>
          <t>58期</t>
        </is>
      </c>
      <c r="D53" s="8" t="n"/>
      <c r="E53" s="8" t="n"/>
      <c r="F53" s="8" t="n">
        <v>0.28</v>
      </c>
      <c r="G53" s="8" t="n">
        <v>2.58</v>
      </c>
      <c r="H53" s="8" t="n">
        <v>1.3</v>
      </c>
      <c r="I53" s="9" t="n">
        <v>0.62</v>
      </c>
      <c r="J53" s="10">
        <f>SUM(D53:I53)</f>
        <v/>
      </c>
      <c r="K53" s="11" t="n">
        <v>0.08</v>
      </c>
      <c r="L53" s="8" t="n">
        <v>1.1</v>
      </c>
      <c r="M53" s="8" t="n">
        <v>0.3</v>
      </c>
      <c r="N53" s="8" t="n"/>
      <c r="O53" s="8" t="n"/>
      <c r="P53" s="9" t="n"/>
      <c r="Q53" s="10">
        <f>SUM(K53:P53)</f>
        <v/>
      </c>
      <c r="R53" s="10">
        <f>J53+Q53</f>
        <v/>
      </c>
      <c r="S53" s="16" t="n"/>
    </row>
    <row r="54" ht="18" customHeight="1" s="47">
      <c r="A54" s="49" t="n"/>
      <c r="B54" s="52" t="n"/>
      <c r="C54" s="7" t="inlineStr">
        <is>
          <t>59期</t>
        </is>
      </c>
      <c r="D54" s="12" t="n"/>
      <c r="E54" s="12" t="n"/>
      <c r="F54" s="12" t="n"/>
      <c r="G54" s="12" t="n">
        <v>0.16</v>
      </c>
      <c r="H54" s="12" t="n"/>
      <c r="I54" s="13" t="n"/>
      <c r="J54" s="14">
        <f>SUM(D54:I54)</f>
        <v/>
      </c>
      <c r="K54" s="15" t="n"/>
      <c r="L54" s="12" t="n"/>
      <c r="M54" s="12" t="n"/>
      <c r="N54" s="12" t="n"/>
      <c r="O54" s="12" t="n"/>
      <c r="P54" s="13" t="n"/>
      <c r="Q54" s="14">
        <f>SUM(K54:P54)</f>
        <v/>
      </c>
      <c r="R54" s="14">
        <f>J54+Q54</f>
        <v/>
      </c>
      <c r="S54" s="17" t="n"/>
    </row>
    <row r="55" ht="18" customHeight="1" s="47">
      <c r="A55" s="49" t="n"/>
      <c r="B55" s="52" t="n"/>
      <c r="C55" s="23" t="inlineStr">
        <is>
          <t>増　減</t>
        </is>
      </c>
      <c r="D55" s="24">
        <f>D54-D53</f>
        <v/>
      </c>
      <c r="E55" s="24">
        <f>E54-E53</f>
        <v/>
      </c>
      <c r="F55" s="24">
        <f>F54-F53</f>
        <v/>
      </c>
      <c r="G55" s="24">
        <f>G54-G53</f>
        <v/>
      </c>
      <c r="H55" s="24">
        <f>H54-H53</f>
        <v/>
      </c>
      <c r="I55" s="27">
        <f>I54-I53</f>
        <v/>
      </c>
      <c r="J55" s="30">
        <f>SUM(D55:I55)</f>
        <v/>
      </c>
      <c r="K55" s="29">
        <f>K54-K53</f>
        <v/>
      </c>
      <c r="L55" s="24">
        <f>L54-L53</f>
        <v/>
      </c>
      <c r="M55" s="24">
        <f>M54-M53</f>
        <v/>
      </c>
      <c r="N55" s="24">
        <f>N54-N53</f>
        <v/>
      </c>
      <c r="O55" s="24">
        <f>O54-O53</f>
        <v/>
      </c>
      <c r="P55" s="27">
        <f>P54-P53</f>
        <v/>
      </c>
      <c r="Q55" s="30">
        <f>SUM(K55:P55)</f>
        <v/>
      </c>
      <c r="R55" s="30">
        <f>J55+Q55</f>
        <v/>
      </c>
      <c r="S55" s="17" t="n"/>
    </row>
    <row r="56" ht="18" customHeight="1" s="47" thickBot="1">
      <c r="A56" s="50" t="n"/>
      <c r="B56" s="53" t="n"/>
      <c r="C56" s="25" t="inlineStr">
        <is>
          <t>稼働棟数</t>
        </is>
      </c>
      <c r="D56" s="20" t="n"/>
      <c r="E56" s="20" t="n"/>
      <c r="F56" s="20" t="n"/>
      <c r="G56" s="20" t="n"/>
      <c r="H56" s="20" t="n"/>
      <c r="I56" s="28" t="n"/>
      <c r="J56" s="21">
        <f>I56</f>
        <v/>
      </c>
      <c r="K56" s="22" t="n"/>
      <c r="L56" s="20" t="n"/>
      <c r="M56" s="20" t="n"/>
      <c r="N56" s="20" t="n"/>
      <c r="O56" s="20" t="n"/>
      <c r="P56" s="28" t="n"/>
      <c r="Q56" s="21">
        <f>P56</f>
        <v/>
      </c>
      <c r="R56" s="21">
        <f>Q56</f>
        <v/>
      </c>
      <c r="S56" s="18" t="n"/>
    </row>
    <row r="57" ht="18" customHeight="1" s="47">
      <c r="A57" s="48" t="n">
        <v>12</v>
      </c>
      <c r="B57" s="51" t="n"/>
      <c r="C57" s="31" t="inlineStr">
        <is>
          <t>58期</t>
        </is>
      </c>
      <c r="D57" s="8" t="n"/>
      <c r="E57" s="8" t="n"/>
      <c r="F57" s="8" t="n"/>
      <c r="G57" s="8" t="n"/>
      <c r="H57" s="8" t="n"/>
      <c r="I57" s="9" t="n"/>
      <c r="J57" s="10">
        <f>SUM(D57:I57)</f>
        <v/>
      </c>
      <c r="K57" s="11" t="n"/>
      <c r="L57" s="8" t="n"/>
      <c r="M57" s="8" t="n"/>
      <c r="N57" s="8" t="n"/>
      <c r="O57" s="8" t="n"/>
      <c r="P57" s="9" t="n"/>
      <c r="Q57" s="10">
        <f>SUM(K57:P57)</f>
        <v/>
      </c>
      <c r="R57" s="10">
        <f>J57+Q57</f>
        <v/>
      </c>
      <c r="S57" s="16" t="n"/>
    </row>
    <row r="58" ht="18" customHeight="1" s="47">
      <c r="A58" s="49" t="n"/>
      <c r="B58" s="52" t="n"/>
      <c r="C58" s="7" t="inlineStr">
        <is>
          <t>59期</t>
        </is>
      </c>
      <c r="D58" s="12" t="n"/>
      <c r="E58" s="12" t="n"/>
      <c r="F58" s="12" t="n"/>
      <c r="G58" s="12" t="n"/>
      <c r="H58" s="12" t="n"/>
      <c r="I58" s="13" t="n"/>
      <c r="J58" s="14">
        <f>SUM(D58:I58)</f>
        <v/>
      </c>
      <c r="K58" s="15" t="n"/>
      <c r="L58" s="12" t="n"/>
      <c r="M58" s="12" t="n"/>
      <c r="N58" s="12" t="n"/>
      <c r="O58" s="12" t="n"/>
      <c r="P58" s="13" t="n"/>
      <c r="Q58" s="14">
        <f>SUM(K58:P58)</f>
        <v/>
      </c>
      <c r="R58" s="14">
        <f>J58+Q58</f>
        <v/>
      </c>
      <c r="S58" s="17" t="n"/>
    </row>
    <row r="59" ht="18" customHeight="1" s="47">
      <c r="A59" s="49" t="n"/>
      <c r="B59" s="52" t="n"/>
      <c r="C59" s="23" t="inlineStr">
        <is>
          <t>増　減</t>
        </is>
      </c>
      <c r="D59" s="24" t="n"/>
      <c r="E59" s="24">
        <f>E58-E57</f>
        <v/>
      </c>
      <c r="F59" s="24">
        <f>F58-F57</f>
        <v/>
      </c>
      <c r="G59" s="24">
        <f>G58-G57</f>
        <v/>
      </c>
      <c r="H59" s="24">
        <f>H58-H57</f>
        <v/>
      </c>
      <c r="I59" s="27">
        <f>I58-I57</f>
        <v/>
      </c>
      <c r="J59" s="30">
        <f>SUM(D59:I59)</f>
        <v/>
      </c>
      <c r="K59" s="29">
        <f>K58-K57</f>
        <v/>
      </c>
      <c r="L59" s="24">
        <f>L58-L57</f>
        <v/>
      </c>
      <c r="M59" s="24">
        <f>M58-M57</f>
        <v/>
      </c>
      <c r="N59" s="24">
        <f>N58-N57</f>
        <v/>
      </c>
      <c r="O59" s="24">
        <f>O58-O57</f>
        <v/>
      </c>
      <c r="P59" s="27">
        <f>P58-P57</f>
        <v/>
      </c>
      <c r="Q59" s="30">
        <f>SUM(K59:P59)</f>
        <v/>
      </c>
      <c r="R59" s="30">
        <f>J59+Q59</f>
        <v/>
      </c>
      <c r="S59" s="17" t="n"/>
    </row>
    <row r="60" ht="18" customHeight="1" s="47" thickBot="1">
      <c r="A60" s="50" t="n"/>
      <c r="B60" s="53" t="n"/>
      <c r="C60" s="25" t="inlineStr">
        <is>
          <t>稼働棟数</t>
        </is>
      </c>
      <c r="D60" s="20" t="n"/>
      <c r="E60" s="20" t="n"/>
      <c r="F60" s="20" t="n"/>
      <c r="G60" s="20" t="n"/>
      <c r="H60" s="20" t="n"/>
      <c r="I60" s="28" t="n"/>
      <c r="J60" s="21">
        <f>I60</f>
        <v/>
      </c>
      <c r="K60" s="22" t="n"/>
      <c r="L60" s="20" t="n"/>
      <c r="M60" s="20" t="n"/>
      <c r="N60" s="20" t="n"/>
      <c r="O60" s="20" t="n"/>
      <c r="P60" s="28" t="n"/>
      <c r="Q60" s="21">
        <f>P60</f>
        <v/>
      </c>
      <c r="R60" s="21">
        <f>Q60</f>
        <v/>
      </c>
      <c r="S60" s="18" t="n"/>
    </row>
    <row r="61" ht="18" customHeight="1" s="47">
      <c r="A61" s="48" t="n">
        <v>13</v>
      </c>
      <c r="B61" s="51" t="inlineStr">
        <is>
          <t>QB
/葉物野菜</t>
        </is>
      </c>
      <c r="C61" s="31" t="inlineStr">
        <is>
          <t>58期</t>
        </is>
      </c>
      <c r="D61" s="8" t="n"/>
      <c r="E61" s="8" t="n">
        <v>0.18</v>
      </c>
      <c r="F61" s="8" t="n">
        <v>0.87</v>
      </c>
      <c r="G61" s="8" t="n">
        <v>0.18</v>
      </c>
      <c r="H61" s="8" t="n">
        <v>0.12</v>
      </c>
      <c r="I61" s="9" t="n"/>
      <c r="J61" s="10">
        <f>SUM(D61:I61)</f>
        <v/>
      </c>
      <c r="K61" s="11" t="n"/>
      <c r="L61" s="8" t="n">
        <v>0.5600000000000001</v>
      </c>
      <c r="M61" s="8" t="n">
        <v>0.25</v>
      </c>
      <c r="N61" s="8" t="n">
        <v>1.15</v>
      </c>
      <c r="O61" s="8" t="n"/>
      <c r="P61" s="9" t="n"/>
      <c r="Q61" s="10">
        <f>SUM(K61:P61)</f>
        <v/>
      </c>
      <c r="R61" s="10">
        <f>J61+Q61</f>
        <v/>
      </c>
      <c r="S61" s="16" t="n"/>
    </row>
    <row r="62" ht="18" customHeight="1" s="47">
      <c r="A62" s="49" t="n"/>
      <c r="B62" s="52" t="n"/>
      <c r="C62" s="7" t="inlineStr">
        <is>
          <t>59期</t>
        </is>
      </c>
      <c r="D62" s="12" t="n">
        <v>0.1</v>
      </c>
      <c r="E62" s="12" t="n"/>
      <c r="F62" s="12" t="n">
        <v>0.6</v>
      </c>
      <c r="G62" s="12" t="n"/>
      <c r="H62" s="12" t="n"/>
      <c r="I62" s="13" t="n"/>
      <c r="J62" s="14">
        <f>SUM(D62:I62)</f>
        <v/>
      </c>
      <c r="K62" s="15" t="n"/>
      <c r="L62" s="12" t="n"/>
      <c r="M62" s="12" t="n"/>
      <c r="N62" s="12" t="n"/>
      <c r="O62" s="12" t="n"/>
      <c r="P62" s="13" t="n"/>
      <c r="Q62" s="14">
        <f>SUM(K62:P62)</f>
        <v/>
      </c>
      <c r="R62" s="14">
        <f>J62+Q62</f>
        <v/>
      </c>
      <c r="S62" s="17" t="n"/>
    </row>
    <row r="63" ht="18" customHeight="1" s="47">
      <c r="A63" s="49" t="n"/>
      <c r="B63" s="52" t="n"/>
      <c r="C63" s="23" t="inlineStr">
        <is>
          <t>増　減</t>
        </is>
      </c>
      <c r="D63" s="24">
        <f>D62-D61</f>
        <v/>
      </c>
      <c r="E63" s="24">
        <f>E62-E61</f>
        <v/>
      </c>
      <c r="F63" s="24">
        <f>F62-F61</f>
        <v/>
      </c>
      <c r="G63" s="24">
        <f>G62-G61</f>
        <v/>
      </c>
      <c r="H63" s="24">
        <f>H62-H61</f>
        <v/>
      </c>
      <c r="I63" s="27">
        <f>I62-I61</f>
        <v/>
      </c>
      <c r="J63" s="30">
        <f>SUM(D63:I63)</f>
        <v/>
      </c>
      <c r="K63" s="29">
        <f>K62-K61</f>
        <v/>
      </c>
      <c r="L63" s="24">
        <f>L62-L61</f>
        <v/>
      </c>
      <c r="M63" s="24">
        <f>M62-M61</f>
        <v/>
      </c>
      <c r="N63" s="24">
        <f>N62-N61</f>
        <v/>
      </c>
      <c r="O63" s="24">
        <f>O62-O61</f>
        <v/>
      </c>
      <c r="P63" s="27">
        <f>P62-P61</f>
        <v/>
      </c>
      <c r="Q63" s="30">
        <f>SUM(K63:P63)</f>
        <v/>
      </c>
      <c r="R63" s="30">
        <f>J63+Q63</f>
        <v/>
      </c>
      <c r="S63" s="17" t="n"/>
    </row>
    <row r="64" ht="18" customHeight="1" s="47" thickBot="1">
      <c r="A64" s="50" t="n"/>
      <c r="B64" s="53" t="n"/>
      <c r="C64" s="25" t="inlineStr">
        <is>
          <t>稼働棟数</t>
        </is>
      </c>
      <c r="D64" s="20" t="n"/>
      <c r="E64" s="20" t="n"/>
      <c r="F64" s="20" t="n"/>
      <c r="G64" s="20" t="n"/>
      <c r="H64" s="20" t="n"/>
      <c r="I64" s="28" t="n"/>
      <c r="J64" s="21">
        <f>I64</f>
        <v/>
      </c>
      <c r="K64" s="22" t="n"/>
      <c r="L64" s="20" t="n"/>
      <c r="M64" s="20" t="n"/>
      <c r="N64" s="20" t="n"/>
      <c r="O64" s="20" t="n"/>
      <c r="P64" s="28" t="n"/>
      <c r="Q64" s="21">
        <f>P64</f>
        <v/>
      </c>
      <c r="R64" s="21">
        <f>Q64</f>
        <v/>
      </c>
      <c r="S64" s="18" t="n"/>
    </row>
    <row r="65" ht="18" customHeight="1" s="47">
      <c r="A65" s="48" t="n">
        <v>14</v>
      </c>
      <c r="B65" s="51" t="inlineStr">
        <is>
          <t>QB
/イチゴ</t>
        </is>
      </c>
      <c r="C65" s="31" t="inlineStr">
        <is>
          <t>58期</t>
        </is>
      </c>
      <c r="D65" s="8" t="n">
        <v>0.1</v>
      </c>
      <c r="E65" s="8" t="n">
        <v>0.21</v>
      </c>
      <c r="F65" s="8" t="n">
        <v>0.62</v>
      </c>
      <c r="G65" s="8" t="n">
        <v>1.58</v>
      </c>
      <c r="H65" s="8" t="n">
        <v>1.22</v>
      </c>
      <c r="I65" s="9" t="n"/>
      <c r="J65" s="10">
        <f>SUM(D65:I65)</f>
        <v/>
      </c>
      <c r="K65" s="11" t="n">
        <v>0.3</v>
      </c>
      <c r="L65" s="8" t="n">
        <v>0.3</v>
      </c>
      <c r="M65" s="8" t="n">
        <v>0.1</v>
      </c>
      <c r="N65" s="8" t="n"/>
      <c r="O65" s="8" t="n"/>
      <c r="P65" s="9" t="n"/>
      <c r="Q65" s="10">
        <f>SUM(K65:P65)</f>
        <v/>
      </c>
      <c r="R65" s="10">
        <f>J65+Q65</f>
        <v/>
      </c>
      <c r="S65" s="16" t="n"/>
    </row>
    <row r="66" ht="18" customHeight="1" s="47">
      <c r="A66" s="49" t="n"/>
      <c r="B66" s="52" t="n"/>
      <c r="C66" s="7" t="inlineStr">
        <is>
          <t>59期</t>
        </is>
      </c>
      <c r="D66" s="12" t="n"/>
      <c r="E66" s="12" t="n"/>
      <c r="F66" s="12" t="n"/>
      <c r="G66" s="12" t="n">
        <v>0.76</v>
      </c>
      <c r="H66" s="12" t="n"/>
      <c r="I66" s="13" t="n"/>
      <c r="J66" s="14">
        <f>SUM(D66:I66)</f>
        <v/>
      </c>
      <c r="K66" s="15" t="n"/>
      <c r="L66" s="12" t="n"/>
      <c r="M66" s="12" t="n"/>
      <c r="N66" s="12" t="n"/>
      <c r="O66" s="12" t="n"/>
      <c r="P66" s="13" t="n"/>
      <c r="Q66" s="14">
        <f>SUM(K66:P66)</f>
        <v/>
      </c>
      <c r="R66" s="14">
        <f>J66+Q66</f>
        <v/>
      </c>
      <c r="S66" s="17" t="n"/>
    </row>
    <row r="67" ht="18" customHeight="1" s="47">
      <c r="A67" s="49" t="n"/>
      <c r="B67" s="52" t="n"/>
      <c r="C67" s="23" t="inlineStr">
        <is>
          <t>増　減</t>
        </is>
      </c>
      <c r="D67" s="24">
        <f>D66-D65</f>
        <v/>
      </c>
      <c r="E67" s="24">
        <f>E66-E65</f>
        <v/>
      </c>
      <c r="F67" s="24">
        <f>F66-F65</f>
        <v/>
      </c>
      <c r="G67" s="24">
        <f>G66-G65</f>
        <v/>
      </c>
      <c r="H67" s="24">
        <f>H66-H65</f>
        <v/>
      </c>
      <c r="I67" s="27">
        <f>I66-I65</f>
        <v/>
      </c>
      <c r="J67" s="30">
        <f>SUM(D67:I67)</f>
        <v/>
      </c>
      <c r="K67" s="29">
        <f>K66-K65</f>
        <v/>
      </c>
      <c r="L67" s="24">
        <f>L66-L65</f>
        <v/>
      </c>
      <c r="M67" s="24">
        <f>M66-M65</f>
        <v/>
      </c>
      <c r="N67" s="24">
        <f>N66-N65</f>
        <v/>
      </c>
      <c r="O67" s="24">
        <f>O66-O65</f>
        <v/>
      </c>
      <c r="P67" s="27">
        <f>P66-P65</f>
        <v/>
      </c>
      <c r="Q67" s="30">
        <f>SUM(K67:P67)</f>
        <v/>
      </c>
      <c r="R67" s="30">
        <f>J67+Q67</f>
        <v/>
      </c>
      <c r="S67" s="17" t="n"/>
    </row>
    <row r="68" ht="18" customHeight="1" s="47" thickBot="1">
      <c r="A68" s="50" t="n"/>
      <c r="B68" s="53" t="n"/>
      <c r="C68" s="25" t="inlineStr">
        <is>
          <t>稼働棟数</t>
        </is>
      </c>
      <c r="D68" s="20" t="n"/>
      <c r="E68" s="20" t="n"/>
      <c r="F68" s="20" t="n"/>
      <c r="G68" s="20" t="n"/>
      <c r="H68" s="20" t="n"/>
      <c r="I68" s="28" t="n"/>
      <c r="J68" s="21">
        <f>I68</f>
        <v/>
      </c>
      <c r="K68" s="22" t="n"/>
      <c r="L68" s="20" t="n"/>
      <c r="M68" s="20" t="n"/>
      <c r="N68" s="20" t="n"/>
      <c r="O68" s="20" t="n"/>
      <c r="P68" s="28" t="n"/>
      <c r="Q68" s="21">
        <f>P68</f>
        <v/>
      </c>
      <c r="R68" s="21">
        <f>Q68</f>
        <v/>
      </c>
      <c r="S68" s="18" t="n"/>
    </row>
    <row r="69" ht="18" customHeight="1" s="47">
      <c r="A69" s="48" t="n">
        <v>15</v>
      </c>
      <c r="B69" s="51" t="inlineStr">
        <is>
          <t>バリュエンス
/葉物野菜</t>
        </is>
      </c>
      <c r="C69" s="31" t="inlineStr">
        <is>
          <t>58期</t>
        </is>
      </c>
      <c r="D69" s="8" t="n">
        <v>4.35</v>
      </c>
      <c r="E69" s="8" t="n">
        <v>5.45</v>
      </c>
      <c r="F69" s="8" t="n">
        <v>3.51</v>
      </c>
      <c r="G69" s="8" t="n">
        <v>4.02</v>
      </c>
      <c r="H69" s="8" t="n">
        <v>4.44</v>
      </c>
      <c r="I69" s="9" t="n">
        <v>14.58</v>
      </c>
      <c r="J69" s="10">
        <f>SUM(D69:I69)</f>
        <v/>
      </c>
      <c r="K69" s="11" t="n">
        <v>18.53</v>
      </c>
      <c r="L69" s="8" t="n">
        <v>8.17</v>
      </c>
      <c r="M69" s="8" t="n">
        <v>12.2</v>
      </c>
      <c r="N69" s="8" t="n">
        <v>1.38</v>
      </c>
      <c r="O69" s="8" t="n">
        <v>1.98</v>
      </c>
      <c r="P69" s="9" t="n">
        <v>1.6</v>
      </c>
      <c r="Q69" s="10">
        <f>SUM(K69:P69)</f>
        <v/>
      </c>
      <c r="R69" s="10">
        <f>J69+Q69</f>
        <v/>
      </c>
      <c r="S69" s="16" t="n"/>
    </row>
    <row r="70" ht="18" customHeight="1" s="47">
      <c r="A70" s="49" t="n"/>
      <c r="B70" s="52" t="n"/>
      <c r="C70" s="7" t="inlineStr">
        <is>
          <t>59期</t>
        </is>
      </c>
      <c r="D70" s="12" t="n">
        <v>3.66</v>
      </c>
      <c r="E70" s="12" t="n">
        <v>5.7</v>
      </c>
      <c r="F70" s="12" t="n">
        <v>5.31</v>
      </c>
      <c r="G70" s="12" t="n">
        <v>1.86</v>
      </c>
      <c r="H70" s="12" t="n"/>
      <c r="I70" s="13" t="n"/>
      <c r="J70" s="14">
        <f>SUM(D70:I70)</f>
        <v/>
      </c>
      <c r="K70" s="15" t="n"/>
      <c r="L70" s="12" t="n"/>
      <c r="M70" s="12" t="n"/>
      <c r="N70" s="12" t="n"/>
      <c r="O70" s="12" t="n"/>
      <c r="P70" s="13" t="n"/>
      <c r="Q70" s="14">
        <f>SUM(K70:P70)</f>
        <v/>
      </c>
      <c r="R70" s="14">
        <f>J70+Q70</f>
        <v/>
      </c>
      <c r="S70" s="17" t="n"/>
    </row>
    <row r="71" ht="18" customHeight="1" s="47">
      <c r="A71" s="49" t="n"/>
      <c r="B71" s="52" t="n"/>
      <c r="C71" s="23" t="inlineStr">
        <is>
          <t>増　減</t>
        </is>
      </c>
      <c r="D71" s="24">
        <f>D70-D69</f>
        <v/>
      </c>
      <c r="E71" s="24">
        <f>E70-E69</f>
        <v/>
      </c>
      <c r="F71" s="24">
        <f>F70-F69</f>
        <v/>
      </c>
      <c r="G71" s="24">
        <f>G70-G69</f>
        <v/>
      </c>
      <c r="H71" s="24">
        <f>H70-H69</f>
        <v/>
      </c>
      <c r="I71" s="27">
        <f>I70-I69</f>
        <v/>
      </c>
      <c r="J71" s="30">
        <f>SUM(D71:I71)</f>
        <v/>
      </c>
      <c r="K71" s="29">
        <f>K70-K69</f>
        <v/>
      </c>
      <c r="L71" s="24">
        <f>L70-L69</f>
        <v/>
      </c>
      <c r="M71" s="24">
        <f>M70-M69</f>
        <v/>
      </c>
      <c r="N71" s="24">
        <f>N70-N69</f>
        <v/>
      </c>
      <c r="O71" s="24">
        <f>O70-O69</f>
        <v/>
      </c>
      <c r="P71" s="27">
        <f>P70-P69</f>
        <v/>
      </c>
      <c r="Q71" s="30">
        <f>SUM(K71:P71)</f>
        <v/>
      </c>
      <c r="R71" s="30">
        <f>J71+Q71</f>
        <v/>
      </c>
      <c r="S71" s="17" t="n"/>
    </row>
    <row r="72" ht="18" customHeight="1" s="47" thickBot="1">
      <c r="A72" s="50" t="n"/>
      <c r="B72" s="53" t="n"/>
      <c r="C72" s="25" t="inlineStr">
        <is>
          <t>稼働棟数</t>
        </is>
      </c>
      <c r="D72" s="20" t="n"/>
      <c r="E72" s="20" t="n"/>
      <c r="F72" s="20" t="n"/>
      <c r="G72" s="20" t="n"/>
      <c r="H72" s="20" t="n"/>
      <c r="I72" s="28" t="n"/>
      <c r="J72" s="21">
        <f>I72</f>
        <v/>
      </c>
      <c r="K72" s="22" t="n"/>
      <c r="L72" s="20" t="n"/>
      <c r="M72" s="20" t="n"/>
      <c r="N72" s="20" t="n"/>
      <c r="O72" s="20" t="n"/>
      <c r="P72" s="28" t="n"/>
      <c r="Q72" s="21">
        <f>P72</f>
        <v/>
      </c>
      <c r="R72" s="21">
        <f>Q72</f>
        <v/>
      </c>
      <c r="S72" s="18" t="n"/>
    </row>
    <row r="73" ht="18" customHeight="1" s="47">
      <c r="A73" s="48" t="n">
        <v>16</v>
      </c>
      <c r="B73" s="51" t="inlineStr">
        <is>
          <t>バリュエンス
/イチゴ</t>
        </is>
      </c>
      <c r="C73" s="31" t="inlineStr">
        <is>
          <t>58期</t>
        </is>
      </c>
      <c r="D73" s="8" t="n"/>
      <c r="E73" s="8" t="n"/>
      <c r="F73" s="8" t="n">
        <v>0.4</v>
      </c>
      <c r="G73" s="8" t="n">
        <v>4.65</v>
      </c>
      <c r="H73" s="8" t="n"/>
      <c r="I73" s="9" t="n">
        <v>1.43</v>
      </c>
      <c r="J73" s="10">
        <f>SUM(D73:I73)</f>
        <v/>
      </c>
      <c r="K73" s="11" t="n">
        <v>4.64</v>
      </c>
      <c r="L73" s="8" t="n">
        <v>8.119999999999999</v>
      </c>
      <c r="M73" s="8" t="n">
        <v>1.61</v>
      </c>
      <c r="N73" s="8" t="n"/>
      <c r="O73" s="8" t="n"/>
      <c r="P73" s="9" t="n"/>
      <c r="Q73" s="10">
        <f>SUM(K73:P73)</f>
        <v/>
      </c>
      <c r="R73" s="10">
        <f>J73+Q73</f>
        <v/>
      </c>
      <c r="S73" s="16" t="n"/>
    </row>
    <row r="74" ht="18" customHeight="1" s="47">
      <c r="A74" s="49" t="n"/>
      <c r="B74" s="52" t="n"/>
      <c r="C74" s="7" t="inlineStr">
        <is>
          <t>59期</t>
        </is>
      </c>
      <c r="D74" s="12" t="n"/>
      <c r="E74" s="12" t="n"/>
      <c r="F74" s="12" t="n"/>
      <c r="G74" s="12" t="n">
        <v>1.49</v>
      </c>
      <c r="H74" s="12" t="n"/>
      <c r="I74" s="13" t="n"/>
      <c r="J74" s="14">
        <f>SUM(D74:I74)</f>
        <v/>
      </c>
      <c r="K74" s="15" t="n"/>
      <c r="L74" s="12" t="n"/>
      <c r="M74" s="12" t="n"/>
      <c r="N74" s="12" t="n"/>
      <c r="O74" s="12" t="n"/>
      <c r="P74" s="13" t="n"/>
      <c r="Q74" s="14">
        <f>SUM(K74:P74)</f>
        <v/>
      </c>
      <c r="R74" s="14">
        <f>J74+Q74</f>
        <v/>
      </c>
      <c r="S74" s="17" t="n"/>
    </row>
    <row r="75" ht="18" customHeight="1" s="47">
      <c r="A75" s="49" t="n"/>
      <c r="B75" s="52" t="n"/>
      <c r="C75" s="23" t="inlineStr">
        <is>
          <t>増　減</t>
        </is>
      </c>
      <c r="D75" s="24">
        <f>D74-D73</f>
        <v/>
      </c>
      <c r="E75" s="24">
        <f>E74-E73</f>
        <v/>
      </c>
      <c r="F75" s="24">
        <f>F74-F73</f>
        <v/>
      </c>
      <c r="G75" s="24">
        <f>G74-G73</f>
        <v/>
      </c>
      <c r="H75" s="24">
        <f>H74-H73</f>
        <v/>
      </c>
      <c r="I75" s="27">
        <f>I74-I73</f>
        <v/>
      </c>
      <c r="J75" s="30">
        <f>SUM(D75:I75)</f>
        <v/>
      </c>
      <c r="K75" s="29">
        <f>K74-K73</f>
        <v/>
      </c>
      <c r="L75" s="24">
        <f>L74-L73</f>
        <v/>
      </c>
      <c r="M75" s="24">
        <f>M74-M73</f>
        <v/>
      </c>
      <c r="N75" s="24">
        <f>N74-N73</f>
        <v/>
      </c>
      <c r="O75" s="24">
        <f>O74-O73</f>
        <v/>
      </c>
      <c r="P75" s="27">
        <f>P74-P73</f>
        <v/>
      </c>
      <c r="Q75" s="30">
        <f>SUM(K75:P75)</f>
        <v/>
      </c>
      <c r="R75" s="30">
        <f>J75+Q75</f>
        <v/>
      </c>
      <c r="S75" s="17" t="n"/>
    </row>
    <row r="76" ht="18" customHeight="1" s="47" thickBot="1">
      <c r="A76" s="50" t="n"/>
      <c r="B76" s="53" t="n"/>
      <c r="C76" s="25" t="inlineStr">
        <is>
          <t>稼働棟数</t>
        </is>
      </c>
      <c r="D76" s="20" t="n"/>
      <c r="E76" s="20" t="n"/>
      <c r="F76" s="20" t="n"/>
      <c r="G76" s="20" t="n"/>
      <c r="H76" s="20" t="n"/>
      <c r="I76" s="28" t="n"/>
      <c r="J76" s="21">
        <f>I76</f>
        <v/>
      </c>
      <c r="K76" s="22" t="n"/>
      <c r="L76" s="20" t="n"/>
      <c r="M76" s="20" t="n"/>
      <c r="N76" s="20" t="n"/>
      <c r="O76" s="20" t="n"/>
      <c r="P76" s="28" t="n"/>
      <c r="Q76" s="21">
        <f>P76</f>
        <v/>
      </c>
      <c r="R76" s="21">
        <f>Q76</f>
        <v/>
      </c>
      <c r="S76" s="18" t="n"/>
    </row>
    <row r="77" ht="18" customHeight="1" s="47">
      <c r="A77" s="48" t="n">
        <v>17</v>
      </c>
      <c r="B77" s="51" t="inlineStr">
        <is>
          <t>Adobe
/葉物野菜</t>
        </is>
      </c>
      <c r="C77" s="31" t="inlineStr">
        <is>
          <t>58期</t>
        </is>
      </c>
      <c r="D77" s="8" t="n"/>
      <c r="E77" s="8" t="n">
        <v>0.5600000000000001</v>
      </c>
      <c r="F77" s="8" t="n">
        <v>0.95</v>
      </c>
      <c r="G77" s="8" t="n">
        <v>0.98</v>
      </c>
      <c r="H77" s="8" t="n">
        <v>2.2</v>
      </c>
      <c r="I77" s="9" t="n">
        <v>0.5</v>
      </c>
      <c r="J77" s="10">
        <f>SUM(D77:I77)</f>
        <v/>
      </c>
      <c r="K77" s="11" t="n">
        <v>1.5</v>
      </c>
      <c r="L77" s="8" t="n">
        <v>0.5</v>
      </c>
      <c r="M77" s="8" t="n">
        <v>3.54</v>
      </c>
      <c r="N77" s="8" t="n">
        <v>0.8</v>
      </c>
      <c r="O77" s="8" t="n">
        <v>0.9</v>
      </c>
      <c r="P77" s="9" t="n">
        <v>1.4</v>
      </c>
      <c r="Q77" s="10">
        <f>SUM(K77:P77)</f>
        <v/>
      </c>
      <c r="R77" s="10">
        <f>J77+Q77</f>
        <v/>
      </c>
      <c r="S77" s="16" t="n"/>
    </row>
    <row r="78" ht="18" customHeight="1" s="47">
      <c r="A78" s="49" t="n"/>
      <c r="B78" s="52" t="n"/>
      <c r="C78" s="7" t="inlineStr">
        <is>
          <t>59期</t>
        </is>
      </c>
      <c r="D78" s="12" t="n">
        <v>0.7</v>
      </c>
      <c r="E78" s="12" t="n">
        <v>1.1</v>
      </c>
      <c r="F78" s="12" t="n">
        <v>0</v>
      </c>
      <c r="G78" s="12" t="n"/>
      <c r="H78" s="12" t="n"/>
      <c r="I78" s="13" t="n"/>
      <c r="J78" s="14">
        <f>SUM(D78:I78)</f>
        <v/>
      </c>
      <c r="K78" s="15" t="n"/>
      <c r="L78" s="12" t="n"/>
      <c r="M78" s="12" t="n"/>
      <c r="N78" s="12" t="n"/>
      <c r="O78" s="12" t="n"/>
      <c r="P78" s="13" t="n"/>
      <c r="Q78" s="14">
        <f>SUM(K78:P78)</f>
        <v/>
      </c>
      <c r="R78" s="14">
        <f>J78+Q78</f>
        <v/>
      </c>
      <c r="S78" s="17" t="n"/>
    </row>
    <row r="79" ht="18" customHeight="1" s="47">
      <c r="A79" s="49" t="n"/>
      <c r="B79" s="52" t="n"/>
      <c r="C79" s="23" t="inlineStr">
        <is>
          <t>増　減</t>
        </is>
      </c>
      <c r="D79" s="24">
        <f>D78-D77</f>
        <v/>
      </c>
      <c r="E79" s="24">
        <f>E78-E77</f>
        <v/>
      </c>
      <c r="F79" s="24">
        <f>F78-F77</f>
        <v/>
      </c>
      <c r="G79" s="24">
        <f>G78-G77</f>
        <v/>
      </c>
      <c r="H79" s="24">
        <f>H78-H77</f>
        <v/>
      </c>
      <c r="I79" s="27">
        <f>I78-I77</f>
        <v/>
      </c>
      <c r="J79" s="30">
        <f>SUM(D79:I79)</f>
        <v/>
      </c>
      <c r="K79" s="29">
        <f>K78-K77</f>
        <v/>
      </c>
      <c r="L79" s="24">
        <f>L78-L77</f>
        <v/>
      </c>
      <c r="M79" s="24">
        <f>M78-M77</f>
        <v/>
      </c>
      <c r="N79" s="24">
        <f>N78-N77</f>
        <v/>
      </c>
      <c r="O79" s="24">
        <f>O78-O77</f>
        <v/>
      </c>
      <c r="P79" s="27">
        <f>P78-P77</f>
        <v/>
      </c>
      <c r="Q79" s="30">
        <f>SUM(K79:P79)</f>
        <v/>
      </c>
      <c r="R79" s="30">
        <f>J79+Q79</f>
        <v/>
      </c>
      <c r="S79" s="17" t="n"/>
    </row>
    <row r="80" ht="18" customHeight="1" s="47" thickBot="1">
      <c r="A80" s="50" t="n"/>
      <c r="B80" s="53" t="n"/>
      <c r="C80" s="25" t="inlineStr">
        <is>
          <t>稼働棟数</t>
        </is>
      </c>
      <c r="D80" s="20" t="n"/>
      <c r="E80" s="20" t="n"/>
      <c r="F80" s="20" t="n"/>
      <c r="G80" s="20" t="n"/>
      <c r="H80" s="20" t="n"/>
      <c r="I80" s="28" t="n"/>
      <c r="J80" s="21">
        <f>I80</f>
        <v/>
      </c>
      <c r="K80" s="22" t="n"/>
      <c r="L80" s="20" t="n"/>
      <c r="M80" s="20" t="n"/>
      <c r="N80" s="20" t="n"/>
      <c r="O80" s="20" t="n"/>
      <c r="P80" s="28" t="n"/>
      <c r="Q80" s="21">
        <f>P80</f>
        <v/>
      </c>
      <c r="R80" s="21">
        <f>Q80</f>
        <v/>
      </c>
      <c r="S80" s="18" t="n"/>
    </row>
    <row r="81" ht="18" customHeight="1" s="47">
      <c r="A81" s="48" t="n">
        <v>18</v>
      </c>
      <c r="B81" s="51" t="inlineStr">
        <is>
          <t>Adobe
/イチゴ</t>
        </is>
      </c>
      <c r="C81" s="31" t="inlineStr">
        <is>
          <t>58期</t>
        </is>
      </c>
      <c r="D81" s="8" t="n"/>
      <c r="E81" s="8" t="n">
        <v>0.24</v>
      </c>
      <c r="F81" s="8" t="n">
        <v>12.43</v>
      </c>
      <c r="G81" s="8" t="n">
        <v>7.47</v>
      </c>
      <c r="H81" s="8" t="n">
        <v>2.78</v>
      </c>
      <c r="I81" s="9" t="n">
        <v>0.5</v>
      </c>
      <c r="J81" s="10">
        <f>SUM(D81:I81)</f>
        <v/>
      </c>
      <c r="K81" s="11" t="n">
        <v>10.27</v>
      </c>
      <c r="L81" s="8" t="n">
        <v>6.52</v>
      </c>
      <c r="M81" s="8" t="n">
        <v>0.74</v>
      </c>
      <c r="N81" s="8" t="n"/>
      <c r="O81" s="8" t="n"/>
      <c r="P81" s="9" t="n"/>
      <c r="Q81" s="10">
        <f>SUM(K81:P81)</f>
        <v/>
      </c>
      <c r="R81" s="10">
        <f>J81+Q81</f>
        <v/>
      </c>
      <c r="S81" s="16" t="n"/>
    </row>
    <row r="82" ht="18" customHeight="1" s="47">
      <c r="A82" s="49" t="n"/>
      <c r="B82" s="52" t="n"/>
      <c r="C82" s="7" t="inlineStr">
        <is>
          <t>59期</t>
        </is>
      </c>
      <c r="D82" s="12" t="n"/>
      <c r="E82" s="12" t="n"/>
      <c r="F82" s="12" t="n"/>
      <c r="G82" s="12" t="n">
        <v>1.62</v>
      </c>
      <c r="H82" s="12" t="n"/>
      <c r="I82" s="13" t="n"/>
      <c r="J82" s="14">
        <f>SUM(D82:I82)</f>
        <v/>
      </c>
      <c r="K82" s="15" t="n"/>
      <c r="L82" s="12" t="n"/>
      <c r="M82" s="12" t="n"/>
      <c r="N82" s="12" t="n"/>
      <c r="O82" s="12" t="n"/>
      <c r="P82" s="13" t="n"/>
      <c r="Q82" s="14">
        <f>SUM(K82:P82)</f>
        <v/>
      </c>
      <c r="R82" s="14">
        <f>J82+Q82</f>
        <v/>
      </c>
      <c r="S82" s="17" t="n"/>
    </row>
    <row r="83" ht="18" customHeight="1" s="47">
      <c r="A83" s="49" t="n"/>
      <c r="B83" s="52" t="n"/>
      <c r="C83" s="23" t="inlineStr">
        <is>
          <t>増　減</t>
        </is>
      </c>
      <c r="D83" s="24">
        <f>D82-D81</f>
        <v/>
      </c>
      <c r="E83" s="24">
        <f>E82-E81</f>
        <v/>
      </c>
      <c r="F83" s="24">
        <f>F82-F81</f>
        <v/>
      </c>
      <c r="G83" s="24">
        <f>G82-G81</f>
        <v/>
      </c>
      <c r="H83" s="24">
        <f>H82-H81</f>
        <v/>
      </c>
      <c r="I83" s="27">
        <f>I82-I81</f>
        <v/>
      </c>
      <c r="J83" s="30">
        <f>SUM(D83:I83)</f>
        <v/>
      </c>
      <c r="K83" s="29">
        <f>K82-K81</f>
        <v/>
      </c>
      <c r="L83" s="24">
        <f>L82-L81</f>
        <v/>
      </c>
      <c r="M83" s="24">
        <f>M82-M81</f>
        <v/>
      </c>
      <c r="N83" s="24">
        <f>N82-N81</f>
        <v/>
      </c>
      <c r="O83" s="24">
        <f>O82-O81</f>
        <v/>
      </c>
      <c r="P83" s="27">
        <f>P82-P81</f>
        <v/>
      </c>
      <c r="Q83" s="30">
        <f>SUM(K83:P83)</f>
        <v/>
      </c>
      <c r="R83" s="30">
        <f>J83+Q83</f>
        <v/>
      </c>
      <c r="S83" s="17" t="n"/>
    </row>
    <row r="84" ht="18" customHeight="1" s="47" thickBot="1">
      <c r="A84" s="50" t="n"/>
      <c r="B84" s="53" t="n"/>
      <c r="C84" s="25" t="inlineStr">
        <is>
          <t>稼働棟数</t>
        </is>
      </c>
      <c r="D84" s="20" t="n"/>
      <c r="E84" s="20" t="n"/>
      <c r="F84" s="20" t="n"/>
      <c r="G84" s="20" t="n"/>
      <c r="H84" s="20" t="n"/>
      <c r="I84" s="28" t="n"/>
      <c r="J84" s="21">
        <f>I84</f>
        <v/>
      </c>
      <c r="K84" s="22" t="n"/>
      <c r="L84" s="20" t="n"/>
      <c r="M84" s="20" t="n"/>
      <c r="N84" s="20" t="n"/>
      <c r="O84" s="20" t="n"/>
      <c r="P84" s="28" t="n"/>
      <c r="Q84" s="21">
        <f>P84</f>
        <v/>
      </c>
      <c r="R84" s="21">
        <f>Q84</f>
        <v/>
      </c>
      <c r="S84" s="18" t="n"/>
    </row>
    <row r="85" ht="18" customHeight="1" s="47">
      <c r="A85" s="48" t="n">
        <v>19</v>
      </c>
      <c r="B85" s="51" t="inlineStr">
        <is>
          <t>富士機材
/葉物野菜</t>
        </is>
      </c>
      <c r="C85" s="31" t="inlineStr">
        <is>
          <t>58期</t>
        </is>
      </c>
      <c r="D85" s="8" t="n"/>
      <c r="E85" s="8" t="n"/>
      <c r="F85" s="8" t="n">
        <v>0.45</v>
      </c>
      <c r="G85" s="8" t="n">
        <v>0.75</v>
      </c>
      <c r="H85" s="8" t="n">
        <v>0.45</v>
      </c>
      <c r="I85" s="9" t="n"/>
      <c r="J85" s="10">
        <f>SUM(D85:I85)</f>
        <v/>
      </c>
      <c r="K85" s="11" t="n"/>
      <c r="L85" s="8" t="n">
        <v>0.68</v>
      </c>
      <c r="M85" s="8" t="n">
        <v>13.18</v>
      </c>
      <c r="N85" s="8" t="n">
        <v>2.18</v>
      </c>
      <c r="O85" s="8" t="n">
        <v>0.54</v>
      </c>
      <c r="P85" s="9" t="n">
        <v>0.5</v>
      </c>
      <c r="Q85" s="10">
        <f>SUM(K85:P85)</f>
        <v/>
      </c>
      <c r="R85" s="10">
        <f>J85+Q85</f>
        <v/>
      </c>
      <c r="S85" s="16" t="n"/>
    </row>
    <row r="86" ht="18" customHeight="1" s="47">
      <c r="A86" s="49" t="n"/>
      <c r="B86" s="52" t="n"/>
      <c r="C86" s="7" t="inlineStr">
        <is>
          <t>59期</t>
        </is>
      </c>
      <c r="D86" s="12" t="n">
        <v>1.48</v>
      </c>
      <c r="E86" s="12" t="n">
        <v>0.76</v>
      </c>
      <c r="F86" s="12" t="n"/>
      <c r="G86" s="12" t="n"/>
      <c r="H86" s="12" t="n"/>
      <c r="I86" s="13" t="n"/>
      <c r="J86" s="14">
        <f>SUM(D86:I86)</f>
        <v/>
      </c>
      <c r="K86" s="15" t="n"/>
      <c r="L86" s="12" t="n"/>
      <c r="M86" s="12" t="n"/>
      <c r="N86" s="12" t="n"/>
      <c r="O86" s="12" t="n"/>
      <c r="P86" s="13" t="n"/>
      <c r="Q86" s="14">
        <f>SUM(K86:P86)</f>
        <v/>
      </c>
      <c r="R86" s="14">
        <f>J86+Q86</f>
        <v/>
      </c>
      <c r="S86" s="17" t="n"/>
    </row>
    <row r="87" ht="18" customHeight="1" s="47">
      <c r="A87" s="49" t="n"/>
      <c r="B87" s="52" t="n"/>
      <c r="C87" s="23" t="inlineStr">
        <is>
          <t>増　減</t>
        </is>
      </c>
      <c r="D87" s="24">
        <f>D86-D85</f>
        <v/>
      </c>
      <c r="E87" s="24">
        <f>E86-E85</f>
        <v/>
      </c>
      <c r="F87" s="24">
        <f>F86-F85</f>
        <v/>
      </c>
      <c r="G87" s="24">
        <f>G86-G85</f>
        <v/>
      </c>
      <c r="H87" s="24">
        <f>H86-H85</f>
        <v/>
      </c>
      <c r="I87" s="27">
        <f>I86-I85</f>
        <v/>
      </c>
      <c r="J87" s="30">
        <f>SUM(D87:I87)</f>
        <v/>
      </c>
      <c r="K87" s="29">
        <f>K86-K85</f>
        <v/>
      </c>
      <c r="L87" s="24">
        <f>L86-L85</f>
        <v/>
      </c>
      <c r="M87" s="24">
        <f>M86-M85</f>
        <v/>
      </c>
      <c r="N87" s="24">
        <f>N86-N85</f>
        <v/>
      </c>
      <c r="O87" s="24">
        <f>O86-O85</f>
        <v/>
      </c>
      <c r="P87" s="27">
        <f>P86-P85</f>
        <v/>
      </c>
      <c r="Q87" s="30">
        <f>SUM(K87:P87)</f>
        <v/>
      </c>
      <c r="R87" s="30">
        <f>J87+Q87</f>
        <v/>
      </c>
      <c r="S87" s="17" t="n"/>
    </row>
    <row r="88" ht="18" customHeight="1" s="47" thickBot="1">
      <c r="A88" s="50" t="n"/>
      <c r="B88" s="53" t="n"/>
      <c r="C88" s="25" t="inlineStr">
        <is>
          <t>稼働棟数</t>
        </is>
      </c>
      <c r="D88" s="20" t="n"/>
      <c r="E88" s="20" t="n"/>
      <c r="F88" s="20" t="n"/>
      <c r="G88" s="20" t="n"/>
      <c r="H88" s="20" t="n"/>
      <c r="I88" s="28" t="n"/>
      <c r="J88" s="21">
        <f>I88</f>
        <v/>
      </c>
      <c r="K88" s="22" t="n"/>
      <c r="L88" s="20" t="n"/>
      <c r="M88" s="20" t="n"/>
      <c r="N88" s="20" t="n"/>
      <c r="O88" s="20" t="n"/>
      <c r="P88" s="28" t="n"/>
      <c r="Q88" s="21">
        <f>P88</f>
        <v/>
      </c>
      <c r="R88" s="21">
        <f>Q88</f>
        <v/>
      </c>
      <c r="S88" s="18" t="n"/>
    </row>
    <row r="89" ht="18" customHeight="1" s="47">
      <c r="A89" s="48" t="n">
        <v>20</v>
      </c>
      <c r="B89" s="51" t="inlineStr">
        <is>
          <t>富士機材
/イチゴ</t>
        </is>
      </c>
      <c r="C89" s="31" t="inlineStr">
        <is>
          <t>58期</t>
        </is>
      </c>
      <c r="D89" s="8" t="n"/>
      <c r="E89" s="8" t="n"/>
      <c r="F89" s="8" t="n"/>
      <c r="G89" s="8" t="n">
        <v>1.31</v>
      </c>
      <c r="H89" s="8" t="n">
        <v>3.4</v>
      </c>
      <c r="I89" s="9" t="n">
        <v>3.12</v>
      </c>
      <c r="J89" s="10">
        <f>SUM(D89:I89)</f>
        <v/>
      </c>
      <c r="K89" s="11" t="n">
        <v>6.9</v>
      </c>
      <c r="L89" s="8" t="n">
        <v>7.69</v>
      </c>
      <c r="M89" s="8" t="n">
        <v>4</v>
      </c>
      <c r="N89" s="8" t="n"/>
      <c r="O89" s="8" t="n"/>
      <c r="P89" s="9" t="n"/>
      <c r="Q89" s="10">
        <f>SUM(K89:P89)</f>
        <v/>
      </c>
      <c r="R89" s="10">
        <f>J89+Q89</f>
        <v/>
      </c>
      <c r="S89" s="16" t="n"/>
    </row>
    <row r="90" ht="18" customHeight="1" s="47">
      <c r="A90" s="49" t="n"/>
      <c r="B90" s="52" t="n"/>
      <c r="C90" s="7" t="inlineStr">
        <is>
          <t>59期</t>
        </is>
      </c>
      <c r="D90" s="12" t="n"/>
      <c r="E90" s="12" t="n"/>
      <c r="F90" s="12" t="n"/>
      <c r="G90" s="12" t="n"/>
      <c r="H90" s="12" t="n"/>
      <c r="I90" s="13" t="n"/>
      <c r="J90" s="14">
        <f>SUM(D90:I90)</f>
        <v/>
      </c>
      <c r="K90" s="15" t="n"/>
      <c r="L90" s="12" t="n"/>
      <c r="M90" s="12" t="n"/>
      <c r="N90" s="12" t="n"/>
      <c r="O90" s="12" t="n"/>
      <c r="P90" s="13" t="n"/>
      <c r="Q90" s="14">
        <f>SUM(K90:P90)</f>
        <v/>
      </c>
      <c r="R90" s="14">
        <f>J90+Q90</f>
        <v/>
      </c>
      <c r="S90" s="17" t="n"/>
    </row>
    <row r="91" ht="18" customHeight="1" s="47">
      <c r="A91" s="49" t="n"/>
      <c r="B91" s="52" t="n"/>
      <c r="C91" s="23" t="inlineStr">
        <is>
          <t>増　減</t>
        </is>
      </c>
      <c r="D91" s="24">
        <f>D90-D89</f>
        <v/>
      </c>
      <c r="E91" s="24">
        <f>E90-E89</f>
        <v/>
      </c>
      <c r="F91" s="24">
        <f>F90-F89</f>
        <v/>
      </c>
      <c r="G91" s="24">
        <f>G90-G89</f>
        <v/>
      </c>
      <c r="H91" s="24">
        <f>H90-H89</f>
        <v/>
      </c>
      <c r="I91" s="27">
        <f>I90-I89</f>
        <v/>
      </c>
      <c r="J91" s="30">
        <f>SUM(D91:I91)</f>
        <v/>
      </c>
      <c r="K91" s="29">
        <f>K90-K89</f>
        <v/>
      </c>
      <c r="L91" s="24">
        <f>L90-L89</f>
        <v/>
      </c>
      <c r="M91" s="24">
        <f>M90-M89</f>
        <v/>
      </c>
      <c r="N91" s="24">
        <f>N90-N89</f>
        <v/>
      </c>
      <c r="O91" s="24">
        <f>O90-O89</f>
        <v/>
      </c>
      <c r="P91" s="27">
        <f>P90-P89</f>
        <v/>
      </c>
      <c r="Q91" s="30">
        <f>SUM(K91:P91)</f>
        <v/>
      </c>
      <c r="R91" s="30">
        <f>J91+Q91</f>
        <v/>
      </c>
      <c r="S91" s="17" t="n"/>
    </row>
    <row r="92" ht="18" customHeight="1" s="47" thickBot="1">
      <c r="A92" s="50" t="n"/>
      <c r="B92" s="53" t="n"/>
      <c r="C92" s="25" t="inlineStr">
        <is>
          <t>稼働棟数</t>
        </is>
      </c>
      <c r="D92" s="20" t="n"/>
      <c r="E92" s="20" t="n"/>
      <c r="F92" s="20" t="n"/>
      <c r="G92" s="20" t="n"/>
      <c r="H92" s="20" t="n"/>
      <c r="I92" s="28" t="n"/>
      <c r="J92" s="21">
        <f>I92</f>
        <v/>
      </c>
      <c r="K92" s="22" t="n"/>
      <c r="L92" s="20" t="n"/>
      <c r="M92" s="20" t="n"/>
      <c r="N92" s="20" t="n"/>
      <c r="O92" s="20" t="n"/>
      <c r="P92" s="28" t="n"/>
      <c r="Q92" s="21">
        <f>P92</f>
        <v/>
      </c>
      <c r="R92" s="21">
        <f>Q92</f>
        <v/>
      </c>
      <c r="S92" s="18" t="n"/>
    </row>
    <row r="93" ht="18" customHeight="1" s="47" thickBot="1">
      <c r="A93" s="58" t="n">
        <v>20</v>
      </c>
      <c r="B93" s="56" t="inlineStr">
        <is>
          <t>NaITO
/イチゴ</t>
        </is>
      </c>
      <c r="C93" s="31" t="inlineStr">
        <is>
          <t>58期</t>
        </is>
      </c>
      <c r="D93" s="8" t="n"/>
      <c r="E93" s="8" t="n"/>
      <c r="F93" s="8" t="n"/>
      <c r="G93" s="8" t="n">
        <v>3.45</v>
      </c>
      <c r="H93" s="8" t="n">
        <v>1.24</v>
      </c>
      <c r="I93" s="9" t="n"/>
      <c r="J93" s="10">
        <f>SUM(D93:I93)</f>
        <v/>
      </c>
      <c r="K93" s="11" t="n">
        <v>1.69</v>
      </c>
      <c r="L93" s="8" t="n">
        <v>2.87</v>
      </c>
      <c r="M93" s="8" t="n">
        <v>0.3</v>
      </c>
      <c r="N93" s="8" t="n"/>
      <c r="O93" s="8" t="n"/>
      <c r="P93" s="9" t="n"/>
      <c r="Q93" s="10">
        <f>SUM(K93:P93)</f>
        <v/>
      </c>
      <c r="R93" s="10">
        <f>J93+Q93</f>
        <v/>
      </c>
      <c r="S93" s="16" t="n"/>
    </row>
    <row r="94" ht="18" customHeight="1" s="47">
      <c r="A94" s="49" t="n"/>
      <c r="B94" s="52" t="n"/>
      <c r="C94" s="7" t="inlineStr">
        <is>
          <t>59期</t>
        </is>
      </c>
      <c r="D94" s="12" t="n"/>
      <c r="E94" s="12" t="n"/>
      <c r="F94" s="12" t="n"/>
      <c r="G94" s="12" t="n"/>
      <c r="H94" s="12" t="n"/>
      <c r="I94" s="13" t="n"/>
      <c r="J94" s="14">
        <f>SUM(D94:I94)</f>
        <v/>
      </c>
      <c r="K94" s="15" t="n"/>
      <c r="L94" s="12" t="n"/>
      <c r="M94" s="12" t="n"/>
      <c r="N94" s="12" t="n"/>
      <c r="O94" s="12" t="n"/>
      <c r="P94" s="13" t="n"/>
      <c r="Q94" s="14">
        <f>SUM(K94:P94)</f>
        <v/>
      </c>
      <c r="R94" s="14">
        <f>J94+Q94</f>
        <v/>
      </c>
      <c r="S94" s="17" t="n"/>
    </row>
    <row r="95" ht="18" customHeight="1" s="47">
      <c r="A95" s="49" t="n"/>
      <c r="B95" s="52" t="n"/>
      <c r="C95" s="23" t="inlineStr">
        <is>
          <t>増　減</t>
        </is>
      </c>
      <c r="D95" s="24">
        <f>D94-D93</f>
        <v/>
      </c>
      <c r="E95" s="24">
        <f>E94-E93</f>
        <v/>
      </c>
      <c r="F95" s="24">
        <f>F94-F93</f>
        <v/>
      </c>
      <c r="G95" s="24">
        <f>G94-G93</f>
        <v/>
      </c>
      <c r="H95" s="24">
        <f>H94-H93</f>
        <v/>
      </c>
      <c r="I95" s="27">
        <f>I94-I93</f>
        <v/>
      </c>
      <c r="J95" s="30">
        <f>SUM(D95:I95)</f>
        <v/>
      </c>
      <c r="K95" s="29">
        <f>K94-K93</f>
        <v/>
      </c>
      <c r="L95" s="24">
        <f>L94-L93</f>
        <v/>
      </c>
      <c r="M95" s="24">
        <f>M94-M93</f>
        <v/>
      </c>
      <c r="N95" s="24">
        <f>N94-N93</f>
        <v/>
      </c>
      <c r="O95" s="24">
        <f>O94-O93</f>
        <v/>
      </c>
      <c r="P95" s="27">
        <f>P94-P93</f>
        <v/>
      </c>
      <c r="Q95" s="30">
        <f>SUM(K95:P95)</f>
        <v/>
      </c>
      <c r="R95" s="30">
        <f>J95+Q95</f>
        <v/>
      </c>
      <c r="S95" s="17" t="n"/>
    </row>
    <row r="96" ht="18" customHeight="1" s="47" thickBot="1">
      <c r="A96" s="59" t="n"/>
      <c r="B96" s="57" t="n"/>
      <c r="C96" s="25" t="inlineStr">
        <is>
          <t>稼働棟数</t>
        </is>
      </c>
      <c r="D96" s="20" t="n"/>
      <c r="E96" s="20" t="n"/>
      <c r="F96" s="20" t="n"/>
      <c r="G96" s="20" t="n"/>
      <c r="H96" s="20" t="n"/>
      <c r="I96" s="28" t="n"/>
      <c r="J96" s="21">
        <f>I96</f>
        <v/>
      </c>
      <c r="K96" s="22" t="n"/>
      <c r="L96" s="20" t="n"/>
      <c r="M96" s="20" t="n"/>
      <c r="N96" s="20" t="n"/>
      <c r="O96" s="20" t="n"/>
      <c r="P96" s="28" t="n"/>
      <c r="Q96" s="21">
        <f>P96</f>
        <v/>
      </c>
      <c r="R96" s="21">
        <f>Q96</f>
        <v/>
      </c>
      <c r="S96" s="18" t="n"/>
    </row>
    <row r="97" ht="18" customHeight="1" s="47" thickBot="1">
      <c r="A97" s="58" t="n">
        <v>20</v>
      </c>
      <c r="B97" s="56" t="inlineStr">
        <is>
          <t>NaITO
/葉物野菜</t>
        </is>
      </c>
      <c r="C97" s="31" t="inlineStr">
        <is>
          <t>58期</t>
        </is>
      </c>
      <c r="D97" s="8" t="n"/>
      <c r="E97" s="8" t="n"/>
      <c r="F97" s="8" t="n"/>
      <c r="G97" s="8" t="n"/>
      <c r="H97" s="8" t="n"/>
      <c r="I97" s="9" t="n"/>
      <c r="J97" s="10">
        <f>SUM(D97:I97)</f>
        <v/>
      </c>
      <c r="K97" s="11" t="n"/>
      <c r="L97" s="8" t="n"/>
      <c r="M97" s="8" t="n">
        <v>3.84</v>
      </c>
      <c r="N97" s="8" t="n">
        <v>3.3</v>
      </c>
      <c r="O97" s="8" t="n"/>
      <c r="P97" s="9" t="n"/>
      <c r="Q97" s="10">
        <f>SUM(K97:P97)</f>
        <v/>
      </c>
      <c r="R97" s="10">
        <f>J97+Q97</f>
        <v/>
      </c>
      <c r="S97" s="16" t="n"/>
    </row>
    <row r="98" ht="18" customHeight="1" s="47">
      <c r="A98" s="49" t="n"/>
      <c r="B98" s="52" t="n"/>
      <c r="C98" s="7" t="inlineStr">
        <is>
          <t>59期</t>
        </is>
      </c>
      <c r="D98" s="12" t="n"/>
      <c r="E98" s="12" t="n"/>
      <c r="F98" s="12" t="n"/>
      <c r="G98" s="12" t="n">
        <v>0.96</v>
      </c>
      <c r="H98" s="12" t="n"/>
      <c r="I98" s="13" t="n"/>
      <c r="J98" s="14">
        <f>SUM(D98:I98)</f>
        <v/>
      </c>
      <c r="K98" s="15" t="n"/>
      <c r="L98" s="12" t="n"/>
      <c r="M98" s="12" t="n"/>
      <c r="N98" s="12" t="n"/>
      <c r="O98" s="12" t="n"/>
      <c r="P98" s="13" t="n"/>
      <c r="Q98" s="14">
        <f>SUM(K98:P98)</f>
        <v/>
      </c>
      <c r="R98" s="14">
        <f>J98+Q98</f>
        <v/>
      </c>
      <c r="S98" s="17" t="n"/>
    </row>
    <row r="99" ht="18" customHeight="1" s="47">
      <c r="A99" s="49" t="n"/>
      <c r="B99" s="52" t="n"/>
      <c r="C99" s="23" t="inlineStr">
        <is>
          <t>増　減</t>
        </is>
      </c>
      <c r="D99" s="24">
        <f>D98-D97</f>
        <v/>
      </c>
      <c r="E99" s="24">
        <f>E98-E97</f>
        <v/>
      </c>
      <c r="F99" s="24">
        <f>F98-F97</f>
        <v/>
      </c>
      <c r="G99" s="24">
        <f>G98-G97</f>
        <v/>
      </c>
      <c r="H99" s="24">
        <f>H98-H97</f>
        <v/>
      </c>
      <c r="I99" s="27">
        <f>I98-I97</f>
        <v/>
      </c>
      <c r="J99" s="30">
        <f>SUM(D99:I99)</f>
        <v/>
      </c>
      <c r="K99" s="29">
        <f>K98-K97</f>
        <v/>
      </c>
      <c r="L99" s="24">
        <f>L98-L97</f>
        <v/>
      </c>
      <c r="M99" s="24">
        <f>M98-M97</f>
        <v/>
      </c>
      <c r="N99" s="24">
        <f>N98-N97</f>
        <v/>
      </c>
      <c r="O99" s="24">
        <f>O98-O97</f>
        <v/>
      </c>
      <c r="P99" s="27">
        <f>P98-P97</f>
        <v/>
      </c>
      <c r="Q99" s="30">
        <f>SUM(K99:P99)</f>
        <v/>
      </c>
      <c r="R99" s="30">
        <f>J99+Q99</f>
        <v/>
      </c>
      <c r="S99" s="17" t="n"/>
    </row>
    <row r="100" ht="18" customHeight="1" s="47" thickBot="1">
      <c r="A100" s="59" t="n"/>
      <c r="B100" s="57" t="n"/>
      <c r="C100" s="25" t="inlineStr">
        <is>
          <t>稼働棟数</t>
        </is>
      </c>
      <c r="D100" s="20" t="n"/>
      <c r="E100" s="20" t="n"/>
      <c r="F100" s="20" t="n"/>
      <c r="G100" s="20" t="n"/>
      <c r="H100" s="20" t="n"/>
      <c r="I100" s="28" t="n"/>
      <c r="J100" s="21">
        <f>I100</f>
        <v/>
      </c>
      <c r="K100" s="22" t="n"/>
      <c r="L100" s="20" t="n"/>
      <c r="M100" s="20" t="n"/>
      <c r="N100" s="20" t="n"/>
      <c r="O100" s="20" t="n"/>
      <c r="P100" s="28" t="n"/>
      <c r="Q100" s="21">
        <f>P100</f>
        <v/>
      </c>
      <c r="R100" s="21">
        <f>Q100</f>
        <v/>
      </c>
      <c r="S100" s="18" t="n"/>
    </row>
    <row r="101" ht="18" customHeight="1" s="47">
      <c r="A101" s="48" t="n">
        <v>21</v>
      </c>
      <c r="B101" s="51" t="inlineStr">
        <is>
          <t>マルテー
/葉物野菜</t>
        </is>
      </c>
      <c r="C101" s="31" t="inlineStr">
        <is>
          <t>58期</t>
        </is>
      </c>
      <c r="D101" s="8" t="n">
        <v>0.27</v>
      </c>
      <c r="E101" s="8" t="n">
        <v>3.21</v>
      </c>
      <c r="F101" s="8" t="n">
        <v>3.61</v>
      </c>
      <c r="G101" s="8" t="n">
        <v>4.57</v>
      </c>
      <c r="H101" s="8" t="n">
        <v>2.89</v>
      </c>
      <c r="I101" s="9" t="n">
        <v>15.04</v>
      </c>
      <c r="J101" s="10">
        <f>SUM(D101:I101)</f>
        <v/>
      </c>
      <c r="K101" s="11" t="n"/>
      <c r="L101" s="8" t="n">
        <v>5.54</v>
      </c>
      <c r="M101" s="8" t="n">
        <v>0.14</v>
      </c>
      <c r="N101" s="8" t="n"/>
      <c r="O101" s="8" t="n"/>
      <c r="P101" s="9" t="n"/>
      <c r="Q101" s="10">
        <f>SUM(K101:P101)</f>
        <v/>
      </c>
      <c r="R101" s="10">
        <f>J101+Q101</f>
        <v/>
      </c>
      <c r="S101" s="16" t="n"/>
    </row>
    <row r="102" ht="18" customHeight="1" s="47">
      <c r="A102" s="49" t="n"/>
      <c r="B102" s="52" t="n"/>
      <c r="C102" s="7" t="inlineStr">
        <is>
          <t>59期</t>
        </is>
      </c>
      <c r="D102" s="12" t="n"/>
      <c r="E102" s="12" t="n"/>
      <c r="F102" s="12" t="n"/>
      <c r="G102" s="12" t="n"/>
      <c r="H102" s="12" t="n"/>
      <c r="I102" s="13" t="n"/>
      <c r="J102" s="14">
        <f>SUM(D102:I102)</f>
        <v/>
      </c>
      <c r="K102" s="15" t="n"/>
      <c r="L102" s="12" t="n"/>
      <c r="M102" s="12" t="n"/>
      <c r="N102" s="12" t="n"/>
      <c r="O102" s="12" t="n"/>
      <c r="P102" s="13" t="n"/>
      <c r="Q102" s="14">
        <f>SUM(K102:P102)</f>
        <v/>
      </c>
      <c r="R102" s="14">
        <f>J102+Q102</f>
        <v/>
      </c>
      <c r="S102" s="17" t="n"/>
    </row>
    <row r="103" ht="18" customHeight="1" s="47">
      <c r="A103" s="49" t="n"/>
      <c r="B103" s="52" t="n"/>
      <c r="C103" s="23" t="inlineStr">
        <is>
          <t>増　減</t>
        </is>
      </c>
      <c r="D103" s="24">
        <f>D102-D101</f>
        <v/>
      </c>
      <c r="E103" s="24">
        <f>E102-E101</f>
        <v/>
      </c>
      <c r="F103" s="24">
        <f>F102-F101</f>
        <v/>
      </c>
      <c r="G103" s="24">
        <f>G102-G101</f>
        <v/>
      </c>
      <c r="H103" s="24">
        <f>H102-H101</f>
        <v/>
      </c>
      <c r="I103" s="27">
        <f>I102-I101</f>
        <v/>
      </c>
      <c r="J103" s="30">
        <f>SUM(D103:I103)</f>
        <v/>
      </c>
      <c r="K103" s="29">
        <f>K102-K101</f>
        <v/>
      </c>
      <c r="L103" s="24">
        <f>L102-L101</f>
        <v/>
      </c>
      <c r="M103" s="24">
        <f>M102-M101</f>
        <v/>
      </c>
      <c r="N103" s="24">
        <f>N102-N101</f>
        <v/>
      </c>
      <c r="O103" s="24">
        <f>O102-O101</f>
        <v/>
      </c>
      <c r="P103" s="27">
        <f>P102-P101</f>
        <v/>
      </c>
      <c r="Q103" s="30">
        <f>SUM(K103:P103)</f>
        <v/>
      </c>
      <c r="R103" s="30">
        <f>J103+Q103</f>
        <v/>
      </c>
      <c r="S103" s="17" t="n"/>
    </row>
    <row r="104" ht="18" customHeight="1" s="47" thickBot="1">
      <c r="A104" s="50" t="n"/>
      <c r="B104" s="53" t="n"/>
      <c r="C104" s="25" t="inlineStr">
        <is>
          <t>稼働棟数</t>
        </is>
      </c>
      <c r="D104" s="20" t="n"/>
      <c r="E104" s="20" t="n"/>
      <c r="F104" s="20" t="n"/>
      <c r="G104" s="20" t="n"/>
      <c r="H104" s="20" t="n"/>
      <c r="I104" s="28" t="n"/>
      <c r="J104" s="21">
        <f>I104</f>
        <v/>
      </c>
      <c r="K104" s="22" t="n"/>
      <c r="L104" s="20" t="n"/>
      <c r="M104" s="20" t="n"/>
      <c r="N104" s="20" t="n"/>
      <c r="O104" s="20" t="n"/>
      <c r="P104" s="28" t="n"/>
      <c r="Q104" s="21">
        <f>P104</f>
        <v/>
      </c>
      <c r="R104" s="21">
        <f>Q104</f>
        <v/>
      </c>
      <c r="S104" s="18" t="n"/>
    </row>
    <row r="105" ht="18" customHeight="1" s="47">
      <c r="A105" s="48" t="n">
        <v>22</v>
      </c>
      <c r="B105" s="51" t="inlineStr">
        <is>
          <t>マルテー
/イチゴ</t>
        </is>
      </c>
      <c r="C105" s="31" t="inlineStr">
        <is>
          <t>58期</t>
        </is>
      </c>
      <c r="D105" s="8" t="n">
        <v>0.1</v>
      </c>
      <c r="E105" s="8" t="n">
        <v>1.13</v>
      </c>
      <c r="F105" s="8" t="n">
        <v>2.96</v>
      </c>
      <c r="G105" s="8" t="n">
        <v>17.57</v>
      </c>
      <c r="H105" s="8" t="n">
        <v>20.52</v>
      </c>
      <c r="I105" s="9" t="n">
        <v>11.71</v>
      </c>
      <c r="J105" s="10">
        <f>SUM(D105:I105)</f>
        <v/>
      </c>
      <c r="K105" s="11" t="n">
        <v>7.27</v>
      </c>
      <c r="L105" s="8" t="n">
        <v>0.8</v>
      </c>
      <c r="M105" s="8" t="n">
        <v>1.83</v>
      </c>
      <c r="N105" s="8" t="n">
        <v>1.12</v>
      </c>
      <c r="O105" s="8" t="n"/>
      <c r="P105" s="9" t="n"/>
      <c r="Q105" s="10">
        <f>SUM(K105:P105)</f>
        <v/>
      </c>
      <c r="R105" s="10">
        <f>J105+Q105</f>
        <v/>
      </c>
      <c r="S105" s="16" t="n"/>
    </row>
    <row r="106" ht="18" customHeight="1" s="47">
      <c r="A106" s="49" t="n"/>
      <c r="B106" s="52" t="n"/>
      <c r="C106" s="7" t="inlineStr">
        <is>
          <t>59期</t>
        </is>
      </c>
      <c r="D106" s="12" t="n"/>
      <c r="E106" s="12" t="n"/>
      <c r="F106" s="12" t="n"/>
      <c r="G106" s="12" t="n">
        <v>2.65</v>
      </c>
      <c r="H106" s="12" t="n"/>
      <c r="I106" s="13" t="n"/>
      <c r="J106" s="14">
        <f>SUM(D106:I106)</f>
        <v/>
      </c>
      <c r="K106" s="15" t="n"/>
      <c r="L106" s="12" t="n"/>
      <c r="M106" s="12" t="n"/>
      <c r="N106" s="12" t="n"/>
      <c r="O106" s="12" t="n"/>
      <c r="P106" s="13" t="n"/>
      <c r="Q106" s="14">
        <f>SUM(K106:P106)</f>
        <v/>
      </c>
      <c r="R106" s="14">
        <f>J106+Q106</f>
        <v/>
      </c>
      <c r="S106" s="17" t="n"/>
    </row>
    <row r="107" ht="18" customHeight="1" s="47">
      <c r="A107" s="49" t="n"/>
      <c r="B107" s="52" t="n"/>
      <c r="C107" s="23" t="inlineStr">
        <is>
          <t>増　減</t>
        </is>
      </c>
      <c r="D107" s="24">
        <f>D106-D105</f>
        <v/>
      </c>
      <c r="E107" s="24">
        <f>E106-E105</f>
        <v/>
      </c>
      <c r="F107" s="24">
        <f>F106-F105</f>
        <v/>
      </c>
      <c r="G107" s="24">
        <f>G106-G105</f>
        <v/>
      </c>
      <c r="H107" s="24">
        <f>H106-H105</f>
        <v/>
      </c>
      <c r="I107" s="27">
        <f>I106-I105</f>
        <v/>
      </c>
      <c r="J107" s="30">
        <f>SUM(D107:I107)</f>
        <v/>
      </c>
      <c r="K107" s="29">
        <f>K106-K105</f>
        <v/>
      </c>
      <c r="L107" s="24">
        <f>L106-L105</f>
        <v/>
      </c>
      <c r="M107" s="24">
        <f>M106-M105</f>
        <v/>
      </c>
      <c r="N107" s="24">
        <f>N106-N105</f>
        <v/>
      </c>
      <c r="O107" s="24">
        <f>O106-O105</f>
        <v/>
      </c>
      <c r="P107" s="27">
        <f>P106-P105</f>
        <v/>
      </c>
      <c r="Q107" s="30">
        <f>SUM(K107:P107)</f>
        <v/>
      </c>
      <c r="R107" s="30">
        <f>J107+Q107</f>
        <v/>
      </c>
      <c r="S107" s="17" t="n"/>
    </row>
    <row r="108" ht="18" customHeight="1" s="47" thickBot="1">
      <c r="A108" s="50" t="n"/>
      <c r="B108" s="53" t="n"/>
      <c r="C108" s="25" t="inlineStr">
        <is>
          <t>稼働棟数</t>
        </is>
      </c>
      <c r="D108" s="20" t="n"/>
      <c r="E108" s="20" t="n"/>
      <c r="F108" s="20" t="n"/>
      <c r="G108" s="20" t="n"/>
      <c r="H108" s="20" t="n"/>
      <c r="I108" s="28" t="n"/>
      <c r="J108" s="21">
        <f>I108</f>
        <v/>
      </c>
      <c r="K108" s="22" t="n"/>
      <c r="L108" s="20" t="n"/>
      <c r="M108" s="20" t="n"/>
      <c r="N108" s="20" t="n"/>
      <c r="O108" s="20" t="n"/>
      <c r="P108" s="28" t="n"/>
      <c r="Q108" s="21">
        <f>P108</f>
        <v/>
      </c>
      <c r="R108" s="21">
        <f>Q108</f>
        <v/>
      </c>
      <c r="S108" s="18" t="n"/>
    </row>
    <row r="109" ht="18" customHeight="1" s="47">
      <c r="A109" s="48" t="n">
        <v>23</v>
      </c>
      <c r="B109" s="51" t="inlineStr">
        <is>
          <t>ソリトン
/葉物野菜</t>
        </is>
      </c>
      <c r="C109" s="31" t="inlineStr">
        <is>
          <t>58期</t>
        </is>
      </c>
      <c r="D109" s="8" t="n">
        <v>8.09</v>
      </c>
      <c r="E109" s="8" t="n">
        <v>5.46</v>
      </c>
      <c r="F109" s="8" t="n">
        <v>4.92</v>
      </c>
      <c r="G109" s="8" t="n">
        <v>5.11</v>
      </c>
      <c r="H109" s="8" t="n">
        <v>5.69</v>
      </c>
      <c r="I109" s="9" t="n">
        <v>6.21</v>
      </c>
      <c r="J109" s="10">
        <f>SUM(D109:I109)</f>
        <v/>
      </c>
      <c r="K109" s="11" t="n">
        <v>9.94</v>
      </c>
      <c r="L109" s="8" t="n">
        <v>5.21</v>
      </c>
      <c r="M109" s="8" t="n">
        <v>11.21</v>
      </c>
      <c r="N109" s="8" t="n">
        <v>10.72</v>
      </c>
      <c r="O109" s="8" t="n">
        <v>3.44</v>
      </c>
      <c r="P109" s="9" t="n">
        <v>7.8</v>
      </c>
      <c r="Q109" s="10">
        <f>SUM(K109:P109)</f>
        <v/>
      </c>
      <c r="R109" s="10">
        <f>J109+Q109</f>
        <v/>
      </c>
      <c r="S109" s="16" t="n"/>
    </row>
    <row r="110" ht="18" customHeight="1" s="47">
      <c r="A110" s="49" t="n"/>
      <c r="B110" s="52" t="n"/>
      <c r="C110" s="7" t="inlineStr">
        <is>
          <t>59期</t>
        </is>
      </c>
      <c r="D110" s="12" t="n">
        <v>8.66</v>
      </c>
      <c r="E110" s="12" t="n">
        <v>6.9</v>
      </c>
      <c r="F110" s="12" t="n">
        <v>0.01</v>
      </c>
      <c r="G110" s="12" t="n">
        <v>5.95</v>
      </c>
      <c r="H110" s="12" t="n"/>
      <c r="I110" s="13" t="n"/>
      <c r="J110" s="14">
        <f>SUM(D110:I110)</f>
        <v/>
      </c>
      <c r="K110" s="15" t="n"/>
      <c r="L110" s="12" t="n"/>
      <c r="M110" s="12" t="n"/>
      <c r="N110" s="12" t="n"/>
      <c r="O110" s="12" t="n"/>
      <c r="P110" s="13" t="n"/>
      <c r="Q110" s="14">
        <f>SUM(K110:P110)</f>
        <v/>
      </c>
      <c r="R110" s="14">
        <f>J110+Q110</f>
        <v/>
      </c>
      <c r="S110" s="17" t="n"/>
    </row>
    <row r="111" ht="18" customHeight="1" s="47">
      <c r="A111" s="49" t="n"/>
      <c r="B111" s="52" t="n"/>
      <c r="C111" s="23" t="inlineStr">
        <is>
          <t>増　減</t>
        </is>
      </c>
      <c r="D111" s="24">
        <f>D110-D109</f>
        <v/>
      </c>
      <c r="E111" s="24">
        <f>E110-E109</f>
        <v/>
      </c>
      <c r="F111" s="24">
        <f>F110-F109</f>
        <v/>
      </c>
      <c r="G111" s="24">
        <f>G110-G109</f>
        <v/>
      </c>
      <c r="H111" s="24">
        <f>H110-H109</f>
        <v/>
      </c>
      <c r="I111" s="27">
        <f>I110-I109</f>
        <v/>
      </c>
      <c r="J111" s="30">
        <f>SUM(D111:I111)</f>
        <v/>
      </c>
      <c r="K111" s="29">
        <f>K110-K109</f>
        <v/>
      </c>
      <c r="L111" s="24">
        <f>L110-L109</f>
        <v/>
      </c>
      <c r="M111" s="24">
        <f>M110-M109</f>
        <v/>
      </c>
      <c r="N111" s="24">
        <f>N110-N109</f>
        <v/>
      </c>
      <c r="O111" s="24">
        <f>O110-O109</f>
        <v/>
      </c>
      <c r="P111" s="27">
        <f>P110-P109</f>
        <v/>
      </c>
      <c r="Q111" s="30">
        <f>SUM(K111:P111)</f>
        <v/>
      </c>
      <c r="R111" s="30">
        <f>J111+Q111</f>
        <v/>
      </c>
      <c r="S111" s="17" t="n"/>
    </row>
    <row r="112" ht="18" customHeight="1" s="47" thickBot="1">
      <c r="A112" s="50" t="n"/>
      <c r="B112" s="53" t="n"/>
      <c r="C112" s="25" t="inlineStr">
        <is>
          <t>稼働棟数</t>
        </is>
      </c>
      <c r="D112" s="20" t="n"/>
      <c r="E112" s="20" t="n"/>
      <c r="F112" s="20" t="n"/>
      <c r="G112" s="20" t="n"/>
      <c r="H112" s="20" t="n"/>
      <c r="I112" s="28" t="n"/>
      <c r="J112" s="21">
        <f>I112</f>
        <v/>
      </c>
      <c r="K112" s="22" t="n"/>
      <c r="L112" s="20" t="n"/>
      <c r="M112" s="20" t="n"/>
      <c r="N112" s="20" t="n"/>
      <c r="O112" s="20" t="n"/>
      <c r="P112" s="28" t="n"/>
      <c r="Q112" s="21">
        <f>P112</f>
        <v/>
      </c>
      <c r="R112" s="21">
        <f>Q112</f>
        <v/>
      </c>
      <c r="S112" s="18" t="n"/>
    </row>
    <row r="113" ht="18" customHeight="1" s="47">
      <c r="A113" s="48" t="n">
        <v>24</v>
      </c>
      <c r="B113" s="51" t="inlineStr">
        <is>
          <t>ソリトン
/イチゴ</t>
        </is>
      </c>
      <c r="C113" s="31" t="inlineStr">
        <is>
          <t>58期</t>
        </is>
      </c>
      <c r="D113" s="8" t="n"/>
      <c r="E113" s="8" t="n"/>
      <c r="F113" s="8" t="n">
        <v>0.1</v>
      </c>
      <c r="G113" s="8" t="n">
        <v>4.12</v>
      </c>
      <c r="H113" s="8" t="n">
        <v>2.64</v>
      </c>
      <c r="I113" s="9" t="n">
        <v>0.66</v>
      </c>
      <c r="J113" s="10">
        <f>SUM(D113:I113)</f>
        <v/>
      </c>
      <c r="K113" s="11" t="n">
        <v>1.62</v>
      </c>
      <c r="L113" s="8" t="n">
        <v>2.03</v>
      </c>
      <c r="M113" s="8" t="n">
        <v>1.12</v>
      </c>
      <c r="N113" s="8" t="n"/>
      <c r="O113" s="8" t="n"/>
      <c r="P113" s="9" t="n"/>
      <c r="Q113" s="10">
        <f>SUM(K113:P113)</f>
        <v/>
      </c>
      <c r="R113" s="10">
        <f>J113+Q113</f>
        <v/>
      </c>
      <c r="S113" s="16" t="n"/>
    </row>
    <row r="114" ht="18" customHeight="1" s="47">
      <c r="A114" s="49" t="n"/>
      <c r="B114" s="52" t="n"/>
      <c r="C114" s="7" t="inlineStr">
        <is>
          <t>59期</t>
        </is>
      </c>
      <c r="D114" s="12" t="n"/>
      <c r="E114" s="12" t="n"/>
      <c r="F114" s="12" t="n"/>
      <c r="G114" s="12" t="n">
        <v>2.29</v>
      </c>
      <c r="H114" s="12" t="n"/>
      <c r="I114" s="13" t="n"/>
      <c r="J114" s="14">
        <f>SUM(D114:I114)</f>
        <v/>
      </c>
      <c r="K114" s="15" t="n"/>
      <c r="L114" s="12" t="n"/>
      <c r="M114" s="12" t="n"/>
      <c r="N114" s="12" t="n"/>
      <c r="O114" s="12" t="n"/>
      <c r="P114" s="13" t="n"/>
      <c r="Q114" s="14">
        <f>SUM(K114:P114)</f>
        <v/>
      </c>
      <c r="R114" s="14">
        <f>J114+Q114</f>
        <v/>
      </c>
      <c r="S114" s="17" t="n"/>
    </row>
    <row r="115" ht="18" customHeight="1" s="47">
      <c r="A115" s="49" t="n"/>
      <c r="B115" s="52" t="n"/>
      <c r="C115" s="23" t="inlineStr">
        <is>
          <t>増　減</t>
        </is>
      </c>
      <c r="D115" s="24">
        <f>D114-D113</f>
        <v/>
      </c>
      <c r="E115" s="24">
        <f>E114-E113</f>
        <v/>
      </c>
      <c r="F115" s="24">
        <f>F114-F113</f>
        <v/>
      </c>
      <c r="G115" s="24">
        <f>G114-G113</f>
        <v/>
      </c>
      <c r="H115" s="24">
        <f>H114-H113</f>
        <v/>
      </c>
      <c r="I115" s="27">
        <f>I114-I113</f>
        <v/>
      </c>
      <c r="J115" s="30">
        <f>SUM(D115:I115)</f>
        <v/>
      </c>
      <c r="K115" s="29">
        <f>K114-K113</f>
        <v/>
      </c>
      <c r="L115" s="24">
        <f>L114-L113</f>
        <v/>
      </c>
      <c r="M115" s="24">
        <f>M114-M113</f>
        <v/>
      </c>
      <c r="N115" s="24">
        <f>N114-N113</f>
        <v/>
      </c>
      <c r="O115" s="24">
        <f>O114-O113</f>
        <v/>
      </c>
      <c r="P115" s="27">
        <f>P114-P113</f>
        <v/>
      </c>
      <c r="Q115" s="30">
        <f>SUM(K115:P115)</f>
        <v/>
      </c>
      <c r="R115" s="30">
        <f>J115+Q115</f>
        <v/>
      </c>
      <c r="S115" s="17" t="n"/>
    </row>
    <row r="116" ht="18" customHeight="1" s="47" thickBot="1">
      <c r="A116" s="50" t="n"/>
      <c r="B116" s="53" t="n"/>
      <c r="C116" s="25" t="inlineStr">
        <is>
          <t>稼働棟数</t>
        </is>
      </c>
      <c r="D116" s="20" t="n"/>
      <c r="E116" s="20" t="n"/>
      <c r="F116" s="20" t="n"/>
      <c r="G116" s="20" t="n"/>
      <c r="H116" s="20" t="n"/>
      <c r="I116" s="28" t="n"/>
      <c r="J116" s="21">
        <f>I116</f>
        <v/>
      </c>
      <c r="K116" s="22" t="n"/>
      <c r="L116" s="20" t="n"/>
      <c r="M116" s="20" t="n"/>
      <c r="N116" s="20" t="n"/>
      <c r="O116" s="20" t="n"/>
      <c r="P116" s="28" t="n"/>
      <c r="Q116" s="21">
        <f>P116</f>
        <v/>
      </c>
      <c r="R116" s="21">
        <f>Q116</f>
        <v/>
      </c>
      <c r="S116" s="18" t="n"/>
    </row>
    <row r="117" ht="18" customHeight="1" s="47">
      <c r="A117" s="48" t="n">
        <v>25</v>
      </c>
      <c r="B117" s="51" t="inlineStr">
        <is>
          <t>ケイアイ
/葉物野菜</t>
        </is>
      </c>
      <c r="C117" s="31" t="inlineStr">
        <is>
          <t>58期</t>
        </is>
      </c>
      <c r="D117" s="8" t="n">
        <v>2.67</v>
      </c>
      <c r="E117" s="8" t="n">
        <v>3.24</v>
      </c>
      <c r="F117" s="8" t="n">
        <v>3.46</v>
      </c>
      <c r="G117" s="8" t="n">
        <v>2.19</v>
      </c>
      <c r="H117" s="8" t="n">
        <v>4.25</v>
      </c>
      <c r="I117" s="9" t="n">
        <v>5.73</v>
      </c>
      <c r="J117" s="10">
        <f>SUM(D117:I117)</f>
        <v/>
      </c>
      <c r="K117" s="11" t="n">
        <v>7.23</v>
      </c>
      <c r="L117" s="8" t="n">
        <v>11.96</v>
      </c>
      <c r="M117" s="8" t="n">
        <v>8.220000000000001</v>
      </c>
      <c r="N117" s="8" t="n">
        <v>3.78</v>
      </c>
      <c r="O117" s="8" t="n">
        <v>3.82</v>
      </c>
      <c r="P117" s="9" t="n">
        <v>2.54</v>
      </c>
      <c r="Q117" s="10">
        <f>SUM(K117:P117)</f>
        <v/>
      </c>
      <c r="R117" s="10">
        <f>J117+Q117</f>
        <v/>
      </c>
      <c r="S117" s="16" t="n"/>
    </row>
    <row r="118" ht="18" customHeight="1" s="47">
      <c r="A118" s="49" t="n"/>
      <c r="B118" s="52" t="n"/>
      <c r="C118" s="7" t="inlineStr">
        <is>
          <t>59期</t>
        </is>
      </c>
      <c r="D118" s="12" t="n">
        <v>3.52</v>
      </c>
      <c r="E118" s="12" t="n">
        <v>3.3</v>
      </c>
      <c r="F118" s="12" t="n">
        <v>0.01</v>
      </c>
      <c r="G118" s="12" t="n">
        <v>7.76</v>
      </c>
      <c r="H118" s="12" t="n"/>
      <c r="I118" s="13" t="n"/>
      <c r="J118" s="14">
        <f>SUM(D118:I118)</f>
        <v/>
      </c>
      <c r="K118" s="15" t="n"/>
      <c r="L118" s="12" t="n"/>
      <c r="M118" s="12" t="n"/>
      <c r="N118" s="12" t="n"/>
      <c r="O118" s="12" t="n"/>
      <c r="P118" s="13" t="n"/>
      <c r="Q118" s="14">
        <f>SUM(K118:P118)</f>
        <v/>
      </c>
      <c r="R118" s="14">
        <f>J118+Q118</f>
        <v/>
      </c>
      <c r="S118" s="17" t="n"/>
    </row>
    <row r="119" ht="18" customHeight="1" s="47">
      <c r="A119" s="49" t="n"/>
      <c r="B119" s="52" t="n"/>
      <c r="C119" s="23" t="inlineStr">
        <is>
          <t>増　減</t>
        </is>
      </c>
      <c r="D119" s="24">
        <f>D118-D117</f>
        <v/>
      </c>
      <c r="E119" s="24">
        <f>E118-E117</f>
        <v/>
      </c>
      <c r="F119" s="24">
        <f>F118-F117</f>
        <v/>
      </c>
      <c r="G119" s="24">
        <f>G118-G117</f>
        <v/>
      </c>
      <c r="H119" s="24">
        <f>H118-H117</f>
        <v/>
      </c>
      <c r="I119" s="27">
        <f>I118-I117</f>
        <v/>
      </c>
      <c r="J119" s="30">
        <f>SUM(D119:I119)</f>
        <v/>
      </c>
      <c r="K119" s="29">
        <f>K118-K117</f>
        <v/>
      </c>
      <c r="L119" s="24">
        <f>L118-L117</f>
        <v/>
      </c>
      <c r="M119" s="24">
        <f>M118-M117</f>
        <v/>
      </c>
      <c r="N119" s="24">
        <f>N118-N117</f>
        <v/>
      </c>
      <c r="O119" s="24">
        <f>O118-O117</f>
        <v/>
      </c>
      <c r="P119" s="27">
        <f>P118-P117</f>
        <v/>
      </c>
      <c r="Q119" s="30">
        <f>SUM(K119:P119)</f>
        <v/>
      </c>
      <c r="R119" s="30">
        <f>J119+Q119</f>
        <v/>
      </c>
      <c r="S119" s="17" t="n"/>
    </row>
    <row r="120" ht="18" customHeight="1" s="47" thickBot="1">
      <c r="A120" s="50" t="n"/>
      <c r="B120" s="53" t="n"/>
      <c r="C120" s="25" t="inlineStr">
        <is>
          <t>稼働棟数</t>
        </is>
      </c>
      <c r="D120" s="20" t="n"/>
      <c r="E120" s="20" t="n"/>
      <c r="F120" s="20" t="n"/>
      <c r="G120" s="20" t="n"/>
      <c r="H120" s="20" t="n"/>
      <c r="I120" s="28" t="n"/>
      <c r="J120" s="21">
        <f>I120</f>
        <v/>
      </c>
      <c r="K120" s="22" t="n"/>
      <c r="L120" s="20" t="n"/>
      <c r="M120" s="20" t="n"/>
      <c r="N120" s="20" t="n"/>
      <c r="O120" s="20" t="n"/>
      <c r="P120" s="28" t="n"/>
      <c r="Q120" s="21">
        <f>P120</f>
        <v/>
      </c>
      <c r="R120" s="21">
        <f>Q120</f>
        <v/>
      </c>
      <c r="S120" s="18" t="n"/>
    </row>
    <row r="121" ht="18" customHeight="1" s="47">
      <c r="A121" s="48" t="n">
        <v>26</v>
      </c>
      <c r="B121" s="51" t="inlineStr">
        <is>
          <t>ケイアイ
/イチゴ</t>
        </is>
      </c>
      <c r="C121" s="31" t="inlineStr">
        <is>
          <t>58期</t>
        </is>
      </c>
      <c r="D121" s="8" t="n"/>
      <c r="E121" s="8" t="n"/>
      <c r="F121" s="8" t="n"/>
      <c r="G121" s="8" t="n">
        <v>5.67</v>
      </c>
      <c r="H121" s="8" t="n">
        <v>6.17</v>
      </c>
      <c r="I121" s="9" t="n"/>
      <c r="J121" s="10">
        <f>SUM(D121:I121)</f>
        <v/>
      </c>
      <c r="K121" s="11" t="n">
        <v>2.79</v>
      </c>
      <c r="L121" s="8" t="n">
        <v>8.43</v>
      </c>
      <c r="M121" s="8" t="n">
        <v>2.6</v>
      </c>
      <c r="N121" s="8" t="n"/>
      <c r="O121" s="8" t="n"/>
      <c r="P121" s="9" t="n"/>
      <c r="Q121" s="10">
        <f>SUM(K121:P121)</f>
        <v/>
      </c>
      <c r="R121" s="10">
        <f>J121+Q121</f>
        <v/>
      </c>
      <c r="S121" s="16" t="n"/>
    </row>
    <row r="122" ht="18" customHeight="1" s="47">
      <c r="A122" s="49" t="n"/>
      <c r="B122" s="52" t="n"/>
      <c r="C122" s="7" t="inlineStr">
        <is>
          <t>59期</t>
        </is>
      </c>
      <c r="D122" s="12" t="n"/>
      <c r="E122" s="12" t="n"/>
      <c r="F122" s="12" t="n"/>
      <c r="G122" s="12" t="n"/>
      <c r="H122" s="12" t="n"/>
      <c r="I122" s="13" t="n"/>
      <c r="J122" s="14">
        <f>SUM(D122:I122)</f>
        <v/>
      </c>
      <c r="K122" s="15" t="n"/>
      <c r="L122" s="12" t="n"/>
      <c r="M122" s="12" t="n"/>
      <c r="N122" s="12" t="n"/>
      <c r="O122" s="12" t="n"/>
      <c r="P122" s="13" t="n"/>
      <c r="Q122" s="14">
        <f>SUM(K122:P122)</f>
        <v/>
      </c>
      <c r="R122" s="14">
        <f>J122+Q122</f>
        <v/>
      </c>
      <c r="S122" s="17" t="n"/>
    </row>
    <row r="123" ht="18" customHeight="1" s="47">
      <c r="A123" s="49" t="n"/>
      <c r="B123" s="52" t="n"/>
      <c r="C123" s="23" t="inlineStr">
        <is>
          <t>増　減</t>
        </is>
      </c>
      <c r="D123" s="24">
        <f>D122-D121</f>
        <v/>
      </c>
      <c r="E123" s="24">
        <f>E122-E121</f>
        <v/>
      </c>
      <c r="F123" s="24">
        <f>F122-F121</f>
        <v/>
      </c>
      <c r="G123" s="24">
        <f>G122-G121</f>
        <v/>
      </c>
      <c r="H123" s="24">
        <f>H122-H121</f>
        <v/>
      </c>
      <c r="I123" s="27">
        <f>I122-I121</f>
        <v/>
      </c>
      <c r="J123" s="30">
        <f>SUM(D123:I123)</f>
        <v/>
      </c>
      <c r="K123" s="29">
        <f>K122-K121</f>
        <v/>
      </c>
      <c r="L123" s="24">
        <f>L122-L121</f>
        <v/>
      </c>
      <c r="M123" s="24">
        <f>M122-M121</f>
        <v/>
      </c>
      <c r="N123" s="24">
        <f>N122-N121</f>
        <v/>
      </c>
      <c r="O123" s="24">
        <f>O122-O121</f>
        <v/>
      </c>
      <c r="P123" s="27">
        <f>P122-P121</f>
        <v/>
      </c>
      <c r="Q123" s="30">
        <f>SUM(K123:P123)</f>
        <v/>
      </c>
      <c r="R123" s="30">
        <f>J123+Q123</f>
        <v/>
      </c>
      <c r="S123" s="17" t="n"/>
    </row>
    <row r="124" ht="18" customHeight="1" s="47" thickBot="1">
      <c r="A124" s="50" t="n"/>
      <c r="B124" s="53" t="n"/>
      <c r="C124" s="25" t="inlineStr">
        <is>
          <t>稼働棟数</t>
        </is>
      </c>
      <c r="D124" s="20" t="n"/>
      <c r="E124" s="20" t="n"/>
      <c r="F124" s="20" t="n"/>
      <c r="G124" s="20" t="n"/>
      <c r="H124" s="20" t="n"/>
      <c r="I124" s="28" t="n"/>
      <c r="J124" s="21">
        <f>I124</f>
        <v/>
      </c>
      <c r="K124" s="22" t="n"/>
      <c r="L124" s="20" t="n"/>
      <c r="M124" s="20" t="n"/>
      <c r="N124" s="20" t="n"/>
      <c r="O124" s="20" t="n"/>
      <c r="P124" s="28" t="n"/>
      <c r="Q124" s="21">
        <f>P124</f>
        <v/>
      </c>
      <c r="R124" s="21">
        <f>Q124</f>
        <v/>
      </c>
      <c r="S124" s="18" t="n"/>
    </row>
    <row r="125" ht="18" customHeight="1" s="47">
      <c r="A125" s="48" t="n">
        <v>27</v>
      </c>
      <c r="B125" s="51" t="inlineStr">
        <is>
          <t>岡部
/葉物野菜</t>
        </is>
      </c>
      <c r="C125" s="31" t="inlineStr">
        <is>
          <t>58期</t>
        </is>
      </c>
      <c r="D125" s="8" t="n">
        <v>0.18</v>
      </c>
      <c r="E125" s="8" t="n">
        <v>1.59</v>
      </c>
      <c r="F125" s="8" t="n">
        <v>3.59</v>
      </c>
      <c r="G125" s="8" t="n">
        <v>0.45</v>
      </c>
      <c r="H125" s="8" t="n">
        <v>0.27</v>
      </c>
      <c r="I125" s="9" t="n"/>
      <c r="J125" s="10">
        <f>SUM(D125:I125)</f>
        <v/>
      </c>
      <c r="K125" s="11" t="n"/>
      <c r="L125" s="8" t="n">
        <v>4.7</v>
      </c>
      <c r="M125" s="8" t="n">
        <v>7.18</v>
      </c>
      <c r="N125" s="8" t="n">
        <v>14.22</v>
      </c>
      <c r="O125" s="8" t="n"/>
      <c r="P125" s="9" t="n"/>
      <c r="Q125" s="10">
        <f>SUM(K125:P125)</f>
        <v/>
      </c>
      <c r="R125" s="10">
        <f>J125+Q125</f>
        <v/>
      </c>
      <c r="S125" s="16" t="n"/>
    </row>
    <row r="126" ht="18" customHeight="1" s="47">
      <c r="A126" s="49" t="n"/>
      <c r="B126" s="52" t="n"/>
      <c r="C126" s="7" t="inlineStr">
        <is>
          <t>59期</t>
        </is>
      </c>
      <c r="D126" s="12" t="n"/>
      <c r="E126" s="12" t="n"/>
      <c r="F126" s="12" t="n"/>
      <c r="G126" s="12" t="n"/>
      <c r="H126" s="12" t="n"/>
      <c r="I126" s="13" t="n"/>
      <c r="J126" s="14">
        <f>SUM(D126:I126)</f>
        <v/>
      </c>
      <c r="K126" s="15" t="n"/>
      <c r="L126" s="12" t="n"/>
      <c r="M126" s="12" t="n"/>
      <c r="N126" s="12" t="n"/>
      <c r="O126" s="12" t="n"/>
      <c r="P126" s="13" t="n"/>
      <c r="Q126" s="14">
        <f>SUM(K126:P126)</f>
        <v/>
      </c>
      <c r="R126" s="14">
        <f>J126+Q126</f>
        <v/>
      </c>
      <c r="S126" s="17" t="n"/>
    </row>
    <row r="127" ht="18" customHeight="1" s="47">
      <c r="A127" s="49" t="n"/>
      <c r="B127" s="52" t="n"/>
      <c r="C127" s="23" t="inlineStr">
        <is>
          <t>増　減</t>
        </is>
      </c>
      <c r="D127" s="24">
        <f>D126-D125</f>
        <v/>
      </c>
      <c r="E127" s="24">
        <f>E126-E125</f>
        <v/>
      </c>
      <c r="F127" s="24">
        <f>F126-F125</f>
        <v/>
      </c>
      <c r="G127" s="24">
        <f>G126-G125</f>
        <v/>
      </c>
      <c r="H127" s="24">
        <f>H126-H125</f>
        <v/>
      </c>
      <c r="I127" s="27">
        <f>I126-I125</f>
        <v/>
      </c>
      <c r="J127" s="30">
        <f>SUM(D127:I127)</f>
        <v/>
      </c>
      <c r="K127" s="29">
        <f>K126-K125</f>
        <v/>
      </c>
      <c r="L127" s="24">
        <f>L126-L125</f>
        <v/>
      </c>
      <c r="M127" s="24">
        <f>M126-M125</f>
        <v/>
      </c>
      <c r="N127" s="24">
        <f>N126-N125</f>
        <v/>
      </c>
      <c r="O127" s="24">
        <f>O126-O125</f>
        <v/>
      </c>
      <c r="P127" s="27">
        <f>P126-P125</f>
        <v/>
      </c>
      <c r="Q127" s="30">
        <f>SUM(K127:P127)</f>
        <v/>
      </c>
      <c r="R127" s="30">
        <f>J127+Q127</f>
        <v/>
      </c>
      <c r="S127" s="17" t="n"/>
    </row>
    <row r="128" ht="18" customHeight="1" s="47" thickBot="1">
      <c r="A128" s="50" t="n"/>
      <c r="B128" s="53" t="n"/>
      <c r="C128" s="25" t="inlineStr">
        <is>
          <t>稼働棟数</t>
        </is>
      </c>
      <c r="D128" s="20" t="n"/>
      <c r="E128" s="20" t="n"/>
      <c r="F128" s="20" t="n"/>
      <c r="G128" s="20" t="n"/>
      <c r="H128" s="20" t="n"/>
      <c r="I128" s="28" t="n"/>
      <c r="J128" s="21">
        <f>I128</f>
        <v/>
      </c>
      <c r="K128" s="22" t="n"/>
      <c r="L128" s="20" t="n"/>
      <c r="M128" s="20" t="n"/>
      <c r="N128" s="20" t="n"/>
      <c r="O128" s="20" t="n"/>
      <c r="P128" s="28" t="n"/>
      <c r="Q128" s="21">
        <f>P128</f>
        <v/>
      </c>
      <c r="R128" s="21">
        <f>Q128</f>
        <v/>
      </c>
      <c r="S128" s="18" t="n"/>
    </row>
    <row r="129" ht="18" customHeight="1" s="47">
      <c r="A129" s="48" t="n">
        <v>28</v>
      </c>
      <c r="B129" s="51" t="inlineStr">
        <is>
          <t>岡部
/イチゴ</t>
        </is>
      </c>
      <c r="C129" s="31" t="inlineStr">
        <is>
          <t>58期</t>
        </is>
      </c>
      <c r="D129" s="8" t="n"/>
      <c r="E129" s="8" t="n"/>
      <c r="F129" s="8" t="n"/>
      <c r="G129" s="8" t="n">
        <v>2</v>
      </c>
      <c r="H129" s="8" t="n">
        <v>0.62</v>
      </c>
      <c r="I129" s="9" t="n"/>
      <c r="J129" s="10">
        <f>SUM(D129:I129)</f>
        <v/>
      </c>
      <c r="K129" s="11" t="n">
        <v>0.4</v>
      </c>
      <c r="L129" s="8" t="n">
        <v>0.61</v>
      </c>
      <c r="M129" s="8" t="n">
        <v>0.5</v>
      </c>
      <c r="N129" s="8" t="n"/>
      <c r="O129" s="8" t="n"/>
      <c r="P129" s="9" t="n"/>
      <c r="Q129" s="10">
        <f>SUM(K129:P129)</f>
        <v/>
      </c>
      <c r="R129" s="10">
        <f>J129+Q129</f>
        <v/>
      </c>
      <c r="S129" s="16" t="n"/>
    </row>
    <row r="130" ht="18" customHeight="1" s="47">
      <c r="A130" s="49" t="n"/>
      <c r="B130" s="52" t="n"/>
      <c r="C130" s="7" t="inlineStr">
        <is>
          <t>59期</t>
        </is>
      </c>
      <c r="D130" s="12" t="n"/>
      <c r="E130" s="12" t="n"/>
      <c r="F130" s="12" t="n"/>
      <c r="G130" s="12" t="n">
        <v>0.14</v>
      </c>
      <c r="H130" s="12" t="n"/>
      <c r="I130" s="13" t="n"/>
      <c r="J130" s="14">
        <f>SUM(D130:I130)</f>
        <v/>
      </c>
      <c r="K130" s="15" t="n"/>
      <c r="L130" s="12" t="n"/>
      <c r="M130" s="12" t="n"/>
      <c r="N130" s="12" t="n"/>
      <c r="O130" s="12" t="n"/>
      <c r="P130" s="13" t="n"/>
      <c r="Q130" s="14">
        <f>SUM(K130:P130)</f>
        <v/>
      </c>
      <c r="R130" s="14">
        <f>J130+Q130</f>
        <v/>
      </c>
      <c r="S130" s="17" t="n"/>
    </row>
    <row r="131" ht="18" customHeight="1" s="47">
      <c r="A131" s="49" t="n"/>
      <c r="B131" s="52" t="n"/>
      <c r="C131" s="23" t="inlineStr">
        <is>
          <t>増　減</t>
        </is>
      </c>
      <c r="D131" s="24">
        <f>D130-D129</f>
        <v/>
      </c>
      <c r="E131" s="24">
        <f>E130-E129</f>
        <v/>
      </c>
      <c r="F131" s="24">
        <f>F130-F129</f>
        <v/>
      </c>
      <c r="G131" s="24">
        <f>G130-G129</f>
        <v/>
      </c>
      <c r="H131" s="24">
        <f>H130-H129</f>
        <v/>
      </c>
      <c r="I131" s="27">
        <f>I130-I129</f>
        <v/>
      </c>
      <c r="J131" s="30">
        <f>SUM(D131:I131)</f>
        <v/>
      </c>
      <c r="K131" s="29">
        <f>K130-K129</f>
        <v/>
      </c>
      <c r="L131" s="24">
        <f>L130-L129</f>
        <v/>
      </c>
      <c r="M131" s="24">
        <f>M130-M129</f>
        <v/>
      </c>
      <c r="N131" s="24">
        <f>N130-N129</f>
        <v/>
      </c>
      <c r="O131" s="24">
        <f>O130-O129</f>
        <v/>
      </c>
      <c r="P131" s="27">
        <f>P130-P129</f>
        <v/>
      </c>
      <c r="Q131" s="30">
        <f>SUM(K131:P131)</f>
        <v/>
      </c>
      <c r="R131" s="30">
        <f>J131+Q131</f>
        <v/>
      </c>
      <c r="S131" s="17" t="n"/>
    </row>
    <row r="132" ht="18" customHeight="1" s="47" thickBot="1">
      <c r="A132" s="50" t="n"/>
      <c r="B132" s="53" t="n"/>
      <c r="C132" s="25" t="inlineStr">
        <is>
          <t>稼働棟数</t>
        </is>
      </c>
      <c r="D132" s="20" t="n"/>
      <c r="E132" s="20" t="n"/>
      <c r="F132" s="20" t="n"/>
      <c r="G132" s="20" t="n"/>
      <c r="H132" s="20" t="n"/>
      <c r="I132" s="28" t="n"/>
      <c r="J132" s="21">
        <f>I132</f>
        <v/>
      </c>
      <c r="K132" s="22" t="n"/>
      <c r="L132" s="20" t="n"/>
      <c r="M132" s="20" t="n"/>
      <c r="N132" s="20" t="n"/>
      <c r="O132" s="20" t="n"/>
      <c r="P132" s="28" t="n"/>
      <c r="Q132" s="21">
        <f>P132</f>
        <v/>
      </c>
      <c r="R132" s="21">
        <f>Q132</f>
        <v/>
      </c>
      <c r="S132" s="18" t="n"/>
    </row>
    <row r="133" ht="18" customHeight="1" s="47">
      <c r="A133" s="48" t="n">
        <v>29</v>
      </c>
      <c r="B133" s="51" t="inlineStr">
        <is>
          <t>三和
/葉物野菜</t>
        </is>
      </c>
      <c r="C133" s="31" t="inlineStr">
        <is>
          <t>58期</t>
        </is>
      </c>
      <c r="D133" s="8" t="n">
        <v>0.93</v>
      </c>
      <c r="E133" s="8" t="n">
        <v>1.86</v>
      </c>
      <c r="F133" s="8" t="n">
        <v>3.19</v>
      </c>
      <c r="G133" s="8" t="n">
        <v>2.84</v>
      </c>
      <c r="H133" s="8" t="n">
        <v>1.78</v>
      </c>
      <c r="I133" s="9" t="n">
        <v>1.8</v>
      </c>
      <c r="J133" s="10">
        <f>SUM(D133:I133)</f>
        <v/>
      </c>
      <c r="K133" s="11" t="n"/>
      <c r="L133" s="8" t="n">
        <v>4.31</v>
      </c>
      <c r="M133" s="8" t="n">
        <v>2.42</v>
      </c>
      <c r="N133" s="8" t="n">
        <v>6.84</v>
      </c>
      <c r="O133" s="8" t="n"/>
      <c r="P133" s="9" t="n"/>
      <c r="Q133" s="10">
        <f>SUM(K133:P133)</f>
        <v/>
      </c>
      <c r="R133" s="10">
        <f>J133+Q133</f>
        <v/>
      </c>
      <c r="S133" s="16" t="n"/>
    </row>
    <row r="134" ht="18" customHeight="1" s="47">
      <c r="A134" s="49" t="n"/>
      <c r="B134" s="52" t="n"/>
      <c r="C134" s="7" t="inlineStr">
        <is>
          <t>59期</t>
        </is>
      </c>
      <c r="D134" s="12" t="n">
        <v>0.6</v>
      </c>
      <c r="E134" s="12" t="n">
        <v>1.04</v>
      </c>
      <c r="F134" s="12" t="n">
        <v>3.12</v>
      </c>
      <c r="G134" s="12" t="n">
        <v>3.84</v>
      </c>
      <c r="H134" s="12" t="n"/>
      <c r="I134" s="13" t="n"/>
      <c r="J134" s="14">
        <f>SUM(D134:I134)</f>
        <v/>
      </c>
      <c r="K134" s="15" t="n"/>
      <c r="L134" s="12" t="n"/>
      <c r="M134" s="12" t="n"/>
      <c r="N134" s="12" t="n"/>
      <c r="O134" s="12" t="n"/>
      <c r="P134" s="13" t="n"/>
      <c r="Q134" s="14">
        <f>SUM(K134:P134)</f>
        <v/>
      </c>
      <c r="R134" s="14">
        <f>J134+Q134</f>
        <v/>
      </c>
      <c r="S134" s="17" t="n"/>
    </row>
    <row r="135" ht="18" customHeight="1" s="47">
      <c r="A135" s="49" t="n"/>
      <c r="B135" s="52" t="n"/>
      <c r="C135" s="23" t="inlineStr">
        <is>
          <t>増　減</t>
        </is>
      </c>
      <c r="D135" s="24">
        <f>D134-D133</f>
        <v/>
      </c>
      <c r="E135" s="24">
        <f>E134-E133</f>
        <v/>
      </c>
      <c r="F135" s="24">
        <f>F134-F133</f>
        <v/>
      </c>
      <c r="G135" s="24">
        <f>G134-G133</f>
        <v/>
      </c>
      <c r="H135" s="24">
        <f>H134-H133</f>
        <v/>
      </c>
      <c r="I135" s="27">
        <f>I134-I133</f>
        <v/>
      </c>
      <c r="J135" s="30">
        <f>SUM(D135:I135)</f>
        <v/>
      </c>
      <c r="K135" s="29">
        <f>K134-K133</f>
        <v/>
      </c>
      <c r="L135" s="24">
        <f>L134-L133</f>
        <v/>
      </c>
      <c r="M135" s="24">
        <f>M134-M133</f>
        <v/>
      </c>
      <c r="N135" s="24">
        <f>N134-N133</f>
        <v/>
      </c>
      <c r="O135" s="24">
        <f>O134-O133</f>
        <v/>
      </c>
      <c r="P135" s="27">
        <f>P134-P133</f>
        <v/>
      </c>
      <c r="Q135" s="30">
        <f>SUM(K135:P135)</f>
        <v/>
      </c>
      <c r="R135" s="30">
        <f>J135+Q135</f>
        <v/>
      </c>
      <c r="S135" s="17" t="n"/>
    </row>
    <row r="136" ht="18" customHeight="1" s="47" thickBot="1">
      <c r="A136" s="50" t="n"/>
      <c r="B136" s="53" t="n"/>
      <c r="C136" s="25" t="inlineStr">
        <is>
          <t>稼働棟数</t>
        </is>
      </c>
      <c r="D136" s="20" t="n"/>
      <c r="E136" s="20" t="n"/>
      <c r="F136" s="20" t="n"/>
      <c r="G136" s="20" t="n"/>
      <c r="H136" s="20" t="n"/>
      <c r="I136" s="28" t="n"/>
      <c r="J136" s="21">
        <f>I136</f>
        <v/>
      </c>
      <c r="K136" s="22" t="n"/>
      <c r="L136" s="20" t="n"/>
      <c r="M136" s="20" t="n"/>
      <c r="N136" s="20" t="n"/>
      <c r="O136" s="20" t="n"/>
      <c r="P136" s="28" t="n"/>
      <c r="Q136" s="21">
        <f>P136</f>
        <v/>
      </c>
      <c r="R136" s="21">
        <f>Q136</f>
        <v/>
      </c>
      <c r="S136" s="18" t="n"/>
    </row>
    <row r="137" ht="18" customHeight="1" s="47">
      <c r="A137" s="48" t="n">
        <v>29</v>
      </c>
      <c r="B137" s="51" t="inlineStr">
        <is>
          <t>三和
/根菜</t>
        </is>
      </c>
      <c r="C137" s="31" t="inlineStr">
        <is>
          <t>58期</t>
        </is>
      </c>
      <c r="D137" s="8" t="n"/>
      <c r="E137" s="8" t="n"/>
      <c r="F137" s="8" t="n"/>
      <c r="G137" s="8" t="n"/>
      <c r="H137" s="8" t="n"/>
      <c r="I137" s="9" t="n">
        <v>8.1</v>
      </c>
      <c r="J137" s="10">
        <f>SUM(D137:I137)</f>
        <v/>
      </c>
      <c r="K137" s="11" t="n"/>
      <c r="L137" s="8" t="n">
        <v>0.21</v>
      </c>
      <c r="M137" s="8" t="n">
        <v>2.62</v>
      </c>
      <c r="N137" s="8" t="n">
        <v>2.36</v>
      </c>
      <c r="O137" s="8" t="n"/>
      <c r="P137" s="9" t="n">
        <v>0.79</v>
      </c>
      <c r="Q137" s="10">
        <f>SUM(K137:P137)</f>
        <v/>
      </c>
      <c r="R137" s="10">
        <f>J137+Q137</f>
        <v/>
      </c>
      <c r="S137" s="16" t="n"/>
    </row>
    <row r="138" ht="18" customHeight="1" s="47">
      <c r="A138" s="49" t="n"/>
      <c r="B138" s="52" t="n"/>
      <c r="C138" s="7" t="inlineStr">
        <is>
          <t>59期</t>
        </is>
      </c>
      <c r="D138" s="12" t="n"/>
      <c r="E138" s="12" t="n"/>
      <c r="F138" s="12" t="n"/>
      <c r="G138" s="12" t="n"/>
      <c r="H138" s="12" t="n"/>
      <c r="I138" s="13" t="n"/>
      <c r="J138" s="14">
        <f>SUM(D138:I138)</f>
        <v/>
      </c>
      <c r="K138" s="15" t="n"/>
      <c r="L138" s="12" t="n"/>
      <c r="M138" s="12" t="n"/>
      <c r="N138" s="12" t="n"/>
      <c r="O138" s="12" t="n"/>
      <c r="P138" s="13" t="n"/>
      <c r="Q138" s="14">
        <f>SUM(K138:P138)</f>
        <v/>
      </c>
      <c r="R138" s="14">
        <f>J138+Q138</f>
        <v/>
      </c>
      <c r="S138" s="17" t="n"/>
    </row>
    <row r="139" ht="18" customHeight="1" s="47">
      <c r="A139" s="49" t="n"/>
      <c r="B139" s="52" t="n"/>
      <c r="C139" s="23" t="inlineStr">
        <is>
          <t>増　減</t>
        </is>
      </c>
      <c r="D139" s="24">
        <f>D138-D137</f>
        <v/>
      </c>
      <c r="E139" s="24">
        <f>E138-E137</f>
        <v/>
      </c>
      <c r="F139" s="24">
        <f>F138-F137</f>
        <v/>
      </c>
      <c r="G139" s="24">
        <f>G138-G137</f>
        <v/>
      </c>
      <c r="H139" s="24">
        <f>H138-H137</f>
        <v/>
      </c>
      <c r="I139" s="27">
        <f>I138-I137</f>
        <v/>
      </c>
      <c r="J139" s="30">
        <f>SUM(D139:I139)</f>
        <v/>
      </c>
      <c r="K139" s="29">
        <f>K138-K137</f>
        <v/>
      </c>
      <c r="L139" s="24">
        <f>L138-L137</f>
        <v/>
      </c>
      <c r="M139" s="24">
        <f>M138-M137</f>
        <v/>
      </c>
      <c r="N139" s="24">
        <f>N138-N137</f>
        <v/>
      </c>
      <c r="O139" s="24">
        <f>O138-O137</f>
        <v/>
      </c>
      <c r="P139" s="27">
        <f>P138-P137</f>
        <v/>
      </c>
      <c r="Q139" s="30">
        <f>SUM(K139:P139)</f>
        <v/>
      </c>
      <c r="R139" s="30">
        <f>J139+Q139</f>
        <v/>
      </c>
      <c r="S139" s="17" t="n"/>
    </row>
    <row r="140" ht="18" customHeight="1" s="47" thickBot="1">
      <c r="A140" s="50" t="n"/>
      <c r="B140" s="53" t="n"/>
      <c r="C140" s="25" t="inlineStr">
        <is>
          <t>稼働棟数</t>
        </is>
      </c>
      <c r="D140" s="20" t="n"/>
      <c r="E140" s="20" t="n"/>
      <c r="F140" s="20" t="n"/>
      <c r="G140" s="20" t="n"/>
      <c r="H140" s="20" t="n"/>
      <c r="I140" s="28" t="n"/>
      <c r="J140" s="21">
        <f>I140</f>
        <v/>
      </c>
      <c r="K140" s="22" t="n"/>
      <c r="L140" s="20" t="n"/>
      <c r="M140" s="20" t="n"/>
      <c r="N140" s="20" t="n"/>
      <c r="O140" s="20" t="n"/>
      <c r="P140" s="28" t="n"/>
      <c r="Q140" s="21">
        <f>P140</f>
        <v/>
      </c>
      <c r="R140" s="21">
        <f>Q140</f>
        <v/>
      </c>
      <c r="S140" s="18" t="n"/>
    </row>
    <row r="141" ht="18" customHeight="1" s="47">
      <c r="A141" s="48" t="n">
        <v>30</v>
      </c>
      <c r="B141" s="51" t="inlineStr">
        <is>
          <t>三和
/イチゴ</t>
        </is>
      </c>
      <c r="C141" s="31" t="inlineStr">
        <is>
          <t>58期</t>
        </is>
      </c>
      <c r="D141" s="8" t="n">
        <v>0.93</v>
      </c>
      <c r="E141" s="8" t="n">
        <v>0.24</v>
      </c>
      <c r="F141" s="8" t="n"/>
      <c r="G141" s="8" t="n">
        <v>1.66</v>
      </c>
      <c r="H141" s="8" t="n">
        <v>0.76</v>
      </c>
      <c r="I141" s="9" t="n"/>
      <c r="J141" s="10">
        <f>SUM(D141:I141)</f>
        <v/>
      </c>
      <c r="K141" s="11" t="n"/>
      <c r="L141" s="8" t="n">
        <v>0.9399999999999999</v>
      </c>
      <c r="M141" s="8" t="n">
        <v>0.5</v>
      </c>
      <c r="N141" s="8" t="n"/>
      <c r="O141" s="8" t="n"/>
      <c r="P141" s="9" t="n"/>
      <c r="Q141" s="10">
        <f>SUM(K141:P141)</f>
        <v/>
      </c>
      <c r="R141" s="10">
        <f>J141+Q141</f>
        <v/>
      </c>
      <c r="S141" s="16" t="n"/>
    </row>
    <row r="142" ht="18" customHeight="1" s="47">
      <c r="A142" s="49" t="n"/>
      <c r="B142" s="52" t="n"/>
      <c r="C142" s="7" t="inlineStr">
        <is>
          <t>59期</t>
        </is>
      </c>
      <c r="D142" s="12" t="n"/>
      <c r="E142" s="12" t="n"/>
      <c r="F142" s="12" t="n"/>
      <c r="G142" s="12" t="n"/>
      <c r="H142" s="12" t="n"/>
      <c r="I142" s="13" t="n"/>
      <c r="J142" s="14">
        <f>SUM(D142:I142)</f>
        <v/>
      </c>
      <c r="K142" s="15" t="n"/>
      <c r="L142" s="12" t="n"/>
      <c r="M142" s="12" t="n"/>
      <c r="N142" s="12" t="n"/>
      <c r="O142" s="12" t="n"/>
      <c r="P142" s="13" t="n"/>
      <c r="Q142" s="14">
        <f>SUM(K142:P142)</f>
        <v/>
      </c>
      <c r="R142" s="14">
        <f>J142+Q142</f>
        <v/>
      </c>
      <c r="S142" s="17" t="n"/>
    </row>
    <row r="143" ht="18" customHeight="1" s="47">
      <c r="A143" s="49" t="n"/>
      <c r="B143" s="52" t="n"/>
      <c r="C143" s="23" t="inlineStr">
        <is>
          <t>増　減</t>
        </is>
      </c>
      <c r="D143" s="24">
        <f>D142-D141</f>
        <v/>
      </c>
      <c r="E143" s="24">
        <f>E142-E141</f>
        <v/>
      </c>
      <c r="F143" s="24">
        <f>F142-F141</f>
        <v/>
      </c>
      <c r="G143" s="24">
        <f>G142-G141</f>
        <v/>
      </c>
      <c r="H143" s="24">
        <f>H142-H141</f>
        <v/>
      </c>
      <c r="I143" s="27">
        <f>I142-I141</f>
        <v/>
      </c>
      <c r="J143" s="30">
        <f>SUM(D143:I143)</f>
        <v/>
      </c>
      <c r="K143" s="29">
        <f>K142-K141</f>
        <v/>
      </c>
      <c r="L143" s="24">
        <f>L142-L141</f>
        <v/>
      </c>
      <c r="M143" s="24">
        <f>M142-M141</f>
        <v/>
      </c>
      <c r="N143" s="24">
        <f>N142-N141</f>
        <v/>
      </c>
      <c r="O143" s="24">
        <f>O142-O141</f>
        <v/>
      </c>
      <c r="P143" s="27">
        <f>P142-P141</f>
        <v/>
      </c>
      <c r="Q143" s="30">
        <f>SUM(K143:P143)</f>
        <v/>
      </c>
      <c r="R143" s="30">
        <f>J143+Q143</f>
        <v/>
      </c>
      <c r="S143" s="17" t="n"/>
    </row>
    <row r="144" ht="18" customHeight="1" s="47" thickBot="1">
      <c r="A144" s="50" t="n"/>
      <c r="B144" s="53" t="n"/>
      <c r="C144" s="25" t="inlineStr">
        <is>
          <t>稼働棟数</t>
        </is>
      </c>
      <c r="D144" s="20" t="n"/>
      <c r="E144" s="20" t="n"/>
      <c r="F144" s="20" t="n"/>
      <c r="G144" s="20" t="n"/>
      <c r="H144" s="20" t="n"/>
      <c r="I144" s="28" t="n"/>
      <c r="J144" s="21">
        <f>I144</f>
        <v/>
      </c>
      <c r="K144" s="22" t="n"/>
      <c r="L144" s="20" t="n"/>
      <c r="M144" s="20" t="n"/>
      <c r="N144" s="20" t="n"/>
      <c r="O144" s="20" t="n"/>
      <c r="P144" s="28" t="n"/>
      <c r="Q144" s="21">
        <f>P144</f>
        <v/>
      </c>
      <c r="R144" s="21">
        <f>Q144</f>
        <v/>
      </c>
      <c r="S144" s="18" t="n"/>
    </row>
    <row r="145" ht="18" customHeight="1" s="47">
      <c r="A145" s="48" t="n">
        <v>31</v>
      </c>
      <c r="B145" s="51" t="inlineStr">
        <is>
          <t>慈誠会
/葉物野菜</t>
        </is>
      </c>
      <c r="C145" s="31" t="inlineStr">
        <is>
          <t>58期</t>
        </is>
      </c>
      <c r="D145" s="8" t="n"/>
      <c r="E145" s="8" t="n">
        <v>4.44</v>
      </c>
      <c r="F145" s="8" t="n">
        <v>1.32</v>
      </c>
      <c r="G145" s="8" t="n">
        <v>1.67</v>
      </c>
      <c r="H145" s="8" t="n">
        <v>1.86</v>
      </c>
      <c r="I145" s="9" t="n">
        <v>0.58</v>
      </c>
      <c r="J145" s="10">
        <f>SUM(D145:I145)</f>
        <v/>
      </c>
      <c r="K145" s="11" t="n"/>
      <c r="L145" s="8" t="n">
        <v>3.04</v>
      </c>
      <c r="M145" s="8" t="n">
        <v>9.619999999999999</v>
      </c>
      <c r="N145" s="8" t="n">
        <v>18.02</v>
      </c>
      <c r="O145" s="8" t="n"/>
      <c r="P145" s="9" t="n"/>
      <c r="Q145" s="10">
        <f>SUM(K145:P145)</f>
        <v/>
      </c>
      <c r="R145" s="10">
        <f>J145+Q145</f>
        <v/>
      </c>
      <c r="S145" s="16" t="n"/>
    </row>
    <row r="146" ht="18" customHeight="1" s="47">
      <c r="A146" s="49" t="n"/>
      <c r="B146" s="52" t="n"/>
      <c r="C146" s="7" t="inlineStr">
        <is>
          <t>59期</t>
        </is>
      </c>
      <c r="D146" s="12" t="n"/>
      <c r="E146" s="12" t="n">
        <v>1.32</v>
      </c>
      <c r="F146" s="12" t="n"/>
      <c r="G146" s="12" t="n">
        <v>4.38</v>
      </c>
      <c r="H146" s="12" t="n"/>
      <c r="I146" s="13" t="n"/>
      <c r="J146" s="14">
        <f>SUM(D146:I146)</f>
        <v/>
      </c>
      <c r="K146" s="15" t="n"/>
      <c r="L146" s="12" t="n"/>
      <c r="M146" s="12" t="n"/>
      <c r="N146" s="12" t="n"/>
      <c r="O146" s="12" t="n"/>
      <c r="P146" s="13" t="n"/>
      <c r="Q146" s="14">
        <f>SUM(K146:P146)</f>
        <v/>
      </c>
      <c r="R146" s="14">
        <f>J146+Q146</f>
        <v/>
      </c>
      <c r="S146" s="17" t="n"/>
    </row>
    <row r="147" ht="18" customHeight="1" s="47">
      <c r="A147" s="49" t="n"/>
      <c r="B147" s="52" t="n"/>
      <c r="C147" s="23" t="inlineStr">
        <is>
          <t>増　減</t>
        </is>
      </c>
      <c r="D147" s="24">
        <f>D146-D145</f>
        <v/>
      </c>
      <c r="E147" s="24">
        <f>E146-E145</f>
        <v/>
      </c>
      <c r="F147" s="24">
        <f>F146-F145</f>
        <v/>
      </c>
      <c r="G147" s="24">
        <f>G146-G145</f>
        <v/>
      </c>
      <c r="H147" s="24">
        <f>H146-H145</f>
        <v/>
      </c>
      <c r="I147" s="27">
        <f>I146-I145</f>
        <v/>
      </c>
      <c r="J147" s="30">
        <f>SUM(D147:I147)</f>
        <v/>
      </c>
      <c r="K147" s="29">
        <f>K146-K145</f>
        <v/>
      </c>
      <c r="L147" s="24">
        <f>L146-L145</f>
        <v/>
      </c>
      <c r="M147" s="24">
        <f>M146-M145</f>
        <v/>
      </c>
      <c r="N147" s="24">
        <f>N146-N145</f>
        <v/>
      </c>
      <c r="O147" s="24">
        <f>O146-O145</f>
        <v/>
      </c>
      <c r="P147" s="27">
        <f>P146-P145</f>
        <v/>
      </c>
      <c r="Q147" s="30">
        <f>SUM(K147:P147)</f>
        <v/>
      </c>
      <c r="R147" s="30">
        <f>J147+Q147</f>
        <v/>
      </c>
      <c r="S147" s="17" t="n"/>
    </row>
    <row r="148" ht="18" customHeight="1" s="47" thickBot="1">
      <c r="A148" s="50" t="n"/>
      <c r="B148" s="53" t="n"/>
      <c r="C148" s="25" t="inlineStr">
        <is>
          <t>稼働棟数</t>
        </is>
      </c>
      <c r="D148" s="20" t="n"/>
      <c r="E148" s="20" t="n"/>
      <c r="F148" s="20" t="n"/>
      <c r="G148" s="20" t="n"/>
      <c r="H148" s="20" t="n"/>
      <c r="I148" s="28" t="n"/>
      <c r="J148" s="21">
        <f>I148</f>
        <v/>
      </c>
      <c r="K148" s="22" t="n"/>
      <c r="L148" s="20" t="n"/>
      <c r="M148" s="20" t="n"/>
      <c r="N148" s="20" t="n"/>
      <c r="O148" s="20" t="n"/>
      <c r="P148" s="28" t="n"/>
      <c r="Q148" s="21">
        <f>P148</f>
        <v/>
      </c>
      <c r="R148" s="21">
        <f>Q148</f>
        <v/>
      </c>
      <c r="S148" s="18" t="n"/>
    </row>
    <row r="149" ht="18" customHeight="1" s="47">
      <c r="A149" s="48" t="n">
        <v>32</v>
      </c>
      <c r="B149" s="51" t="inlineStr">
        <is>
          <t>慈誠会
/根菜</t>
        </is>
      </c>
      <c r="C149" s="31" t="inlineStr">
        <is>
          <t>58期</t>
        </is>
      </c>
      <c r="D149" s="8" t="n"/>
      <c r="E149" s="8" t="n"/>
      <c r="F149" s="8" t="n"/>
      <c r="G149" s="8" t="n"/>
      <c r="H149" s="8" t="n"/>
      <c r="I149" s="9" t="n"/>
      <c r="J149" s="10" t="n">
        <v>0</v>
      </c>
      <c r="K149" s="11" t="n"/>
      <c r="L149" s="8" t="n">
        <v>3.18</v>
      </c>
      <c r="M149" s="8" t="n">
        <v>2.76</v>
      </c>
      <c r="N149" s="8" t="n"/>
      <c r="O149" s="8" t="n"/>
      <c r="P149" s="9" t="n"/>
      <c r="Q149" s="10" t="n">
        <v>0</v>
      </c>
      <c r="R149" s="10" t="n">
        <v>0</v>
      </c>
      <c r="S149" s="16" t="n"/>
    </row>
    <row r="150" ht="18" customHeight="1" s="47">
      <c r="A150" s="49" t="n"/>
      <c r="B150" s="52" t="n"/>
      <c r="C150" s="7" t="inlineStr">
        <is>
          <t>59期</t>
        </is>
      </c>
      <c r="D150" s="12" t="n"/>
      <c r="E150" s="12" t="n"/>
      <c r="F150" s="12" t="n"/>
      <c r="G150" s="12" t="n"/>
      <c r="H150" s="12" t="n"/>
      <c r="I150" s="13" t="n"/>
      <c r="J150" s="14" t="n">
        <v>3.43</v>
      </c>
      <c r="K150" s="15" t="n"/>
      <c r="L150" s="12" t="n"/>
      <c r="M150" s="12" t="n"/>
      <c r="N150" s="12" t="n"/>
      <c r="O150" s="12" t="n"/>
      <c r="P150" s="13" t="n"/>
      <c r="Q150" s="14" t="n">
        <v>2.11</v>
      </c>
      <c r="R150" s="14" t="n">
        <v>5.539999999999999</v>
      </c>
      <c r="S150" s="17" t="n"/>
    </row>
    <row r="151" ht="18" customHeight="1" s="47">
      <c r="A151" s="49" t="n"/>
      <c r="B151" s="52" t="n"/>
      <c r="C151" s="23" t="inlineStr">
        <is>
          <t>増　減</t>
        </is>
      </c>
      <c r="D151" s="24" t="n">
        <v>0</v>
      </c>
      <c r="E151" s="24" t="n">
        <v>0</v>
      </c>
      <c r="F151" s="24" t="n">
        <v>0</v>
      </c>
      <c r="G151" s="24" t="n">
        <v>1.68</v>
      </c>
      <c r="H151" s="24" t="n">
        <v>1.45</v>
      </c>
      <c r="I151" s="27" t="n">
        <v>0.3</v>
      </c>
      <c r="J151" s="30" t="n">
        <v>3.43</v>
      </c>
      <c r="K151" s="29" t="n">
        <v>0.66</v>
      </c>
      <c r="L151" s="24" t="n">
        <v>0</v>
      </c>
      <c r="M151" s="24" t="n">
        <v>1.45</v>
      </c>
      <c r="N151" s="24" t="n">
        <v>0</v>
      </c>
      <c r="O151" s="24" t="n">
        <v>0</v>
      </c>
      <c r="P151" s="27" t="n">
        <v>0</v>
      </c>
      <c r="Q151" s="30" t="n">
        <v>2.11</v>
      </c>
      <c r="R151" s="30" t="n">
        <v>5.539999999999999</v>
      </c>
      <c r="S151" s="17" t="n"/>
    </row>
    <row r="152" ht="18" customHeight="1" s="47" thickBot="1">
      <c r="A152" s="50" t="n"/>
      <c r="B152" s="53" t="n"/>
      <c r="C152" s="25" t="inlineStr">
        <is>
          <t>稼働棟数</t>
        </is>
      </c>
      <c r="D152" s="20" t="n"/>
      <c r="E152" s="20" t="n"/>
      <c r="F152" s="20" t="n"/>
      <c r="G152" s="20" t="n"/>
      <c r="H152" s="20" t="n"/>
      <c r="I152" s="28" t="n"/>
      <c r="J152" s="21" t="n">
        <v>0</v>
      </c>
      <c r="K152" s="22" t="n"/>
      <c r="L152" s="20" t="n"/>
      <c r="M152" s="20" t="n"/>
      <c r="N152" s="20" t="n"/>
      <c r="O152" s="20" t="n"/>
      <c r="P152" s="28" t="n"/>
      <c r="Q152" s="21" t="n">
        <v>0</v>
      </c>
      <c r="R152" s="21" t="n">
        <v>0</v>
      </c>
      <c r="S152" s="18" t="n"/>
    </row>
    <row r="153" ht="18" customHeight="1" s="47">
      <c r="A153" s="48" t="n">
        <v>32</v>
      </c>
      <c r="B153" s="51" t="inlineStr">
        <is>
          <t>慈誠会
/イチゴ</t>
        </is>
      </c>
      <c r="C153" s="31" t="inlineStr">
        <is>
          <t>58期</t>
        </is>
      </c>
      <c r="D153" s="8" t="n"/>
      <c r="E153" s="8" t="n"/>
      <c r="F153" s="8" t="n"/>
      <c r="G153" s="8" t="n">
        <v>1.68</v>
      </c>
      <c r="H153" s="8" t="n">
        <v>1.45</v>
      </c>
      <c r="I153" s="9" t="n">
        <v>0.3</v>
      </c>
      <c r="J153" s="10" t="n">
        <v>0</v>
      </c>
      <c r="K153" s="11" t="n">
        <v>0.66</v>
      </c>
      <c r="L153" s="8" t="n">
        <v>1.45</v>
      </c>
      <c r="M153" s="8" t="n"/>
      <c r="N153" s="8" t="n"/>
      <c r="O153" s="8" t="n"/>
      <c r="P153" s="9" t="n"/>
      <c r="Q153" s="10" t="n">
        <v>0</v>
      </c>
      <c r="R153" s="10" t="n">
        <v>0</v>
      </c>
      <c r="S153" s="16" t="n"/>
    </row>
    <row r="154" ht="18" customHeight="1" s="47">
      <c r="A154" s="49" t="n"/>
      <c r="B154" s="52" t="n"/>
      <c r="C154" s="7" t="inlineStr">
        <is>
          <t>59期</t>
        </is>
      </c>
      <c r="D154" s="12" t="n"/>
      <c r="E154" s="12" t="n"/>
      <c r="F154" s="12" t="n"/>
      <c r="G154" s="12" t="n">
        <v>0.07000000000000001</v>
      </c>
      <c r="H154" s="12" t="n"/>
      <c r="I154" s="13" t="n"/>
      <c r="J154" s="14" t="n">
        <v>3.43</v>
      </c>
      <c r="K154" s="15" t="n"/>
      <c r="L154" s="12" t="n"/>
      <c r="M154" s="12" t="n"/>
      <c r="N154" s="12" t="n"/>
      <c r="O154" s="12" t="n"/>
      <c r="P154" s="13" t="n"/>
      <c r="Q154" s="14" t="n">
        <v>2.11</v>
      </c>
      <c r="R154" s="14" t="n">
        <v>5.539999999999999</v>
      </c>
      <c r="S154" s="17" t="n"/>
    </row>
    <row r="155" ht="18" customHeight="1" s="47">
      <c r="A155" s="49" t="n"/>
      <c r="B155" s="52" t="n"/>
      <c r="C155" s="23" t="inlineStr">
        <is>
          <t>増　減</t>
        </is>
      </c>
      <c r="D155" s="24" t="n">
        <v>0</v>
      </c>
      <c r="E155" s="24" t="n">
        <v>0</v>
      </c>
      <c r="F155" s="24" t="n">
        <v>0</v>
      </c>
      <c r="G155" s="24" t="n">
        <v>1.68</v>
      </c>
      <c r="H155" s="24" t="n">
        <v>1.45</v>
      </c>
      <c r="I155" s="27" t="n">
        <v>0.3</v>
      </c>
      <c r="J155" s="30" t="n">
        <v>3.43</v>
      </c>
      <c r="K155" s="29" t="n">
        <v>0.66</v>
      </c>
      <c r="L155" s="24" t="n">
        <v>0</v>
      </c>
      <c r="M155" s="24" t="n">
        <v>1.45</v>
      </c>
      <c r="N155" s="24" t="n">
        <v>0</v>
      </c>
      <c r="O155" s="24" t="n">
        <v>0</v>
      </c>
      <c r="P155" s="27" t="n">
        <v>0</v>
      </c>
      <c r="Q155" s="30" t="n">
        <v>2.11</v>
      </c>
      <c r="R155" s="30" t="n">
        <v>5.539999999999999</v>
      </c>
      <c r="S155" s="17" t="n"/>
    </row>
    <row r="156" ht="18" customHeight="1" s="47" thickBot="1">
      <c r="A156" s="50" t="n"/>
      <c r="B156" s="53" t="n"/>
      <c r="C156" s="25" t="inlineStr">
        <is>
          <t>稼働棟数</t>
        </is>
      </c>
      <c r="D156" s="20" t="n"/>
      <c r="E156" s="20" t="n"/>
      <c r="F156" s="20" t="n"/>
      <c r="G156" s="20" t="n"/>
      <c r="H156" s="20" t="n"/>
      <c r="I156" s="28" t="n"/>
      <c r="J156" s="21" t="n">
        <v>0</v>
      </c>
      <c r="K156" s="22" t="n"/>
      <c r="L156" s="20" t="n"/>
      <c r="M156" s="20" t="n"/>
      <c r="N156" s="20" t="n"/>
      <c r="O156" s="20" t="n"/>
      <c r="P156" s="28" t="n"/>
      <c r="Q156" s="21" t="n">
        <v>0</v>
      </c>
      <c r="R156" s="21" t="n">
        <v>0</v>
      </c>
      <c r="S156" s="18" t="n"/>
    </row>
    <row r="157" ht="18" customHeight="1" s="47">
      <c r="A157" s="48" t="n">
        <v>33</v>
      </c>
      <c r="B157" s="51" t="inlineStr">
        <is>
          <t>富士機械
/葉物野菜</t>
        </is>
      </c>
      <c r="C157" s="31" t="inlineStr">
        <is>
          <t>58期</t>
        </is>
      </c>
      <c r="D157" s="8" t="n">
        <v>3.06</v>
      </c>
      <c r="E157" s="8" t="n">
        <v>4.31</v>
      </c>
      <c r="F157" s="8" t="n">
        <v>2.01</v>
      </c>
      <c r="G157" s="8" t="n">
        <v>1.5</v>
      </c>
      <c r="H157" s="8" t="n">
        <v>4.81</v>
      </c>
      <c r="I157" s="9" t="n"/>
      <c r="J157" s="10">
        <f>SUM(D157:I157)</f>
        <v/>
      </c>
      <c r="K157" s="11" t="n"/>
      <c r="L157" s="8" t="n">
        <v>0.86</v>
      </c>
      <c r="M157" s="8" t="n"/>
      <c r="N157" s="8" t="n">
        <v>8.92</v>
      </c>
      <c r="O157" s="8" t="n"/>
      <c r="P157" s="9" t="n"/>
      <c r="Q157" s="10">
        <f>SUM(K157:P157)</f>
        <v/>
      </c>
      <c r="R157" s="10">
        <f>J157+Q157</f>
        <v/>
      </c>
      <c r="S157" s="16" t="n"/>
    </row>
    <row r="158" ht="18" customHeight="1" s="47">
      <c r="A158" s="49" t="n"/>
      <c r="B158" s="52" t="n"/>
      <c r="C158" s="7" t="inlineStr">
        <is>
          <t>59期</t>
        </is>
      </c>
      <c r="D158" s="12" t="n"/>
      <c r="E158" s="12" t="n">
        <v>3.84</v>
      </c>
      <c r="F158" s="12" t="n">
        <v>3.78</v>
      </c>
      <c r="G158" s="12" t="n">
        <v>4.5</v>
      </c>
      <c r="H158" s="12" t="n"/>
      <c r="I158" s="13" t="n"/>
      <c r="J158" s="14">
        <f>SUM(D158:I158)</f>
        <v/>
      </c>
      <c r="K158" s="15" t="n"/>
      <c r="L158" s="12" t="n"/>
      <c r="M158" s="12" t="n"/>
      <c r="N158" s="12" t="n"/>
      <c r="O158" s="12" t="n"/>
      <c r="P158" s="13" t="n"/>
      <c r="Q158" s="14">
        <f>SUM(K158:P158)</f>
        <v/>
      </c>
      <c r="R158" s="14">
        <f>J158+Q158</f>
        <v/>
      </c>
      <c r="S158" s="17" t="n"/>
    </row>
    <row r="159" ht="18" customHeight="1" s="47">
      <c r="A159" s="49" t="n"/>
      <c r="B159" s="52" t="n"/>
      <c r="C159" s="23" t="inlineStr">
        <is>
          <t>増　減</t>
        </is>
      </c>
      <c r="D159" s="24">
        <f>D158-D157</f>
        <v/>
      </c>
      <c r="E159" s="24">
        <f>E158-E157</f>
        <v/>
      </c>
      <c r="F159" s="24">
        <f>F158-F157</f>
        <v/>
      </c>
      <c r="G159" s="24">
        <f>G158-G157</f>
        <v/>
      </c>
      <c r="H159" s="24">
        <f>H158-H157</f>
        <v/>
      </c>
      <c r="I159" s="27">
        <f>I158-I157</f>
        <v/>
      </c>
      <c r="J159" s="30">
        <f>SUM(D159:I159)</f>
        <v/>
      </c>
      <c r="K159" s="29">
        <f>K158-K157</f>
        <v/>
      </c>
      <c r="L159" s="24">
        <f>L158-L157</f>
        <v/>
      </c>
      <c r="M159" s="24">
        <f>M158-M157</f>
        <v/>
      </c>
      <c r="N159" s="24">
        <f>N158-N157</f>
        <v/>
      </c>
      <c r="O159" s="24">
        <f>O158-O157</f>
        <v/>
      </c>
      <c r="P159" s="27">
        <f>P158-P157</f>
        <v/>
      </c>
      <c r="Q159" s="30">
        <f>SUM(K159:P159)</f>
        <v/>
      </c>
      <c r="R159" s="30">
        <f>J159+Q159</f>
        <v/>
      </c>
      <c r="S159" s="17" t="n"/>
    </row>
    <row r="160" ht="18" customHeight="1" s="47" thickBot="1">
      <c r="A160" s="50" t="n"/>
      <c r="B160" s="53" t="n"/>
      <c r="C160" s="25" t="inlineStr">
        <is>
          <t>稼働棟数</t>
        </is>
      </c>
      <c r="D160" s="20" t="n"/>
      <c r="E160" s="20" t="n"/>
      <c r="F160" s="20" t="n"/>
      <c r="G160" s="20" t="n"/>
      <c r="H160" s="20" t="n"/>
      <c r="I160" s="28" t="n"/>
      <c r="J160" s="21">
        <f>I160</f>
        <v/>
      </c>
      <c r="K160" s="22" t="n"/>
      <c r="L160" s="20" t="n"/>
      <c r="M160" s="20" t="n"/>
      <c r="N160" s="20" t="n"/>
      <c r="O160" s="20" t="n"/>
      <c r="P160" s="28" t="n"/>
      <c r="Q160" s="21">
        <f>P160</f>
        <v/>
      </c>
      <c r="R160" s="21">
        <f>Q160</f>
        <v/>
      </c>
      <c r="S160" s="18" t="n"/>
    </row>
    <row r="161" ht="18" customHeight="1" s="47">
      <c r="A161" s="48" t="n">
        <v>34</v>
      </c>
      <c r="B161" s="51" t="inlineStr">
        <is>
          <t>富士機械
/根菜</t>
        </is>
      </c>
      <c r="C161" s="31" t="inlineStr">
        <is>
          <t>58期</t>
        </is>
      </c>
      <c r="D161" s="8" t="n"/>
      <c r="E161" s="8" t="n"/>
      <c r="F161" s="8" t="n"/>
      <c r="G161" s="8" t="n"/>
      <c r="H161" s="8" t="n"/>
      <c r="I161" s="9" t="n"/>
      <c r="J161" s="10">
        <f>SUM(D161:I161)</f>
        <v/>
      </c>
      <c r="K161" s="11" t="n"/>
      <c r="L161" s="8" t="n">
        <v>6.44</v>
      </c>
      <c r="M161" s="8" t="n">
        <v>1.36</v>
      </c>
      <c r="N161" s="8" t="n">
        <v>4.33</v>
      </c>
      <c r="O161" s="8" t="n">
        <v>0.72</v>
      </c>
      <c r="P161" s="9" t="n"/>
      <c r="Q161" s="10">
        <f>SUM(K161:P161)</f>
        <v/>
      </c>
      <c r="R161" s="10">
        <f>J161+Q161</f>
        <v/>
      </c>
      <c r="S161" s="16" t="n"/>
    </row>
    <row r="162" ht="18" customHeight="1" s="47">
      <c r="A162" s="49" t="n"/>
      <c r="B162" s="52" t="n"/>
      <c r="C162" s="7" t="inlineStr">
        <is>
          <t>59期</t>
        </is>
      </c>
      <c r="D162" s="12" t="n">
        <v>2.16</v>
      </c>
      <c r="E162" s="12" t="n"/>
      <c r="F162" s="12" t="n"/>
      <c r="G162" s="12" t="n"/>
      <c r="H162" s="12" t="n"/>
      <c r="I162" s="13" t="n"/>
      <c r="J162" s="14">
        <f>SUM(D162:I162)</f>
        <v/>
      </c>
      <c r="K162" s="15" t="n"/>
      <c r="L162" s="12" t="n"/>
      <c r="M162" s="12" t="n"/>
      <c r="N162" s="12" t="n"/>
      <c r="O162" s="12" t="n"/>
      <c r="P162" s="13" t="n"/>
      <c r="Q162" s="14">
        <f>SUM(K162:P162)</f>
        <v/>
      </c>
      <c r="R162" s="14">
        <f>J162+Q162</f>
        <v/>
      </c>
      <c r="S162" s="17" t="n"/>
    </row>
    <row r="163" ht="18" customHeight="1" s="47">
      <c r="A163" s="49" t="n"/>
      <c r="B163" s="52" t="n"/>
      <c r="C163" s="23" t="inlineStr">
        <is>
          <t>増　減</t>
        </is>
      </c>
      <c r="D163" s="24">
        <f>D162-D161</f>
        <v/>
      </c>
      <c r="E163" s="24">
        <f>E162-E161</f>
        <v/>
      </c>
      <c r="F163" s="24">
        <f>F162-F161</f>
        <v/>
      </c>
      <c r="G163" s="24">
        <f>G162-G161</f>
        <v/>
      </c>
      <c r="H163" s="24">
        <f>H162-H161</f>
        <v/>
      </c>
      <c r="I163" s="27">
        <f>I162-I161</f>
        <v/>
      </c>
      <c r="J163" s="30">
        <f>SUM(D163:I163)</f>
        <v/>
      </c>
      <c r="K163" s="29">
        <f>K162-K161</f>
        <v/>
      </c>
      <c r="L163" s="24">
        <f>L162-L161</f>
        <v/>
      </c>
      <c r="M163" s="24">
        <f>M162-M161</f>
        <v/>
      </c>
      <c r="N163" s="24">
        <f>N162-N161</f>
        <v/>
      </c>
      <c r="O163" s="24">
        <f>O162-O161</f>
        <v/>
      </c>
      <c r="P163" s="27">
        <f>P162-P161</f>
        <v/>
      </c>
      <c r="Q163" s="30">
        <f>SUM(K163:P163)</f>
        <v/>
      </c>
      <c r="R163" s="30">
        <f>J163+Q163</f>
        <v/>
      </c>
      <c r="S163" s="17" t="n"/>
    </row>
    <row r="164" ht="18" customHeight="1" s="47" thickBot="1">
      <c r="A164" s="50" t="n"/>
      <c r="B164" s="53" t="n"/>
      <c r="C164" s="25" t="inlineStr">
        <is>
          <t>稼働棟数</t>
        </is>
      </c>
      <c r="D164" s="20" t="n"/>
      <c r="E164" s="20" t="n"/>
      <c r="F164" s="20" t="n"/>
      <c r="G164" s="20" t="n"/>
      <c r="H164" s="20" t="n"/>
      <c r="I164" s="28" t="n"/>
      <c r="J164" s="21">
        <f>I164</f>
        <v/>
      </c>
      <c r="K164" s="22" t="n"/>
      <c r="L164" s="20" t="n"/>
      <c r="M164" s="20" t="n"/>
      <c r="N164" s="20" t="n"/>
      <c r="O164" s="20" t="n"/>
      <c r="P164" s="28" t="n"/>
      <c r="Q164" s="21">
        <f>P164</f>
        <v/>
      </c>
      <c r="R164" s="21">
        <f>Q164</f>
        <v/>
      </c>
      <c r="S164" s="18" t="n"/>
    </row>
    <row r="165" ht="18" customHeight="1" s="47">
      <c r="A165" s="48" t="n">
        <v>34</v>
      </c>
      <c r="B165" s="51" t="inlineStr">
        <is>
          <t>富士機械
/イチゴ</t>
        </is>
      </c>
      <c r="C165" s="31" t="inlineStr">
        <is>
          <t>58期</t>
        </is>
      </c>
      <c r="D165" s="8" t="n"/>
      <c r="E165" s="8" t="n"/>
      <c r="F165" s="8" t="n"/>
      <c r="G165" s="8" t="n">
        <v>2.56</v>
      </c>
      <c r="H165" s="8" t="n">
        <v>4.54</v>
      </c>
      <c r="I165" s="9" t="n">
        <v>0.43</v>
      </c>
      <c r="J165" s="10">
        <f>SUM(D165:I165)</f>
        <v/>
      </c>
      <c r="K165" s="11" t="n">
        <v>11.16</v>
      </c>
      <c r="L165" s="8" t="n">
        <v>5.98</v>
      </c>
      <c r="M165" s="8" t="n"/>
      <c r="N165" s="8" t="n"/>
      <c r="O165" s="8" t="n"/>
      <c r="P165" s="9" t="n"/>
      <c r="Q165" s="10">
        <f>SUM(K165:P165)</f>
        <v/>
      </c>
      <c r="R165" s="10">
        <f>J165+Q165</f>
        <v/>
      </c>
      <c r="S165" s="16" t="n"/>
    </row>
    <row r="166" ht="18" customHeight="1" s="47">
      <c r="A166" s="49" t="n"/>
      <c r="B166" s="52" t="n"/>
      <c r="C166" s="7" t="inlineStr">
        <is>
          <t>59期</t>
        </is>
      </c>
      <c r="D166" s="12" t="n"/>
      <c r="E166" s="12" t="n"/>
      <c r="F166" s="12" t="n"/>
      <c r="G166" s="12" t="n"/>
      <c r="H166" s="12" t="n"/>
      <c r="I166" s="13" t="n"/>
      <c r="J166" s="14">
        <f>SUM(D166:I166)</f>
        <v/>
      </c>
      <c r="K166" s="15" t="n"/>
      <c r="L166" s="12" t="n"/>
      <c r="M166" s="12" t="n"/>
      <c r="N166" s="12" t="n"/>
      <c r="O166" s="12" t="n"/>
      <c r="P166" s="13" t="n"/>
      <c r="Q166" s="14">
        <f>SUM(K166:P166)</f>
        <v/>
      </c>
      <c r="R166" s="14">
        <f>J166+Q166</f>
        <v/>
      </c>
      <c r="S166" s="17" t="n"/>
    </row>
    <row r="167" ht="18" customHeight="1" s="47">
      <c r="A167" s="49" t="n"/>
      <c r="B167" s="52" t="n"/>
      <c r="C167" s="23" t="inlineStr">
        <is>
          <t>増　減</t>
        </is>
      </c>
      <c r="D167" s="24">
        <f>D166-D165</f>
        <v/>
      </c>
      <c r="E167" s="24">
        <f>E166-E165</f>
        <v/>
      </c>
      <c r="F167" s="24">
        <f>F166-F165</f>
        <v/>
      </c>
      <c r="G167" s="24">
        <f>G166-G165</f>
        <v/>
      </c>
      <c r="H167" s="24">
        <f>H166-H165</f>
        <v/>
      </c>
      <c r="I167" s="27">
        <f>I166-I165</f>
        <v/>
      </c>
      <c r="J167" s="30">
        <f>SUM(D167:I167)</f>
        <v/>
      </c>
      <c r="K167" s="29">
        <f>K166-K165</f>
        <v/>
      </c>
      <c r="L167" s="24">
        <f>L166-L165</f>
        <v/>
      </c>
      <c r="M167" s="24">
        <f>M166-M165</f>
        <v/>
      </c>
      <c r="N167" s="24">
        <f>N166-N165</f>
        <v/>
      </c>
      <c r="O167" s="24">
        <f>O166-O165</f>
        <v/>
      </c>
      <c r="P167" s="27">
        <f>P166-P165</f>
        <v/>
      </c>
      <c r="Q167" s="30">
        <f>SUM(K167:P167)</f>
        <v/>
      </c>
      <c r="R167" s="30">
        <f>J167+Q167</f>
        <v/>
      </c>
      <c r="S167" s="17" t="n"/>
    </row>
    <row r="168" ht="18" customHeight="1" s="47" thickBot="1">
      <c r="A168" s="50" t="n"/>
      <c r="B168" s="53" t="n"/>
      <c r="C168" s="25" t="inlineStr">
        <is>
          <t>稼働棟数</t>
        </is>
      </c>
      <c r="D168" s="20" t="n"/>
      <c r="E168" s="20" t="n"/>
      <c r="F168" s="20" t="n"/>
      <c r="G168" s="20" t="n"/>
      <c r="H168" s="20" t="n"/>
      <c r="I168" s="28" t="n"/>
      <c r="J168" s="21">
        <f>I168</f>
        <v/>
      </c>
      <c r="K168" s="22" t="n"/>
      <c r="L168" s="20" t="n"/>
      <c r="M168" s="20" t="n"/>
      <c r="N168" s="20" t="n"/>
      <c r="O168" s="20" t="n"/>
      <c r="P168" s="28" t="n"/>
      <c r="Q168" s="21">
        <f>P168</f>
        <v/>
      </c>
      <c r="R168" s="21">
        <f>Q168</f>
        <v/>
      </c>
      <c r="S168" s="18" t="n"/>
    </row>
    <row r="169" ht="18" customHeight="1" s="47">
      <c r="A169" s="48" t="n">
        <v>35</v>
      </c>
      <c r="B169" s="51" t="inlineStr">
        <is>
          <t>サンテレホン
/葉物野菜</t>
        </is>
      </c>
      <c r="C169" s="31" t="inlineStr">
        <is>
          <t>58期</t>
        </is>
      </c>
      <c r="D169" s="8" t="n"/>
      <c r="E169" s="8" t="n">
        <v>0.66</v>
      </c>
      <c r="F169" s="8" t="n">
        <v>1.14</v>
      </c>
      <c r="G169" s="8" t="n">
        <v>0.75</v>
      </c>
      <c r="H169" s="8" t="n">
        <v>0.63</v>
      </c>
      <c r="I169" s="9" t="n"/>
      <c r="J169" s="10">
        <f>SUM(D169:I169)</f>
        <v/>
      </c>
      <c r="K169" s="11" t="n"/>
      <c r="L169" s="8" t="n">
        <v>1.08</v>
      </c>
      <c r="M169" s="8" t="n">
        <v>4.22</v>
      </c>
      <c r="N169" s="8" t="n">
        <v>0.36</v>
      </c>
      <c r="O169" s="8" t="n"/>
      <c r="P169" s="9" t="n"/>
      <c r="Q169" s="10">
        <f>SUM(K169:P169)</f>
        <v/>
      </c>
      <c r="R169" s="10">
        <f>J169+Q169</f>
        <v/>
      </c>
      <c r="S169" s="16" t="n"/>
    </row>
    <row r="170" ht="18" customHeight="1" s="47">
      <c r="A170" s="49" t="n"/>
      <c r="B170" s="52" t="n"/>
      <c r="C170" s="7" t="inlineStr">
        <is>
          <t>59期</t>
        </is>
      </c>
      <c r="D170" s="12" t="n">
        <v>0.24</v>
      </c>
      <c r="E170" s="12" t="n"/>
      <c r="F170" s="12" t="n"/>
      <c r="G170" s="12" t="n">
        <v>1.43</v>
      </c>
      <c r="H170" s="12" t="n"/>
      <c r="I170" s="13" t="n"/>
      <c r="J170" s="14">
        <f>SUM(D170:I170)</f>
        <v/>
      </c>
      <c r="K170" s="15" t="n"/>
      <c r="L170" s="12" t="n"/>
      <c r="M170" s="12" t="n"/>
      <c r="N170" s="12" t="n"/>
      <c r="O170" s="12" t="n"/>
      <c r="P170" s="13" t="n"/>
      <c r="Q170" s="14">
        <f>SUM(K170:P170)</f>
        <v/>
      </c>
      <c r="R170" s="14">
        <f>J170+Q170</f>
        <v/>
      </c>
      <c r="S170" s="17" t="n"/>
    </row>
    <row r="171" ht="18" customHeight="1" s="47">
      <c r="A171" s="49" t="n"/>
      <c r="B171" s="52" t="n"/>
      <c r="C171" s="23" t="inlineStr">
        <is>
          <t>増　減</t>
        </is>
      </c>
      <c r="D171" s="24">
        <f>D170-D169</f>
        <v/>
      </c>
      <c r="E171" s="24">
        <f>E170-E169</f>
        <v/>
      </c>
      <c r="F171" s="24">
        <f>F170-F169</f>
        <v/>
      </c>
      <c r="G171" s="24">
        <f>G170-G169</f>
        <v/>
      </c>
      <c r="H171" s="24">
        <f>H170-H169</f>
        <v/>
      </c>
      <c r="I171" s="27">
        <f>I170-I169</f>
        <v/>
      </c>
      <c r="J171" s="30">
        <f>SUM(D171:I171)</f>
        <v/>
      </c>
      <c r="K171" s="29">
        <f>K170-K169</f>
        <v/>
      </c>
      <c r="L171" s="24">
        <f>L170-L169</f>
        <v/>
      </c>
      <c r="M171" s="24">
        <f>M170-M169</f>
        <v/>
      </c>
      <c r="N171" s="24">
        <f>N170-N169</f>
        <v/>
      </c>
      <c r="O171" s="24">
        <f>O170-O169</f>
        <v/>
      </c>
      <c r="P171" s="27">
        <f>P170-P169</f>
        <v/>
      </c>
      <c r="Q171" s="30">
        <f>SUM(K171:P171)</f>
        <v/>
      </c>
      <c r="R171" s="30">
        <f>J171+Q171</f>
        <v/>
      </c>
      <c r="S171" s="17" t="n"/>
    </row>
    <row r="172" ht="18" customHeight="1" s="47" thickBot="1">
      <c r="A172" s="50" t="n"/>
      <c r="B172" s="53" t="n"/>
      <c r="C172" s="25" t="inlineStr">
        <is>
          <t>稼働棟数</t>
        </is>
      </c>
      <c r="D172" s="20" t="n"/>
      <c r="E172" s="20" t="n"/>
      <c r="F172" s="20" t="n"/>
      <c r="G172" s="20" t="n"/>
      <c r="H172" s="20" t="n"/>
      <c r="I172" s="28" t="n"/>
      <c r="J172" s="21">
        <f>I172</f>
        <v/>
      </c>
      <c r="K172" s="22" t="n"/>
      <c r="L172" s="20" t="n"/>
      <c r="M172" s="20" t="n"/>
      <c r="N172" s="20" t="n"/>
      <c r="O172" s="20" t="n"/>
      <c r="P172" s="28" t="n"/>
      <c r="Q172" s="21">
        <f>P172</f>
        <v/>
      </c>
      <c r="R172" s="21">
        <f>Q172</f>
        <v/>
      </c>
      <c r="S172" s="18" t="n"/>
    </row>
    <row r="173" ht="18" customHeight="1" s="47">
      <c r="A173" s="48" t="n">
        <v>36</v>
      </c>
      <c r="B173" s="51" t="inlineStr">
        <is>
          <t>IDAJ
/葉物野菜</t>
        </is>
      </c>
      <c r="C173" s="31" t="inlineStr">
        <is>
          <t>58期</t>
        </is>
      </c>
      <c r="D173" s="8" t="n"/>
      <c r="E173" s="8" t="n">
        <v>0.93</v>
      </c>
      <c r="F173" s="8" t="n">
        <v>0.3</v>
      </c>
      <c r="G173" s="8" t="n">
        <v>0.6</v>
      </c>
      <c r="H173" s="8" t="n">
        <v>0.15</v>
      </c>
      <c r="I173" s="9" t="n"/>
      <c r="J173" s="10">
        <f>SUM(D173:I173)</f>
        <v/>
      </c>
      <c r="K173" s="11" t="n"/>
      <c r="L173" s="8" t="n">
        <v>3.46</v>
      </c>
      <c r="M173" s="8" t="n">
        <v>10.7</v>
      </c>
      <c r="N173" s="8" t="n">
        <v>3.18</v>
      </c>
      <c r="O173" s="8" t="n"/>
      <c r="P173" s="9" t="n"/>
      <c r="Q173" s="10">
        <f>SUM(K173:P173)</f>
        <v/>
      </c>
      <c r="R173" s="10">
        <f>J173+Q173</f>
        <v/>
      </c>
      <c r="S173" s="16" t="n"/>
    </row>
    <row r="174" ht="18" customHeight="1" s="47">
      <c r="A174" s="49" t="n"/>
      <c r="B174" s="52" t="n"/>
      <c r="C174" s="7" t="inlineStr">
        <is>
          <t>59期</t>
        </is>
      </c>
      <c r="D174" s="12" t="n"/>
      <c r="E174" s="12" t="n"/>
      <c r="F174" s="12" t="n"/>
      <c r="G174" s="12" t="n"/>
      <c r="H174" s="12" t="n"/>
      <c r="I174" s="13" t="n"/>
      <c r="J174" s="14">
        <f>SUM(D174:I174)</f>
        <v/>
      </c>
      <c r="K174" s="15" t="n"/>
      <c r="L174" s="12" t="n"/>
      <c r="M174" s="12" t="n"/>
      <c r="N174" s="12" t="n"/>
      <c r="O174" s="12" t="n"/>
      <c r="P174" s="13" t="n"/>
      <c r="Q174" s="14">
        <f>SUM(K174:P174)</f>
        <v/>
      </c>
      <c r="R174" s="14">
        <f>J174+Q174</f>
        <v/>
      </c>
      <c r="S174" s="17" t="n"/>
    </row>
    <row r="175" ht="18" customHeight="1" s="47">
      <c r="A175" s="49" t="n"/>
      <c r="B175" s="52" t="n"/>
      <c r="C175" s="23" t="inlineStr">
        <is>
          <t>増　減</t>
        </is>
      </c>
      <c r="D175" s="24">
        <f>D174-D173</f>
        <v/>
      </c>
      <c r="E175" s="24">
        <f>E174-E173</f>
        <v/>
      </c>
      <c r="F175" s="24">
        <f>F174-F173</f>
        <v/>
      </c>
      <c r="G175" s="24">
        <f>G174-G173</f>
        <v/>
      </c>
      <c r="H175" s="24">
        <f>H174-H173</f>
        <v/>
      </c>
      <c r="I175" s="27">
        <f>I174-I173</f>
        <v/>
      </c>
      <c r="J175" s="30">
        <f>SUM(D175:I175)</f>
        <v/>
      </c>
      <c r="K175" s="29">
        <f>K174-K173</f>
        <v/>
      </c>
      <c r="L175" s="24">
        <f>L174-L173</f>
        <v/>
      </c>
      <c r="M175" s="24">
        <f>M174-M173</f>
        <v/>
      </c>
      <c r="N175" s="24">
        <f>N174-N173</f>
        <v/>
      </c>
      <c r="O175" s="24">
        <f>O174-O173</f>
        <v/>
      </c>
      <c r="P175" s="27">
        <f>P174-P173</f>
        <v/>
      </c>
      <c r="Q175" s="30">
        <f>SUM(K175:P175)</f>
        <v/>
      </c>
      <c r="R175" s="30">
        <f>J175+Q175</f>
        <v/>
      </c>
      <c r="S175" s="17" t="n"/>
    </row>
    <row r="176" ht="18" customHeight="1" s="47" thickBot="1">
      <c r="A176" s="50" t="n"/>
      <c r="B176" s="53" t="n"/>
      <c r="C176" s="25" t="inlineStr">
        <is>
          <t>稼働棟数</t>
        </is>
      </c>
      <c r="D176" s="20" t="n"/>
      <c r="E176" s="20" t="n"/>
      <c r="F176" s="20" t="n"/>
      <c r="G176" s="20" t="n"/>
      <c r="H176" s="20" t="n"/>
      <c r="I176" s="28" t="n"/>
      <c r="J176" s="21">
        <f>I176</f>
        <v/>
      </c>
      <c r="K176" s="22" t="n"/>
      <c r="L176" s="20" t="n"/>
      <c r="M176" s="20" t="n"/>
      <c r="N176" s="20" t="n"/>
      <c r="O176" s="20" t="n"/>
      <c r="P176" s="28" t="n"/>
      <c r="Q176" s="21">
        <f>P176</f>
        <v/>
      </c>
      <c r="R176" s="21">
        <f>Q176</f>
        <v/>
      </c>
      <c r="S176" s="18" t="n"/>
    </row>
    <row r="177" ht="18" customHeight="1" s="47">
      <c r="A177" s="48" t="n">
        <v>37</v>
      </c>
      <c r="B177" s="51" t="n"/>
      <c r="C177" s="31" t="inlineStr">
        <is>
          <t>58期</t>
        </is>
      </c>
      <c r="D177" s="8" t="n"/>
      <c r="E177" s="8" t="n"/>
      <c r="F177" s="8" t="n"/>
      <c r="G177" s="8" t="n"/>
      <c r="H177" s="8" t="n"/>
      <c r="I177" s="9" t="n"/>
      <c r="J177" s="10">
        <f>SUM(D177:I177)</f>
        <v/>
      </c>
      <c r="K177" s="11" t="n"/>
      <c r="L177" s="8" t="n"/>
      <c r="M177" s="8" t="n"/>
      <c r="N177" s="8" t="n"/>
      <c r="O177" s="8" t="n"/>
      <c r="P177" s="9" t="n"/>
      <c r="Q177" s="10">
        <f>SUM(K177:P177)</f>
        <v/>
      </c>
      <c r="R177" s="10">
        <f>J177+Q177</f>
        <v/>
      </c>
      <c r="S177" s="16" t="n"/>
    </row>
    <row r="178" ht="18" customHeight="1" s="47">
      <c r="A178" s="49" t="n"/>
      <c r="B178" s="52" t="n"/>
      <c r="C178" s="7" t="inlineStr">
        <is>
          <t>59期</t>
        </is>
      </c>
      <c r="D178" s="12" t="n"/>
      <c r="E178" s="12" t="n"/>
      <c r="F178" s="12" t="n"/>
      <c r="G178" s="12" t="n"/>
      <c r="H178" s="12" t="n"/>
      <c r="I178" s="13" t="n"/>
      <c r="J178" s="14">
        <f>SUM(D178:I178)</f>
        <v/>
      </c>
      <c r="K178" s="15" t="n"/>
      <c r="L178" s="12" t="n"/>
      <c r="M178" s="12" t="n"/>
      <c r="N178" s="12" t="n"/>
      <c r="O178" s="12" t="n"/>
      <c r="P178" s="13" t="n"/>
      <c r="Q178" s="14">
        <f>SUM(K178:P178)</f>
        <v/>
      </c>
      <c r="R178" s="14">
        <f>J178+Q178</f>
        <v/>
      </c>
      <c r="S178" s="17" t="n"/>
    </row>
    <row r="179" ht="18" customHeight="1" s="47">
      <c r="A179" s="49" t="n"/>
      <c r="B179" s="52" t="n"/>
      <c r="C179" s="23" t="inlineStr">
        <is>
          <t>増　減</t>
        </is>
      </c>
      <c r="D179" s="24">
        <f>D178-D177</f>
        <v/>
      </c>
      <c r="E179" s="24">
        <f>E178-E177</f>
        <v/>
      </c>
      <c r="F179" s="24">
        <f>F178-F177</f>
        <v/>
      </c>
      <c r="G179" s="24">
        <f>G178-G177</f>
        <v/>
      </c>
      <c r="H179" s="24">
        <f>H178-H177</f>
        <v/>
      </c>
      <c r="I179" s="27">
        <f>I178-I177</f>
        <v/>
      </c>
      <c r="J179" s="30">
        <f>SUM(D179:I179)</f>
        <v/>
      </c>
      <c r="K179" s="29">
        <f>K178-K177</f>
        <v/>
      </c>
      <c r="L179" s="24">
        <f>L178-L177</f>
        <v/>
      </c>
      <c r="M179" s="24">
        <f>M178-M177</f>
        <v/>
      </c>
      <c r="N179" s="24">
        <f>N178-N177</f>
        <v/>
      </c>
      <c r="O179" s="24">
        <f>O178-O177</f>
        <v/>
      </c>
      <c r="P179" s="27">
        <f>P178-P177</f>
        <v/>
      </c>
      <c r="Q179" s="30">
        <f>SUM(K179:P179)</f>
        <v/>
      </c>
      <c r="R179" s="30">
        <f>J179+Q179</f>
        <v/>
      </c>
      <c r="S179" s="17" t="n"/>
    </row>
    <row r="180" ht="18" customHeight="1" s="47" thickBot="1">
      <c r="A180" s="50" t="n"/>
      <c r="B180" s="53" t="n"/>
      <c r="C180" s="25" t="inlineStr">
        <is>
          <t>稼働棟数</t>
        </is>
      </c>
      <c r="D180" s="20" t="n"/>
      <c r="E180" s="20" t="n"/>
      <c r="F180" s="20" t="n"/>
      <c r="G180" s="20" t="n"/>
      <c r="H180" s="20" t="n"/>
      <c r="I180" s="28" t="n"/>
      <c r="J180" s="21">
        <f>I180</f>
        <v/>
      </c>
      <c r="K180" s="22" t="n"/>
      <c r="L180" s="20" t="n"/>
      <c r="M180" s="20" t="n"/>
      <c r="N180" s="20" t="n"/>
      <c r="O180" s="20" t="n"/>
      <c r="P180" s="28" t="n"/>
      <c r="Q180" s="21">
        <f>P180</f>
        <v/>
      </c>
      <c r="R180" s="21">
        <f>Q180</f>
        <v/>
      </c>
      <c r="S180" s="18" t="n"/>
    </row>
    <row r="181" ht="18" customHeight="1" s="47">
      <c r="A181" s="48" t="n">
        <v>38</v>
      </c>
      <c r="B181" s="51" t="n"/>
      <c r="C181" s="31" t="inlineStr">
        <is>
          <t>58期</t>
        </is>
      </c>
      <c r="D181" s="8" t="n"/>
      <c r="E181" s="8" t="n"/>
      <c r="F181" s="8" t="n"/>
      <c r="G181" s="8" t="n"/>
      <c r="H181" s="8" t="n"/>
      <c r="I181" s="9" t="n"/>
      <c r="J181" s="10">
        <f>SUM(D181:I181)</f>
        <v/>
      </c>
      <c r="K181" s="11" t="n"/>
      <c r="L181" s="8" t="n"/>
      <c r="M181" s="8" t="n"/>
      <c r="N181" s="8" t="n"/>
      <c r="O181" s="8" t="n"/>
      <c r="P181" s="9" t="n"/>
      <c r="Q181" s="10">
        <f>SUM(K181:P181)</f>
        <v/>
      </c>
      <c r="R181" s="10">
        <f>J181+Q181</f>
        <v/>
      </c>
      <c r="S181" s="16" t="n"/>
    </row>
    <row r="182" ht="18" customHeight="1" s="47">
      <c r="A182" s="49" t="n"/>
      <c r="B182" s="52" t="n"/>
      <c r="C182" s="7" t="inlineStr">
        <is>
          <t>59期</t>
        </is>
      </c>
      <c r="D182" s="12" t="n"/>
      <c r="E182" s="12" t="n"/>
      <c r="F182" s="12" t="n"/>
      <c r="G182" s="12" t="n"/>
      <c r="H182" s="12" t="n"/>
      <c r="I182" s="13" t="n"/>
      <c r="J182" s="14">
        <f>SUM(D182:I182)</f>
        <v/>
      </c>
      <c r="K182" s="15" t="n"/>
      <c r="L182" s="12" t="n"/>
      <c r="M182" s="12" t="n"/>
      <c r="N182" s="12" t="n"/>
      <c r="O182" s="12" t="n"/>
      <c r="P182" s="13" t="n"/>
      <c r="Q182" s="14">
        <f>SUM(K182:P182)</f>
        <v/>
      </c>
      <c r="R182" s="14">
        <f>J182+Q182</f>
        <v/>
      </c>
      <c r="S182" s="17" t="n"/>
    </row>
    <row r="183" ht="18" customHeight="1" s="47">
      <c r="A183" s="49" t="n"/>
      <c r="B183" s="52" t="n"/>
      <c r="C183" s="23" t="inlineStr">
        <is>
          <t>増　減</t>
        </is>
      </c>
      <c r="D183" s="24">
        <f>D182-D181</f>
        <v/>
      </c>
      <c r="E183" s="24">
        <f>E182-E181</f>
        <v/>
      </c>
      <c r="F183" s="24">
        <f>F182-F181</f>
        <v/>
      </c>
      <c r="G183" s="24">
        <f>G182-G181</f>
        <v/>
      </c>
      <c r="H183" s="24">
        <f>H182-H181</f>
        <v/>
      </c>
      <c r="I183" s="27">
        <f>I182-I181</f>
        <v/>
      </c>
      <c r="J183" s="30">
        <f>SUM(D183:I183)</f>
        <v/>
      </c>
      <c r="K183" s="29">
        <f>K182-K181</f>
        <v/>
      </c>
      <c r="L183" s="24">
        <f>L182-L181</f>
        <v/>
      </c>
      <c r="M183" s="24">
        <f>M182-M181</f>
        <v/>
      </c>
      <c r="N183" s="24">
        <f>N182-N181</f>
        <v/>
      </c>
      <c r="O183" s="24">
        <f>O182-O181</f>
        <v/>
      </c>
      <c r="P183" s="27">
        <f>P182-P181</f>
        <v/>
      </c>
      <c r="Q183" s="30">
        <f>SUM(K183:P183)</f>
        <v/>
      </c>
      <c r="R183" s="30">
        <f>J183+Q183</f>
        <v/>
      </c>
      <c r="S183" s="17" t="n"/>
    </row>
    <row r="184" ht="18" customHeight="1" s="47" thickBot="1">
      <c r="A184" s="50" t="n"/>
      <c r="B184" s="53" t="n"/>
      <c r="C184" s="25" t="inlineStr">
        <is>
          <t>稼働棟数</t>
        </is>
      </c>
      <c r="D184" s="20" t="n"/>
      <c r="E184" s="20" t="n"/>
      <c r="F184" s="20" t="n"/>
      <c r="G184" s="20" t="n"/>
      <c r="H184" s="20" t="n"/>
      <c r="I184" s="28" t="n"/>
      <c r="J184" s="21">
        <f>I184</f>
        <v/>
      </c>
      <c r="K184" s="22" t="n"/>
      <c r="L184" s="20" t="n"/>
      <c r="M184" s="20" t="n"/>
      <c r="N184" s="20" t="n"/>
      <c r="O184" s="20" t="n"/>
      <c r="P184" s="28" t="n"/>
      <c r="Q184" s="21">
        <f>P184</f>
        <v/>
      </c>
      <c r="R184" s="21">
        <f>Q184</f>
        <v/>
      </c>
      <c r="S184" s="18" t="n"/>
    </row>
    <row r="185" ht="18" customHeight="1" s="47">
      <c r="A185" s="48" t="n">
        <v>39</v>
      </c>
      <c r="B185" s="51" t="n"/>
      <c r="C185" s="31" t="inlineStr">
        <is>
          <t>58期</t>
        </is>
      </c>
      <c r="D185" s="8" t="n"/>
      <c r="E185" s="8" t="n"/>
      <c r="F185" s="8" t="n"/>
      <c r="G185" s="8" t="n"/>
      <c r="H185" s="8" t="n"/>
      <c r="I185" s="9" t="n"/>
      <c r="J185" s="10">
        <f>SUM(D185:I185)</f>
        <v/>
      </c>
      <c r="K185" s="11" t="n"/>
      <c r="L185" s="8" t="n"/>
      <c r="M185" s="8" t="n"/>
      <c r="N185" s="8" t="n"/>
      <c r="O185" s="8" t="n"/>
      <c r="P185" s="9" t="n"/>
      <c r="Q185" s="10">
        <f>SUM(K185:P185)</f>
        <v/>
      </c>
      <c r="R185" s="10">
        <f>J185+Q185</f>
        <v/>
      </c>
      <c r="S185" s="16" t="n"/>
    </row>
    <row r="186" ht="18" customHeight="1" s="47">
      <c r="A186" s="49" t="n"/>
      <c r="B186" s="52" t="n"/>
      <c r="C186" s="7" t="inlineStr">
        <is>
          <t>59期</t>
        </is>
      </c>
      <c r="D186" s="12" t="n"/>
      <c r="E186" s="12" t="n"/>
      <c r="F186" s="12" t="n"/>
      <c r="G186" s="12" t="n"/>
      <c r="H186" s="12" t="n"/>
      <c r="I186" s="13" t="n"/>
      <c r="J186" s="14">
        <f>SUM(D186:I186)</f>
        <v/>
      </c>
      <c r="K186" s="15" t="n"/>
      <c r="L186" s="12" t="n"/>
      <c r="M186" s="12" t="n"/>
      <c r="N186" s="12" t="n"/>
      <c r="O186" s="12" t="n"/>
      <c r="P186" s="13" t="n"/>
      <c r="Q186" s="14">
        <f>SUM(K186:P186)</f>
        <v/>
      </c>
      <c r="R186" s="14">
        <f>J186+Q186</f>
        <v/>
      </c>
      <c r="S186" s="17" t="n"/>
    </row>
    <row r="187" ht="18" customHeight="1" s="47">
      <c r="A187" s="49" t="n"/>
      <c r="B187" s="52" t="n"/>
      <c r="C187" s="23" t="inlineStr">
        <is>
          <t>増　減</t>
        </is>
      </c>
      <c r="D187" s="24">
        <f>D186-D185</f>
        <v/>
      </c>
      <c r="E187" s="24">
        <f>E186-E185</f>
        <v/>
      </c>
      <c r="F187" s="24">
        <f>F186-F185</f>
        <v/>
      </c>
      <c r="G187" s="24">
        <f>G186-G185</f>
        <v/>
      </c>
      <c r="H187" s="24">
        <f>H186-H185</f>
        <v/>
      </c>
      <c r="I187" s="27">
        <f>I186-I185</f>
        <v/>
      </c>
      <c r="J187" s="30">
        <f>SUM(D187:I187)</f>
        <v/>
      </c>
      <c r="K187" s="29">
        <f>K186-K185</f>
        <v/>
      </c>
      <c r="L187" s="24">
        <f>L186-L185</f>
        <v/>
      </c>
      <c r="M187" s="24">
        <f>M186-M185</f>
        <v/>
      </c>
      <c r="N187" s="24">
        <f>N186-N185</f>
        <v/>
      </c>
      <c r="O187" s="24">
        <f>O186-O185</f>
        <v/>
      </c>
      <c r="P187" s="27">
        <f>P186-P185</f>
        <v/>
      </c>
      <c r="Q187" s="30">
        <f>SUM(K187:P187)</f>
        <v/>
      </c>
      <c r="R187" s="30">
        <f>J187+Q187</f>
        <v/>
      </c>
      <c r="S187" s="17" t="n"/>
    </row>
    <row r="188" ht="18" customHeight="1" s="47" thickBot="1">
      <c r="A188" s="50" t="n"/>
      <c r="B188" s="53" t="n"/>
      <c r="C188" s="25" t="inlineStr">
        <is>
          <t>稼働棟数</t>
        </is>
      </c>
      <c r="D188" s="20" t="n"/>
      <c r="E188" s="20" t="n"/>
      <c r="F188" s="20" t="n"/>
      <c r="G188" s="20" t="n"/>
      <c r="H188" s="20" t="n"/>
      <c r="I188" s="28" t="n"/>
      <c r="J188" s="21">
        <f>I188</f>
        <v/>
      </c>
      <c r="K188" s="22" t="n"/>
      <c r="L188" s="20" t="n"/>
      <c r="M188" s="20" t="n"/>
      <c r="N188" s="20" t="n"/>
      <c r="O188" s="20" t="n"/>
      <c r="P188" s="28" t="n"/>
      <c r="Q188" s="21">
        <f>P188</f>
        <v/>
      </c>
      <c r="R188" s="21">
        <f>Q188</f>
        <v/>
      </c>
      <c r="S188" s="18" t="n"/>
    </row>
    <row r="189" ht="18" customHeight="1" s="47">
      <c r="A189" s="48" t="n"/>
      <c r="B189" s="51" t="n"/>
      <c r="C189" s="31" t="inlineStr">
        <is>
          <t>58期</t>
        </is>
      </c>
      <c r="D189" s="8" t="n"/>
      <c r="E189" s="8" t="n"/>
      <c r="F189" s="8" t="n"/>
      <c r="G189" s="8" t="n"/>
      <c r="H189" s="8" t="n"/>
      <c r="I189" s="9" t="n"/>
      <c r="J189" s="10">
        <f>SUM(D189:I189)</f>
        <v/>
      </c>
      <c r="K189" s="11" t="n"/>
      <c r="L189" s="8" t="n"/>
      <c r="M189" s="8" t="n"/>
      <c r="N189" s="8" t="n"/>
      <c r="O189" s="8" t="n"/>
      <c r="P189" s="9" t="n"/>
      <c r="Q189" s="10">
        <f>SUM(K189:P189)</f>
        <v/>
      </c>
      <c r="R189" s="10">
        <f>J189+Q189</f>
        <v/>
      </c>
      <c r="S189" s="16" t="n"/>
    </row>
    <row r="190" ht="18" customHeight="1" s="47">
      <c r="A190" s="49" t="n"/>
      <c r="B190" s="52" t="n"/>
      <c r="C190" s="7" t="inlineStr">
        <is>
          <t>59期</t>
        </is>
      </c>
      <c r="D190" s="12" t="n"/>
      <c r="E190" s="12" t="n"/>
      <c r="F190" s="12" t="n"/>
      <c r="G190" s="12" t="n"/>
      <c r="H190" s="12" t="n"/>
      <c r="I190" s="13" t="n"/>
      <c r="J190" s="14">
        <f>SUM(D190:I190)</f>
        <v/>
      </c>
      <c r="K190" s="15" t="n"/>
      <c r="L190" s="12" t="n"/>
      <c r="M190" s="12" t="n"/>
      <c r="N190" s="12" t="n"/>
      <c r="O190" s="12" t="n"/>
      <c r="P190" s="13" t="n"/>
      <c r="Q190" s="14">
        <f>SUM(K190:P190)</f>
        <v/>
      </c>
      <c r="R190" s="14">
        <f>J190+Q190</f>
        <v/>
      </c>
      <c r="S190" s="17" t="n"/>
    </row>
    <row r="191" ht="18" customHeight="1" s="47">
      <c r="A191" s="49" t="n"/>
      <c r="B191" s="52" t="n"/>
      <c r="C191" s="23" t="inlineStr">
        <is>
          <t>増　減</t>
        </is>
      </c>
      <c r="D191" s="24">
        <f>D190-D189</f>
        <v/>
      </c>
      <c r="E191" s="24">
        <f>E190-E189</f>
        <v/>
      </c>
      <c r="F191" s="24">
        <f>F190-F189</f>
        <v/>
      </c>
      <c r="G191" s="24">
        <f>G190-G189</f>
        <v/>
      </c>
      <c r="H191" s="24">
        <f>H190-H189</f>
        <v/>
      </c>
      <c r="I191" s="27">
        <f>I190-I189</f>
        <v/>
      </c>
      <c r="J191" s="30">
        <f>SUM(D191:I191)</f>
        <v/>
      </c>
      <c r="K191" s="29">
        <f>K190-K189</f>
        <v/>
      </c>
      <c r="L191" s="24">
        <f>L190-L189</f>
        <v/>
      </c>
      <c r="M191" s="24">
        <f>M190-M189</f>
        <v/>
      </c>
      <c r="N191" s="24">
        <f>N190-N189</f>
        <v/>
      </c>
      <c r="O191" s="24">
        <f>O190-O189</f>
        <v/>
      </c>
      <c r="P191" s="27">
        <f>P190-P189</f>
        <v/>
      </c>
      <c r="Q191" s="30">
        <f>SUM(K191:P191)</f>
        <v/>
      </c>
      <c r="R191" s="30">
        <f>J191+Q191</f>
        <v/>
      </c>
      <c r="S191" s="17" t="n"/>
    </row>
    <row r="192" ht="18" customHeight="1" s="47" thickBot="1">
      <c r="A192" s="50" t="n"/>
      <c r="B192" s="53" t="n"/>
      <c r="C192" s="25" t="inlineStr">
        <is>
          <t>稼働棟数</t>
        </is>
      </c>
      <c r="D192" s="20" t="n"/>
      <c r="E192" s="20" t="n"/>
      <c r="F192" s="20" t="n"/>
      <c r="G192" s="20" t="n"/>
      <c r="H192" s="20" t="n"/>
      <c r="I192" s="28" t="n"/>
      <c r="J192" s="21">
        <f>I192</f>
        <v/>
      </c>
      <c r="K192" s="22" t="n"/>
      <c r="L192" s="20" t="n"/>
      <c r="M192" s="20" t="n"/>
      <c r="N192" s="20" t="n"/>
      <c r="O192" s="20" t="n"/>
      <c r="P192" s="28" t="n"/>
      <c r="Q192" s="21">
        <f>P192</f>
        <v/>
      </c>
      <c r="R192" s="21">
        <f>Q192</f>
        <v/>
      </c>
      <c r="S192" s="18" t="n"/>
    </row>
    <row r="193" ht="18" customHeight="1" s="47">
      <c r="A193" s="48" t="n"/>
      <c r="B193" s="51" t="n"/>
      <c r="C193" s="31" t="inlineStr">
        <is>
          <t>58期</t>
        </is>
      </c>
      <c r="D193" s="8" t="n"/>
      <c r="E193" s="8" t="n"/>
      <c r="F193" s="8" t="n"/>
      <c r="G193" s="8" t="n"/>
      <c r="H193" s="8" t="n"/>
      <c r="I193" s="9" t="n"/>
      <c r="J193" s="10">
        <f>SUM(D193:I193)</f>
        <v/>
      </c>
      <c r="K193" s="11" t="n"/>
      <c r="L193" s="8" t="n"/>
      <c r="M193" s="8" t="n"/>
      <c r="N193" s="8" t="n"/>
      <c r="O193" s="8" t="n"/>
      <c r="P193" s="9" t="n"/>
      <c r="Q193" s="10">
        <f>SUM(K193:P193)</f>
        <v/>
      </c>
      <c r="R193" s="10">
        <f>J193+Q193</f>
        <v/>
      </c>
      <c r="S193" s="16" t="n"/>
    </row>
    <row r="194" ht="18" customHeight="1" s="47">
      <c r="A194" s="49" t="n"/>
      <c r="B194" s="52" t="n"/>
      <c r="C194" s="7" t="inlineStr">
        <is>
          <t>59期</t>
        </is>
      </c>
      <c r="D194" s="12" t="n"/>
      <c r="E194" s="12" t="n"/>
      <c r="F194" s="12" t="n"/>
      <c r="G194" s="12" t="n"/>
      <c r="H194" s="12" t="n"/>
      <c r="I194" s="13" t="n"/>
      <c r="J194" s="14">
        <f>SUM(D194:I194)</f>
        <v/>
      </c>
      <c r="K194" s="15" t="n"/>
      <c r="L194" s="12" t="n"/>
      <c r="M194" s="12" t="n"/>
      <c r="N194" s="12" t="n"/>
      <c r="O194" s="12" t="n"/>
      <c r="P194" s="13" t="n"/>
      <c r="Q194" s="14">
        <f>SUM(K194:P194)</f>
        <v/>
      </c>
      <c r="R194" s="14">
        <f>J194+Q194</f>
        <v/>
      </c>
      <c r="S194" s="17" t="n"/>
    </row>
    <row r="195" ht="18" customHeight="1" s="47">
      <c r="A195" s="49" t="n"/>
      <c r="B195" s="52" t="n"/>
      <c r="C195" s="23" t="inlineStr">
        <is>
          <t>増　減</t>
        </is>
      </c>
      <c r="D195" s="24">
        <f>D194-D193</f>
        <v/>
      </c>
      <c r="E195" s="24">
        <f>E194-E193</f>
        <v/>
      </c>
      <c r="F195" s="24">
        <f>F194-F193</f>
        <v/>
      </c>
      <c r="G195" s="24">
        <f>G194-G193</f>
        <v/>
      </c>
      <c r="H195" s="24">
        <f>H194-H193</f>
        <v/>
      </c>
      <c r="I195" s="27">
        <f>I194-I193</f>
        <v/>
      </c>
      <c r="J195" s="30">
        <f>SUM(D195:I195)</f>
        <v/>
      </c>
      <c r="K195" s="29">
        <f>K194-K193</f>
        <v/>
      </c>
      <c r="L195" s="24">
        <f>L194-L193</f>
        <v/>
      </c>
      <c r="M195" s="24">
        <f>M194-M193</f>
        <v/>
      </c>
      <c r="N195" s="24">
        <f>N194-N193</f>
        <v/>
      </c>
      <c r="O195" s="24">
        <f>O194-O193</f>
        <v/>
      </c>
      <c r="P195" s="27">
        <f>P194-P193</f>
        <v/>
      </c>
      <c r="Q195" s="30">
        <f>SUM(K195:P195)</f>
        <v/>
      </c>
      <c r="R195" s="30">
        <f>J195+Q195</f>
        <v/>
      </c>
      <c r="S195" s="17" t="n"/>
    </row>
    <row r="196" ht="18" customHeight="1" s="47" thickBot="1">
      <c r="A196" s="50" t="n"/>
      <c r="B196" s="53" t="n"/>
      <c r="C196" s="25" t="inlineStr">
        <is>
          <t>稼働棟数</t>
        </is>
      </c>
      <c r="D196" s="20" t="n"/>
      <c r="E196" s="20" t="n"/>
      <c r="F196" s="20" t="n"/>
      <c r="G196" s="20" t="n"/>
      <c r="H196" s="20" t="n"/>
      <c r="I196" s="28" t="n"/>
      <c r="J196" s="21">
        <f>I196</f>
        <v/>
      </c>
      <c r="K196" s="22" t="n"/>
      <c r="L196" s="20" t="n"/>
      <c r="M196" s="20" t="n"/>
      <c r="N196" s="20" t="n"/>
      <c r="O196" s="20" t="n"/>
      <c r="P196" s="28" t="n"/>
      <c r="Q196" s="21">
        <f>P196</f>
        <v/>
      </c>
      <c r="R196" s="21">
        <f>Q196</f>
        <v/>
      </c>
      <c r="S196" s="18" t="n"/>
    </row>
    <row r="197" ht="18" customHeight="1" s="47">
      <c r="A197" s="48" t="n"/>
      <c r="B197" s="55" t="inlineStr">
        <is>
          <t>企業棟月間合計</t>
        </is>
      </c>
      <c r="C197" s="31" t="inlineStr">
        <is>
          <t>58期</t>
        </is>
      </c>
      <c r="D197" s="41">
        <f>D9+D17+D29+D37+D45+D53+D57+D65+D73+D81+D97+D105+D113+D121+D129+D141+D153+D165+D169+D173+D177+D181+D185+D189+D193+D5+D13+D21+D41+D49+D61+D69+D77+D85+D89+D101+D109+D117+D125+D137+D145+D157</f>
        <v/>
      </c>
      <c r="E197" s="41">
        <f>E9+E17+E29+E37+E45+E53+E57+E65+E73+E81+E97+E105+E113+E121+E129+E141+E153+E165+E169+E173+E177+E181+E185+E189+E193+E5+E13+E21+E41+E49+E61+E69+E77+E85+E89+E101+E109+E117+E125+E137+E145+E157</f>
        <v/>
      </c>
      <c r="F197" s="41">
        <f>F9+F17+F29+F37+F45+F53+F57+F65+F73+F81+F97+F105+F113+F121+F129+F141+F153+F165+F169+F173+F177+F181+F185+F189+F193+F5+F13+F21+F41+F49+F61+F69+F77+F85+F89+F101+F109+F117+F125+F137+F145+F157</f>
        <v/>
      </c>
      <c r="G197" s="41">
        <f>G9+G17+G29+G37+G45+G53+G57+G65+G73+G81+G97+G105+G113+G121+G129+G141+G153+G165+G169+G173+G177+G181+G185+G189+G193+G5+G13+G21+G41+G49+G61+G69+G77+G85+G89+G101+G109+G117+G125+G137+G145+G157</f>
        <v/>
      </c>
      <c r="H197" s="41">
        <f>H9+H17+H29+H37+H45+H53+H57+H65+H73+H81+H97+H105+H113+H121+H129+H141+H153+H165+H169+H173+H177+H181+H185+H189+H193+H5+H13+H21+H41+H49+H61+H69+H77+H85+H89+H101+H109+H117+H125+H137+H145+H157</f>
        <v/>
      </c>
      <c r="I197" s="41">
        <f>I9+I17+I29+I37+I45+I53+I57+I65+I73+I81+I97+I105+I113+I121+I129+I141+I153+I165+I169+I173+I177+I181+I185+I189+I193+I5+I13+I21+I41+I49+I61+I69+I77+I85+I89+I101+I109+I117+I125+I137+I145+I157</f>
        <v/>
      </c>
      <c r="J197" s="10">
        <f>SUM(D197:I197)</f>
        <v/>
      </c>
      <c r="K197" s="41">
        <f>K9+K17+K29+K37+K45+K53+K57+K65+K73+K81+K97+K105+K113+K121+K129+K141+K153+K165+K169+K173+K177+K181+K185+K189+K193+K5+K13+K21+K41+K49+K61+K69+K77+K85+K89+K101+K109+K117+K125+K137+K145+K157</f>
        <v/>
      </c>
      <c r="L197" s="41">
        <f>L9+L17+L29+L37+L45+L53+L57+L65+L73+L81+L97+L105+L113+L121+L129+L141+L153+L165+L169+L173+L177+L181+L185+L189+L193+L5+L13+L21+L41+L49+L61+L69+L77+L85+L89+L101+L109+L117+L125+L137+L145+L157</f>
        <v/>
      </c>
      <c r="M197" s="41">
        <f>M9+M17+M29+M37+M45+M53+M57+M65+M73+M81+M97+M105+M113+M121+M129+M141+M153+M165+M169+M173+M177+M181+M185+M189+M193+M5+M13+M21+M41+M49+M61+M69+M77+M85+M89+M101+M109+M117+M125+M137+M145+M157</f>
        <v/>
      </c>
      <c r="N197" s="41">
        <f>N9+N17+N29+N37+N45+N53+N57+N65+N73+N81+N97+N105+N113+N121+N129+N141+N153+N165+N169+N173+N177+N181+N185+N189+N193+N5+N13+N21+N41+N49+N61+N69+N77+N85+N89+N101+N109+N117+N125+N137+N145+N157</f>
        <v/>
      </c>
      <c r="O197" s="41">
        <f>O9+O17+O29+O37+O45+O53+O57+O65+O73+O81+O97+O105+O113+O121+O129+O141+O153+O165+O169+O173+O177+O181+O185+O189+O193+O5+O13+O21+O41+O49+O61+O69+O77+O85+O89+O101+O109+O117+O125+O137+O145+O157</f>
        <v/>
      </c>
      <c r="P197" s="41">
        <f>P9+P17+P29+P37+P45+P53+P57+P65+P73+P81+P97+P105+P113+P121+P129+P141+P153+P165+P169+P173+P177+P181+P185+P189+P193+P5+P13+P21+P41+P49+P61+P69+P77+P85+P89+P101+P109+P117+P125+P137+P145+P157</f>
        <v/>
      </c>
      <c r="Q197" s="10">
        <f>SUM(K197:P197)</f>
        <v/>
      </c>
      <c r="R197" s="10">
        <f>J197+Q197</f>
        <v/>
      </c>
      <c r="S197" s="16" t="n"/>
    </row>
    <row r="198" ht="18" customHeight="1" s="47">
      <c r="A198" s="49" t="n"/>
      <c r="B198" s="52" t="n"/>
      <c r="C198" s="7" t="inlineStr">
        <is>
          <t>59期</t>
        </is>
      </c>
      <c r="D198" s="12">
        <f>D10+D18+D30+D38+D46+D54+D58+D66+D74+D82+D98+D106+D114+D122+D130+D142+D154+D166+D170+D174+D178+D182+D186+D190+D194+D6+D14+D22+D42+D50+D62+D70+D78+D86+D90+D102+D110+D118+D126+D138+D146+D158</f>
        <v/>
      </c>
      <c r="E198" s="12">
        <f>E10+E18+E30+E38+E46+E54+E58+E66+E74+E82+E98+E106+E114+E122+E130+E142+E154+E166+E170+E174+E178+E182+E186+E190+E194+E6+E14+E22+E42+E50+E62+E70+E78+E86+E90+E102+E110+E118+E126+E138+E146+E158</f>
        <v/>
      </c>
      <c r="F198" s="12">
        <f>F10+F18+F30+F38+F46+F54+F58+F66+F74+F82+F98+F106+F114+F122+F130+F142+F154+F166+F170+F174+F178+F182+F186+F190+F194+F6+F14+F22+F42+F50+F62+F70+F78+F86+F90+F102+F110+F118+F126+F138+F146+F158</f>
        <v/>
      </c>
      <c r="G198" s="12">
        <f>G10+G18+G30+G38+G46+G54+G58+G66+G74+G82+G98+G106+G114+G122+G130+G142+G154+G166+G170+G174+G178+G182+G186+G190+G194+G6+G14+G22+G42+G50+G62+G70+G78+G86+G90+G102+G110+G118+G126+G138+G146+G158</f>
        <v/>
      </c>
      <c r="H198" s="12">
        <f>H10+H18+H30+H38+H46+H54+H58+H66+H74+H82+H98+H106+H114+H122+H130+H142+H154+H166+H170+H174+H178+H182+H186+H190+H194+H6+H14+H22+H42+H50+H62+H70+H78+H86+H90+H102+H110+H118+H126+H138+H146+H158</f>
        <v/>
      </c>
      <c r="I198" s="12">
        <f>I10+I18+I30+I38+I46+I54+I58+I66+I74+I82+I98+I106+I114+I122+I130+I142+I154+I166+I170+I174+I178+I182+I186+I190+I194+I6+I14+I22+I42+I50+I62+I70+I78+I86+I90+I102+I110+I118+I126+I138+I146+I158</f>
        <v/>
      </c>
      <c r="J198" s="14">
        <f>SUM(D198:I198)</f>
        <v/>
      </c>
      <c r="K198" s="42">
        <f>K10+K18+K30+K38+K46+K54+K58+K66+K74+K82+K98+K106+K114+K122+K130+K142+K154+K166+K170+K174+K178+K182+K186+K190+K194+K6+K14+K22+K42+K50+K62+K70+K78+K86+K90+K102+K110+K118+K126+K138+K146+K158</f>
        <v/>
      </c>
      <c r="L198" s="42">
        <f>L10+L18+L30+L38+L46+L54+L58+L66+L74+L82+L98+L106+L114+L122+L130+L142+L154+L166+L170+L174+L178+L182+L186+L190+L194+L6+L14+L22+L42+L50+L62+L70+L78+L86+L90+L102+L110+L118+L126+L138+L146+L158</f>
        <v/>
      </c>
      <c r="M198" s="42">
        <f>M10+M18+M30+M38+M46+M54+M58+M66+M74+M82+M98+M106+M114+M122+M130+M142+M154+M166+M170+M174+M178+M182+M186+M190+M194+M6+M14+M22+M42+M50+M62+M70+M78+M86+M90+M102+M110+M118+M126+M138+M146+M158</f>
        <v/>
      </c>
      <c r="N198" s="42">
        <f>N10+N18+N30+N38+N46+N54+N58+N66+N74+N82+N98+N106+N114+N122+N130+N142+N154+N166+N170+N174+N178+N182+N186+N190+N194+N6+N14+N22+N42+N50+N62+N70+N78+N86+N90+N102+N110+N118+N126+N138+N146+N158</f>
        <v/>
      </c>
      <c r="O198" s="42">
        <f>O10+O18+O30+O38+O46+O54+O58+O66+O74+O82+O98+O106+O114+O122+O130+O142+O154+O166+O170+O174+O178+O182+O186+O190+O194+O6+O14+O22+O42+O50+O62+O70+O78+O86+O90+O102+O110+O118+O126+O138+O146+O158</f>
        <v/>
      </c>
      <c r="P198" s="42">
        <f>P10+P18+P30+P38+P46+P54+P58+P66+P74+P82+P98+P106+P114+P122+P130+P142+P154+P166+P170+P174+P178+P182+P186+P190+P194+P6+P14+P22+P42+P50+P62+P70+P78+P86+P90+P102+P110+P118+P126+P138+P146+P158</f>
        <v/>
      </c>
      <c r="Q198" s="14">
        <f>SUM(K198:P198)</f>
        <v/>
      </c>
      <c r="R198" s="14">
        <f>J198+Q198</f>
        <v/>
      </c>
      <c r="S198" s="17" t="n"/>
    </row>
    <row r="199" ht="18" customHeight="1" s="47">
      <c r="A199" s="49" t="n"/>
      <c r="B199" s="52" t="n"/>
      <c r="C199" s="23" t="inlineStr">
        <is>
          <t>増　減</t>
        </is>
      </c>
      <c r="D199" s="24">
        <f>D198-D197</f>
        <v/>
      </c>
      <c r="E199" s="24">
        <f>E198-E197</f>
        <v/>
      </c>
      <c r="F199" s="24">
        <f>F198-F197</f>
        <v/>
      </c>
      <c r="G199" s="24">
        <f>G198-G197</f>
        <v/>
      </c>
      <c r="H199" s="24">
        <f>H198-H197</f>
        <v/>
      </c>
      <c r="I199" s="27">
        <f>I198-I197</f>
        <v/>
      </c>
      <c r="J199" s="30">
        <f>SUM(D199:I199)</f>
        <v/>
      </c>
      <c r="K199" s="29">
        <f>K198-K197</f>
        <v/>
      </c>
      <c r="L199" s="24">
        <f>L198-L197</f>
        <v/>
      </c>
      <c r="M199" s="24">
        <f>M198-M197</f>
        <v/>
      </c>
      <c r="N199" s="24">
        <f>N198-N197</f>
        <v/>
      </c>
      <c r="O199" s="24">
        <f>O198-O197</f>
        <v/>
      </c>
      <c r="P199" s="27">
        <f>P198-P197</f>
        <v/>
      </c>
      <c r="Q199" s="30">
        <f>SUM(K199:P199)</f>
        <v/>
      </c>
      <c r="R199" s="30">
        <f>J199+Q199</f>
        <v/>
      </c>
      <c r="S199" s="17" t="n"/>
    </row>
    <row r="200" ht="18" customHeight="1" s="47" thickBot="1">
      <c r="A200" s="50" t="n"/>
      <c r="B200" s="53" t="n"/>
      <c r="C200" s="25" t="inlineStr">
        <is>
          <t>稼働棟数</t>
        </is>
      </c>
      <c r="D200" s="20" t="n"/>
      <c r="E200" s="20" t="n"/>
      <c r="F200" s="20" t="n"/>
      <c r="G200" s="20" t="n"/>
      <c r="H200" s="20" t="n"/>
      <c r="I200" s="28" t="n"/>
      <c r="J200" s="21">
        <f>I200</f>
        <v/>
      </c>
      <c r="K200" s="22" t="n"/>
      <c r="L200" s="20" t="n"/>
      <c r="M200" s="20" t="n"/>
      <c r="N200" s="20" t="n"/>
      <c r="O200" s="20" t="n"/>
      <c r="P200" s="28" t="n"/>
      <c r="Q200" s="21">
        <f>P200</f>
        <v/>
      </c>
      <c r="R200" s="21">
        <f>Q200</f>
        <v/>
      </c>
      <c r="S200" s="18" t="n"/>
    </row>
    <row r="201" ht="18" customHeight="1" s="47">
      <c r="B201" s="51" t="inlineStr">
        <is>
          <t>日建/葉物野菜</t>
        </is>
      </c>
      <c r="C201" s="31" t="inlineStr">
        <is>
          <t>58期</t>
        </is>
      </c>
      <c r="D201" s="8" t="n">
        <v>14.18</v>
      </c>
      <c r="E201" s="8" t="n">
        <v>2.82</v>
      </c>
      <c r="F201" s="8" t="n"/>
      <c r="G201" s="8" t="n"/>
      <c r="H201" s="8" t="n"/>
      <c r="I201" s="9" t="n">
        <v>0.68</v>
      </c>
      <c r="J201" s="10">
        <f>SUM(D201:I201)</f>
        <v/>
      </c>
      <c r="K201" s="11" t="n"/>
      <c r="L201" s="8" t="n"/>
      <c r="M201" s="8" t="n">
        <v>4.66</v>
      </c>
      <c r="N201" s="8" t="n">
        <v>4.16</v>
      </c>
      <c r="O201" s="8" t="n">
        <v>6.25</v>
      </c>
      <c r="P201" s="9" t="n">
        <v>9.25</v>
      </c>
      <c r="Q201" s="10">
        <f>SUM(K201:P201)</f>
        <v/>
      </c>
      <c r="R201" s="10">
        <f>J201+Q201</f>
        <v/>
      </c>
      <c r="S201" s="16" t="n"/>
    </row>
    <row r="202" ht="18" customHeight="1" s="47">
      <c r="B202" s="52" t="n"/>
      <c r="C202" s="7" t="inlineStr">
        <is>
          <t>59期</t>
        </is>
      </c>
      <c r="D202" s="12" t="n">
        <v>1.96</v>
      </c>
      <c r="E202" s="12" t="n"/>
      <c r="F202" s="12" t="n">
        <v>2</v>
      </c>
      <c r="G202" s="12" t="n"/>
      <c r="H202" s="12" t="n"/>
      <c r="I202" s="13" t="n"/>
      <c r="J202" s="14">
        <f>SUM(D202:I202)</f>
        <v/>
      </c>
      <c r="K202" s="15" t="n"/>
      <c r="L202" s="12" t="n"/>
      <c r="M202" s="12" t="n"/>
      <c r="N202" s="12" t="n"/>
      <c r="O202" s="12" t="n"/>
      <c r="P202" s="13" t="n"/>
      <c r="Q202" s="14">
        <f>SUM(K202:P202)</f>
        <v/>
      </c>
      <c r="R202" s="14">
        <f>J202+Q202</f>
        <v/>
      </c>
      <c r="S202" s="17" t="n"/>
    </row>
    <row r="203" ht="18" customHeight="1" s="47">
      <c r="B203" s="52" t="n"/>
      <c r="C203" s="23" t="inlineStr">
        <is>
          <t>増　減</t>
        </is>
      </c>
      <c r="D203" s="24">
        <f>D202-D201</f>
        <v/>
      </c>
      <c r="E203" s="24">
        <f>E202-E201</f>
        <v/>
      </c>
      <c r="F203" s="24">
        <f>F202-F201</f>
        <v/>
      </c>
      <c r="G203" s="24">
        <f>G202-G201</f>
        <v/>
      </c>
      <c r="H203" s="24">
        <f>H202-H201</f>
        <v/>
      </c>
      <c r="I203" s="27">
        <f>I202-I201</f>
        <v/>
      </c>
      <c r="J203" s="30">
        <f>SUM(D203:I203)</f>
        <v/>
      </c>
      <c r="K203" s="29">
        <f>K202-K201</f>
        <v/>
      </c>
      <c r="L203" s="24">
        <f>L202-L201</f>
        <v/>
      </c>
      <c r="M203" s="24">
        <f>M202-M201</f>
        <v/>
      </c>
      <c r="N203" s="24">
        <f>N202-N201</f>
        <v/>
      </c>
      <c r="O203" s="24">
        <f>O202-O201</f>
        <v/>
      </c>
      <c r="P203" s="27">
        <f>P202-P201</f>
        <v/>
      </c>
      <c r="Q203" s="30">
        <f>SUM(K203:P203)</f>
        <v/>
      </c>
      <c r="R203" s="30">
        <f>J203+Q203</f>
        <v/>
      </c>
      <c r="S203" s="17" t="n"/>
    </row>
    <row r="204" ht="18" customHeight="1" s="47" thickBot="1">
      <c r="B204" s="53" t="n"/>
      <c r="C204" s="25" t="inlineStr">
        <is>
          <t>稼働棟数</t>
        </is>
      </c>
      <c r="D204" s="20" t="n"/>
      <c r="E204" s="20" t="n"/>
      <c r="F204" s="20" t="n"/>
      <c r="G204" s="20" t="n"/>
      <c r="H204" s="20" t="n"/>
      <c r="I204" s="28" t="n"/>
      <c r="J204" s="21">
        <f>I204</f>
        <v/>
      </c>
      <c r="K204" s="22" t="n"/>
      <c r="L204" s="20" t="n"/>
      <c r="M204" s="20" t="n"/>
      <c r="N204" s="20" t="n"/>
      <c r="O204" s="20" t="n"/>
      <c r="P204" s="28" t="n"/>
      <c r="Q204" s="21">
        <f>P204</f>
        <v/>
      </c>
      <c r="R204" s="21">
        <f>Q204</f>
        <v/>
      </c>
      <c r="S204" s="18" t="n"/>
    </row>
    <row r="205" ht="18" customHeight="1" s="47">
      <c r="B205" s="51" t="inlineStr">
        <is>
          <t>日建/ミニトマト</t>
        </is>
      </c>
      <c r="C205" s="31" t="inlineStr">
        <is>
          <t>58期</t>
        </is>
      </c>
      <c r="D205" s="8" t="n"/>
      <c r="E205" s="8" t="n"/>
      <c r="F205" s="8" t="n"/>
      <c r="G205" s="8" t="n"/>
      <c r="H205" s="8" t="n"/>
      <c r="I205" s="9" t="n"/>
      <c r="J205" s="10">
        <f>SUM(D205:I205)</f>
        <v/>
      </c>
      <c r="K205" s="11" t="n"/>
      <c r="L205" s="8" t="n"/>
      <c r="M205" s="8" t="n"/>
      <c r="N205" s="8" t="n"/>
      <c r="O205" s="8" t="n"/>
      <c r="P205" s="9" t="n"/>
      <c r="Q205" s="10">
        <f>SUM(K205:P205)</f>
        <v/>
      </c>
      <c r="R205" s="10">
        <f>J205+Q205</f>
        <v/>
      </c>
      <c r="S205" s="16" t="n"/>
    </row>
    <row r="206" ht="18" customHeight="1" s="47">
      <c r="B206" s="52" t="n"/>
      <c r="C206" s="7" t="inlineStr">
        <is>
          <t>59期</t>
        </is>
      </c>
      <c r="D206" s="12" t="n"/>
      <c r="E206" s="12" t="n"/>
      <c r="F206" s="12" t="n"/>
      <c r="G206" s="12" t="n">
        <v>9.720000000000001</v>
      </c>
      <c r="H206" s="12" t="n"/>
      <c r="I206" s="13" t="n"/>
      <c r="J206" s="14">
        <f>SUM(D206:I206)</f>
        <v/>
      </c>
      <c r="K206" s="15" t="n"/>
      <c r="L206" s="12" t="n"/>
      <c r="M206" s="12" t="n"/>
      <c r="N206" s="12" t="n"/>
      <c r="O206" s="12" t="n"/>
      <c r="P206" s="13" t="n"/>
      <c r="Q206" s="14">
        <f>SUM(K206:P206)</f>
        <v/>
      </c>
      <c r="R206" s="14">
        <f>J206+Q206</f>
        <v/>
      </c>
      <c r="S206" s="17" t="n"/>
    </row>
    <row r="207" ht="18" customHeight="1" s="47">
      <c r="B207" s="52" t="n"/>
      <c r="C207" s="23" t="inlineStr">
        <is>
          <t>増　減</t>
        </is>
      </c>
      <c r="D207" s="24">
        <f>D206-D205</f>
        <v/>
      </c>
      <c r="E207" s="24">
        <f>E206-E205</f>
        <v/>
      </c>
      <c r="F207" s="24">
        <f>F206-F205</f>
        <v/>
      </c>
      <c r="G207" s="24">
        <f>G206-G205</f>
        <v/>
      </c>
      <c r="H207" s="24">
        <f>H206-H205</f>
        <v/>
      </c>
      <c r="I207" s="27">
        <f>I206-I205</f>
        <v/>
      </c>
      <c r="J207" s="30">
        <f>SUM(D207:I207)</f>
        <v/>
      </c>
      <c r="K207" s="29">
        <f>K206-K205</f>
        <v/>
      </c>
      <c r="L207" s="24">
        <f>L206-L205</f>
        <v/>
      </c>
      <c r="M207" s="24">
        <f>M206-M205</f>
        <v/>
      </c>
      <c r="N207" s="24">
        <f>N206-N205</f>
        <v/>
      </c>
      <c r="O207" s="24">
        <f>O206-O205</f>
        <v/>
      </c>
      <c r="P207" s="27">
        <f>P206-P205</f>
        <v/>
      </c>
      <c r="Q207" s="30">
        <f>SUM(K207:P207)</f>
        <v/>
      </c>
      <c r="R207" s="30">
        <f>J207+Q207</f>
        <v/>
      </c>
      <c r="S207" s="17" t="n"/>
    </row>
    <row r="208" ht="18" customHeight="1" s="47" thickBot="1">
      <c r="B208" s="53" t="n"/>
      <c r="C208" s="25" t="inlineStr">
        <is>
          <t>稼働棟数</t>
        </is>
      </c>
      <c r="D208" s="20" t="n"/>
      <c r="E208" s="20" t="n"/>
      <c r="F208" s="20" t="n"/>
      <c r="G208" s="20" t="n"/>
      <c r="H208" s="20" t="n"/>
      <c r="I208" s="28" t="n"/>
      <c r="J208" s="21">
        <f>I208</f>
        <v/>
      </c>
      <c r="K208" s="22" t="n"/>
      <c r="L208" s="20" t="n"/>
      <c r="M208" s="20" t="n"/>
      <c r="N208" s="20" t="n"/>
      <c r="O208" s="20" t="n"/>
      <c r="P208" s="28" t="n"/>
      <c r="Q208" s="21">
        <f>P208</f>
        <v/>
      </c>
      <c r="R208" s="21">
        <f>Q208</f>
        <v/>
      </c>
      <c r="S208" s="18" t="n"/>
    </row>
    <row r="209" ht="18" customHeight="1" s="47">
      <c r="B209" s="55" t="inlineStr">
        <is>
          <t>月間総合計</t>
        </is>
      </c>
      <c r="C209" s="31" t="inlineStr">
        <is>
          <t>58期</t>
        </is>
      </c>
      <c r="D209" s="8">
        <f>D197+D205</f>
        <v/>
      </c>
      <c r="E209" s="8">
        <f>E197+E205</f>
        <v/>
      </c>
      <c r="F209" s="8">
        <f>F197+F205</f>
        <v/>
      </c>
      <c r="G209" s="8">
        <f>G197+G205</f>
        <v/>
      </c>
      <c r="H209" s="8">
        <f>H197+H205</f>
        <v/>
      </c>
      <c r="I209" s="9">
        <f>I197+I205</f>
        <v/>
      </c>
      <c r="J209" s="10">
        <f>SUM(D209:I209)</f>
        <v/>
      </c>
      <c r="K209" s="11">
        <f>K197+K205</f>
        <v/>
      </c>
      <c r="L209" s="8">
        <f>L197+L205</f>
        <v/>
      </c>
      <c r="M209" s="8">
        <f>M197+M205</f>
        <v/>
      </c>
      <c r="N209" s="8">
        <f>N197+N205</f>
        <v/>
      </c>
      <c r="O209" s="8">
        <f>O197+O205</f>
        <v/>
      </c>
      <c r="P209" s="9">
        <f>P197+P205</f>
        <v/>
      </c>
      <c r="Q209" s="10">
        <f>SUM(K209:P209)</f>
        <v/>
      </c>
      <c r="R209" s="10">
        <f>J209+Q209</f>
        <v/>
      </c>
      <c r="S209" s="16" t="n"/>
    </row>
    <row r="210" ht="18" customHeight="1" s="47">
      <c r="B210" s="52" t="n"/>
      <c r="C210" s="7" t="inlineStr">
        <is>
          <t>59期</t>
        </is>
      </c>
      <c r="D210" s="12">
        <f>D198+D206</f>
        <v/>
      </c>
      <c r="E210" s="12">
        <f>E198+E206</f>
        <v/>
      </c>
      <c r="F210" s="12">
        <f>F198+F206</f>
        <v/>
      </c>
      <c r="G210" s="12">
        <f>G198+G206</f>
        <v/>
      </c>
      <c r="H210" s="12">
        <f>H198+H206</f>
        <v/>
      </c>
      <c r="I210" s="13">
        <f>I198+I206</f>
        <v/>
      </c>
      <c r="J210" s="14">
        <f>SUM(D210:I210)</f>
        <v/>
      </c>
      <c r="K210" s="15">
        <f>K198+K206</f>
        <v/>
      </c>
      <c r="L210" s="12">
        <f>L198+L206</f>
        <v/>
      </c>
      <c r="M210" s="12">
        <f>M198+M206</f>
        <v/>
      </c>
      <c r="N210" s="12">
        <f>N198+N206</f>
        <v/>
      </c>
      <c r="O210" s="12">
        <f>O198+O206</f>
        <v/>
      </c>
      <c r="P210" s="13">
        <f>P198+P206</f>
        <v/>
      </c>
      <c r="Q210" s="14">
        <f>SUM(K210:P210)</f>
        <v/>
      </c>
      <c r="R210" s="14">
        <f>J210+Q210</f>
        <v/>
      </c>
      <c r="S210" s="17" t="n"/>
    </row>
    <row r="211" ht="18" customHeight="1" s="47">
      <c r="B211" s="52" t="n"/>
      <c r="C211" s="23" t="inlineStr">
        <is>
          <t>増　減</t>
        </is>
      </c>
      <c r="D211" s="24">
        <f>D210-D209</f>
        <v/>
      </c>
      <c r="E211" s="24">
        <f>E210-E209</f>
        <v/>
      </c>
      <c r="F211" s="24">
        <f>F210-F209</f>
        <v/>
      </c>
      <c r="G211" s="24">
        <f>G210-G209</f>
        <v/>
      </c>
      <c r="H211" s="24">
        <f>H210-H209</f>
        <v/>
      </c>
      <c r="I211" s="27">
        <f>I210-I209</f>
        <v/>
      </c>
      <c r="J211" s="30">
        <f>SUM(D211:I211)</f>
        <v/>
      </c>
      <c r="K211" s="29">
        <f>K210-K209</f>
        <v/>
      </c>
      <c r="L211" s="24">
        <f>L210-L209</f>
        <v/>
      </c>
      <c r="M211" s="24">
        <f>M210-M209</f>
        <v/>
      </c>
      <c r="N211" s="24">
        <f>N210-N209</f>
        <v/>
      </c>
      <c r="O211" s="24">
        <f>O210-O209</f>
        <v/>
      </c>
      <c r="P211" s="27">
        <f>P210-P209</f>
        <v/>
      </c>
      <c r="Q211" s="30">
        <f>SUM(K211:P211)</f>
        <v/>
      </c>
      <c r="R211" s="30">
        <f>J211+Q211</f>
        <v/>
      </c>
      <c r="S211" s="17" t="n"/>
    </row>
    <row r="212" ht="18" customHeight="1" s="47" thickBot="1">
      <c r="B212" s="53" t="n"/>
      <c r="C212" s="25" t="inlineStr">
        <is>
          <t>稼働棟数</t>
        </is>
      </c>
      <c r="D212" s="20">
        <f>D200+D208</f>
        <v/>
      </c>
      <c r="E212" s="20">
        <f>E200+E208</f>
        <v/>
      </c>
      <c r="F212" s="20">
        <f>F200+F208</f>
        <v/>
      </c>
      <c r="G212" s="20">
        <f>G200+G208</f>
        <v/>
      </c>
      <c r="H212" s="20">
        <f>H200+H208</f>
        <v/>
      </c>
      <c r="I212" s="28">
        <f>I200+I208</f>
        <v/>
      </c>
      <c r="J212" s="21">
        <f>I212</f>
        <v/>
      </c>
      <c r="K212" s="22">
        <f>K200+K208</f>
        <v/>
      </c>
      <c r="L212" s="20">
        <f>L200+L208</f>
        <v/>
      </c>
      <c r="M212" s="20">
        <f>M200+M208</f>
        <v/>
      </c>
      <c r="N212" s="20">
        <f>N200+N208</f>
        <v/>
      </c>
      <c r="O212" s="20">
        <f>O200+O208</f>
        <v/>
      </c>
      <c r="P212" s="28">
        <f>P200+P208</f>
        <v/>
      </c>
      <c r="Q212" s="21">
        <f>P212</f>
        <v/>
      </c>
      <c r="R212" s="21">
        <f>Q212</f>
        <v/>
      </c>
      <c r="S212" s="18" t="n"/>
    </row>
    <row r="213">
      <c r="A213" t="n">
        <v>40</v>
      </c>
      <c r="B213" t="inlineStr">
        <is>
          <t>QB /根物野菜</t>
        </is>
      </c>
      <c r="C213" t="inlineStr">
        <is>
          <t>58期</t>
        </is>
      </c>
    </row>
    <row r="214">
      <c r="C214" t="inlineStr">
        <is>
          <t>59期</t>
        </is>
      </c>
      <c r="F214" t="n">
        <v>0</v>
      </c>
    </row>
    <row r="215">
      <c r="C215" t="inlineStr">
        <is>
          <t>増　減</t>
        </is>
      </c>
      <c r="D215">
        <f>D214-D213</f>
        <v/>
      </c>
      <c r="E215">
        <f>E214-E213</f>
        <v/>
      </c>
      <c r="F215">
        <f>F214-F213</f>
        <v/>
      </c>
      <c r="G215">
        <f>G214-G213</f>
        <v/>
      </c>
      <c r="H215">
        <f>H214-H213</f>
        <v/>
      </c>
      <c r="I215">
        <f>I214-I213</f>
        <v/>
      </c>
      <c r="J215">
        <f>J214-J213</f>
        <v/>
      </c>
      <c r="K215">
        <f>K214-K213</f>
        <v/>
      </c>
      <c r="L215">
        <f>L214-L213</f>
        <v/>
      </c>
      <c r="M215">
        <f>M214-M213</f>
        <v/>
      </c>
      <c r="N215">
        <f>N214-N213</f>
        <v/>
      </c>
      <c r="O215">
        <f>O214-O213</f>
        <v/>
      </c>
      <c r="P215">
        <f>P214-P213</f>
        <v/>
      </c>
      <c r="Q215">
        <f>Q214-Q213</f>
        <v/>
      </c>
      <c r="R215">
        <f>R214-R213</f>
        <v/>
      </c>
      <c r="S215">
        <f>S214-S213</f>
        <v/>
      </c>
    </row>
    <row r="216">
      <c r="C216" t="inlineStr">
        <is>
          <t>稼働棟数</t>
        </is>
      </c>
    </row>
    <row r="217">
      <c r="A217" t="n">
        <v>41</v>
      </c>
      <c r="B217" t="inlineStr">
        <is>
          <t>ソリトン /根物野菜</t>
        </is>
      </c>
      <c r="C217" t="inlineStr">
        <is>
          <t>58期</t>
        </is>
      </c>
    </row>
    <row r="218">
      <c r="C218" t="inlineStr">
        <is>
          <t>59期</t>
        </is>
      </c>
      <c r="F218" t="n">
        <v>0</v>
      </c>
    </row>
    <row r="219">
      <c r="C219" t="inlineStr">
        <is>
          <t>増　減</t>
        </is>
      </c>
      <c r="D219">
        <f>D218-D217</f>
        <v/>
      </c>
      <c r="E219">
        <f>E218-E217</f>
        <v/>
      </c>
      <c r="F219">
        <f>F218-F217</f>
        <v/>
      </c>
      <c r="G219">
        <f>G218-G217</f>
        <v/>
      </c>
      <c r="H219">
        <f>H218-H217</f>
        <v/>
      </c>
      <c r="I219">
        <f>I218-I217</f>
        <v/>
      </c>
      <c r="J219">
        <f>J218-J217</f>
        <v/>
      </c>
      <c r="K219">
        <f>K218-K217</f>
        <v/>
      </c>
      <c r="L219">
        <f>L218-L217</f>
        <v/>
      </c>
      <c r="M219">
        <f>M218-M217</f>
        <v/>
      </c>
      <c r="N219">
        <f>N218-N217</f>
        <v/>
      </c>
      <c r="O219">
        <f>O218-O217</f>
        <v/>
      </c>
      <c r="P219">
        <f>P218-P217</f>
        <v/>
      </c>
      <c r="Q219">
        <f>Q218-Q217</f>
        <v/>
      </c>
      <c r="R219">
        <f>R218-R217</f>
        <v/>
      </c>
      <c r="S219">
        <f>S218-S217</f>
        <v/>
      </c>
    </row>
    <row r="220">
      <c r="C220" t="inlineStr">
        <is>
          <t>稼働棟数</t>
        </is>
      </c>
    </row>
    <row r="221">
      <c r="A221" t="n">
        <v>42</v>
      </c>
      <c r="B221" t="inlineStr">
        <is>
          <t>バリュ /葉物野菜</t>
        </is>
      </c>
      <c r="C221" t="inlineStr">
        <is>
          <t>58期</t>
        </is>
      </c>
    </row>
    <row r="222">
      <c r="C222" t="inlineStr">
        <is>
          <t>59期</t>
        </is>
      </c>
      <c r="F222" t="n">
        <v>0.01</v>
      </c>
    </row>
    <row r="223">
      <c r="C223" t="inlineStr">
        <is>
          <t>増　減</t>
        </is>
      </c>
      <c r="D223">
        <f>D222-D221</f>
        <v/>
      </c>
      <c r="E223">
        <f>E222-E221</f>
        <v/>
      </c>
      <c r="F223">
        <f>F222-F221</f>
        <v/>
      </c>
      <c r="G223">
        <f>G222-G221</f>
        <v/>
      </c>
      <c r="H223">
        <f>H222-H221</f>
        <v/>
      </c>
      <c r="I223">
        <f>I222-I221</f>
        <v/>
      </c>
      <c r="J223">
        <f>J222-J221</f>
        <v/>
      </c>
      <c r="K223">
        <f>K222-K221</f>
        <v/>
      </c>
      <c r="L223">
        <f>L222-L221</f>
        <v/>
      </c>
      <c r="M223">
        <f>M222-M221</f>
        <v/>
      </c>
      <c r="N223">
        <f>N222-N221</f>
        <v/>
      </c>
      <c r="O223">
        <f>O222-O221</f>
        <v/>
      </c>
      <c r="P223">
        <f>P222-P221</f>
        <v/>
      </c>
      <c r="Q223">
        <f>Q222-Q221</f>
        <v/>
      </c>
      <c r="R223">
        <f>R222-R221</f>
        <v/>
      </c>
      <c r="S223">
        <f>S222-S221</f>
        <v/>
      </c>
    </row>
    <row r="224">
      <c r="C224" t="inlineStr">
        <is>
          <t>稼働棟数</t>
        </is>
      </c>
    </row>
    <row r="225">
      <c r="A225" t="n">
        <v>43</v>
      </c>
      <c r="B225" t="inlineStr">
        <is>
          <t>三和 /根物野菜</t>
        </is>
      </c>
      <c r="C225" t="inlineStr">
        <is>
          <t>58期</t>
        </is>
      </c>
    </row>
    <row r="226">
      <c r="C226" t="inlineStr">
        <is>
          <t>59期</t>
        </is>
      </c>
      <c r="F226" t="n">
        <v>0</v>
      </c>
    </row>
    <row r="227">
      <c r="C227" t="inlineStr">
        <is>
          <t>増　減</t>
        </is>
      </c>
      <c r="D227">
        <f>D226-D225</f>
        <v/>
      </c>
      <c r="E227">
        <f>E226-E225</f>
        <v/>
      </c>
      <c r="F227">
        <f>F226-F225</f>
        <v/>
      </c>
      <c r="G227">
        <f>G226-G225</f>
        <v/>
      </c>
      <c r="H227">
        <f>H226-H225</f>
        <v/>
      </c>
      <c r="I227">
        <f>I226-I225</f>
        <v/>
      </c>
      <c r="J227">
        <f>J226-J225</f>
        <v/>
      </c>
      <c r="K227">
        <f>K226-K225</f>
        <v/>
      </c>
      <c r="L227">
        <f>L226-L225</f>
        <v/>
      </c>
      <c r="M227">
        <f>M226-M225</f>
        <v/>
      </c>
      <c r="N227">
        <f>N226-N225</f>
        <v/>
      </c>
      <c r="O227">
        <f>O226-O225</f>
        <v/>
      </c>
      <c r="P227">
        <f>P226-P225</f>
        <v/>
      </c>
      <c r="Q227">
        <f>Q226-Q225</f>
        <v/>
      </c>
      <c r="R227">
        <f>R226-R225</f>
        <v/>
      </c>
      <c r="S227">
        <f>S226-S225</f>
        <v/>
      </c>
    </row>
    <row r="228">
      <c r="C228" t="inlineStr">
        <is>
          <t>稼働棟数</t>
        </is>
      </c>
    </row>
    <row r="229">
      <c r="A229" t="n">
        <v>44</v>
      </c>
      <c r="B229" t="inlineStr">
        <is>
          <t>富士機械 /根物野菜</t>
        </is>
      </c>
      <c r="C229" t="inlineStr">
        <is>
          <t>58期</t>
        </is>
      </c>
    </row>
    <row r="230">
      <c r="C230" t="inlineStr">
        <is>
          <t>59期</t>
        </is>
      </c>
      <c r="F230" t="n">
        <v>0</v>
      </c>
    </row>
    <row r="231">
      <c r="C231" t="inlineStr">
        <is>
          <t>増　減</t>
        </is>
      </c>
      <c r="D231">
        <f>D230-D229</f>
        <v/>
      </c>
      <c r="E231">
        <f>E230-E229</f>
        <v/>
      </c>
      <c r="F231">
        <f>F230-F229</f>
        <v/>
      </c>
      <c r="G231">
        <f>G230-G229</f>
        <v/>
      </c>
      <c r="H231">
        <f>H230-H229</f>
        <v/>
      </c>
      <c r="I231">
        <f>I230-I229</f>
        <v/>
      </c>
      <c r="J231">
        <f>J230-J229</f>
        <v/>
      </c>
      <c r="K231">
        <f>K230-K229</f>
        <v/>
      </c>
      <c r="L231">
        <f>L230-L229</f>
        <v/>
      </c>
      <c r="M231">
        <f>M230-M229</f>
        <v/>
      </c>
      <c r="N231">
        <f>N230-N229</f>
        <v/>
      </c>
      <c r="O231">
        <f>O230-O229</f>
        <v/>
      </c>
      <c r="P231">
        <f>P230-P229</f>
        <v/>
      </c>
      <c r="Q231">
        <f>Q230-Q229</f>
        <v/>
      </c>
      <c r="R231">
        <f>R230-R229</f>
        <v/>
      </c>
      <c r="S231">
        <f>S230-S229</f>
        <v/>
      </c>
    </row>
    <row r="232">
      <c r="C232" t="inlineStr">
        <is>
          <t>稼働棟数</t>
        </is>
      </c>
    </row>
    <row r="233">
      <c r="A233" t="n">
        <v>45</v>
      </c>
      <c r="B233" t="inlineStr">
        <is>
          <t>日建 /ミニトマト</t>
        </is>
      </c>
      <c r="C233" t="inlineStr">
        <is>
          <t>58期</t>
        </is>
      </c>
    </row>
    <row r="234">
      <c r="C234" t="inlineStr">
        <is>
          <t>59期</t>
        </is>
      </c>
      <c r="F234" t="n">
        <v>0.01</v>
      </c>
    </row>
    <row r="235">
      <c r="C235" t="inlineStr">
        <is>
          <t>増　減</t>
        </is>
      </c>
      <c r="D235">
        <f>D234-D233</f>
        <v/>
      </c>
      <c r="E235">
        <f>E234-E233</f>
        <v/>
      </c>
      <c r="F235">
        <f>F234-F233</f>
        <v/>
      </c>
      <c r="G235">
        <f>G234-G233</f>
        <v/>
      </c>
      <c r="H235">
        <f>H234-H233</f>
        <v/>
      </c>
      <c r="I235">
        <f>I234-I233</f>
        <v/>
      </c>
      <c r="J235">
        <f>J234-J233</f>
        <v/>
      </c>
      <c r="K235">
        <f>K234-K233</f>
        <v/>
      </c>
      <c r="L235">
        <f>L234-L233</f>
        <v/>
      </c>
      <c r="M235">
        <f>M234-M233</f>
        <v/>
      </c>
      <c r="N235">
        <f>N234-N233</f>
        <v/>
      </c>
      <c r="O235">
        <f>O234-O233</f>
        <v/>
      </c>
      <c r="P235">
        <f>P234-P233</f>
        <v/>
      </c>
      <c r="Q235">
        <f>Q234-Q233</f>
        <v/>
      </c>
      <c r="R235">
        <f>R234-R233</f>
        <v/>
      </c>
      <c r="S235">
        <f>S234-S233</f>
        <v/>
      </c>
    </row>
    <row r="236">
      <c r="C236" t="inlineStr">
        <is>
          <t>稼働棟数</t>
        </is>
      </c>
    </row>
  </sheetData>
  <mergeCells count="101">
    <mergeCell ref="B153:B156"/>
    <mergeCell ref="A61:A64"/>
    <mergeCell ref="B149:B152"/>
    <mergeCell ref="B121:B124"/>
    <mergeCell ref="A153:A156"/>
    <mergeCell ref="A45:A48"/>
    <mergeCell ref="B77:B80"/>
    <mergeCell ref="A137:A140"/>
    <mergeCell ref="B61:B64"/>
    <mergeCell ref="A65:A68"/>
    <mergeCell ref="A105:A108"/>
    <mergeCell ref="B29:B32"/>
    <mergeCell ref="A37:A40"/>
    <mergeCell ref="A189:A192"/>
    <mergeCell ref="B13:B16"/>
    <mergeCell ref="B53:B56"/>
    <mergeCell ref="A113:A116"/>
    <mergeCell ref="A17:A20"/>
    <mergeCell ref="A53:A56"/>
    <mergeCell ref="B37:B40"/>
    <mergeCell ref="A141:A144"/>
    <mergeCell ref="A181:A184"/>
    <mergeCell ref="A93:A96"/>
    <mergeCell ref="A165:A168"/>
    <mergeCell ref="B185:B188"/>
    <mergeCell ref="B41:B44"/>
    <mergeCell ref="B81:B84"/>
    <mergeCell ref="A49:A52"/>
    <mergeCell ref="B169:B172"/>
    <mergeCell ref="A117:A120"/>
    <mergeCell ref="A169:A172"/>
    <mergeCell ref="B93:B96"/>
    <mergeCell ref="A193:A196"/>
    <mergeCell ref="B105:B108"/>
    <mergeCell ref="B161:B164"/>
    <mergeCell ref="B17:B20"/>
    <mergeCell ref="A89:A92"/>
    <mergeCell ref="B157:B160"/>
    <mergeCell ref="A177:A180"/>
    <mergeCell ref="A21:A24"/>
    <mergeCell ref="B101:B104"/>
    <mergeCell ref="A145:A148"/>
    <mergeCell ref="B9:B12"/>
    <mergeCell ref="B69:B72"/>
    <mergeCell ref="A129:A132"/>
    <mergeCell ref="B205:B208"/>
    <mergeCell ref="A57:A60"/>
    <mergeCell ref="B133:B136"/>
    <mergeCell ref="A121:A124"/>
    <mergeCell ref="A77:A80"/>
    <mergeCell ref="B45:B48"/>
    <mergeCell ref="B125:B128"/>
    <mergeCell ref="B97:B100"/>
    <mergeCell ref="A197:A200"/>
    <mergeCell ref="B109:B112"/>
    <mergeCell ref="A173:A176"/>
    <mergeCell ref="A69:A72"/>
    <mergeCell ref="A25:A28"/>
    <mergeCell ref="B145:B148"/>
    <mergeCell ref="B73:B76"/>
    <mergeCell ref="B57:B60"/>
    <mergeCell ref="B181:B184"/>
    <mergeCell ref="B137:B140"/>
    <mergeCell ref="A101:A104"/>
    <mergeCell ref="A97:A100"/>
    <mergeCell ref="A185:A188"/>
    <mergeCell ref="A29:A32"/>
    <mergeCell ref="A81:A84"/>
    <mergeCell ref="B49:B52"/>
    <mergeCell ref="B5:B8"/>
    <mergeCell ref="A13:A16"/>
    <mergeCell ref="B189:B192"/>
    <mergeCell ref="B113:B116"/>
    <mergeCell ref="B173:B176"/>
    <mergeCell ref="A73:A76"/>
    <mergeCell ref="B141:B144"/>
    <mergeCell ref="B193:B196"/>
    <mergeCell ref="A161:A164"/>
    <mergeCell ref="A157:A160"/>
    <mergeCell ref="B165:B168"/>
    <mergeCell ref="B21:B24"/>
    <mergeCell ref="B117:B120"/>
    <mergeCell ref="A149:A152"/>
    <mergeCell ref="A41:A44"/>
    <mergeCell ref="A133:A136"/>
    <mergeCell ref="A33:A36"/>
    <mergeCell ref="A85:A88"/>
    <mergeCell ref="B177:B180"/>
    <mergeCell ref="B33:B36"/>
    <mergeCell ref="A5:A8"/>
    <mergeCell ref="A125:A128"/>
    <mergeCell ref="B65:B68"/>
    <mergeCell ref="B201:B204"/>
    <mergeCell ref="A109:A112"/>
    <mergeCell ref="B197:B200"/>
    <mergeCell ref="A9:A12"/>
    <mergeCell ref="B89:B92"/>
    <mergeCell ref="B129:B132"/>
    <mergeCell ref="B209:B212"/>
    <mergeCell ref="B25:B28"/>
    <mergeCell ref="B85:B88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8" scale="61" fitToHeight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192"/>
  <sheetViews>
    <sheetView zoomScaleNormal="100" workbookViewId="0">
      <pane xSplit="3" ySplit="4" topLeftCell="D170" activePane="bottomRight" state="frozen"/>
      <selection activeCell="I122" sqref="I122"/>
      <selection pane="topRight" activeCell="I122" sqref="I122"/>
      <selection pane="bottomLeft" activeCell="I122" sqref="I122"/>
      <selection pane="bottomRight" activeCell="G176" sqref="G176"/>
    </sheetView>
  </sheetViews>
  <sheetFormatPr baseColWidth="8" defaultRowHeight="13"/>
  <cols>
    <col width="5.26953125" customWidth="1" style="47" min="1" max="1"/>
    <col width="21" customWidth="1" style="47" min="2" max="2"/>
    <col width="9" bestFit="1" customWidth="1" style="47" min="3" max="3"/>
    <col width="10.08984375" bestFit="1" customWidth="1" style="47" min="18" max="18"/>
    <col width="35.7265625" bestFit="1" customWidth="1" style="47" min="19" max="19"/>
  </cols>
  <sheetData>
    <row r="1" ht="16.5" customHeight="1" s="47">
      <c r="A1" s="1" t="inlineStr">
        <is>
          <t>■加工用　企業・月別生産量集計表</t>
        </is>
      </c>
      <c r="G1" s="1" t="inlineStr">
        <is>
          <t>はーとふる農園愛川</t>
        </is>
      </c>
      <c r="S1" s="39" t="inlineStr">
        <is>
          <t>●/●時点</t>
        </is>
      </c>
    </row>
    <row r="2" ht="13.5" customHeight="1" s="47">
      <c r="B2" s="1" t="n"/>
      <c r="G2" s="1" t="n"/>
      <c r="S2" s="39" t="n"/>
    </row>
    <row r="3" ht="13.5" customHeight="1" s="47" thickBot="1">
      <c r="K3" s="19" t="n"/>
      <c r="S3" s="39" t="inlineStr">
        <is>
          <t>（単位：㎏）</t>
        </is>
      </c>
    </row>
    <row r="4" ht="27" customHeight="1" s="47" thickBot="1">
      <c r="A4" s="26" t="n"/>
      <c r="B4" s="2" t="inlineStr">
        <is>
          <t>企業名/野菜名</t>
        </is>
      </c>
      <c r="C4" s="2" t="inlineStr">
        <is>
          <t>期</t>
        </is>
      </c>
      <c r="D4" s="2" t="inlineStr">
        <is>
          <t>10月</t>
        </is>
      </c>
      <c r="E4" s="2" t="inlineStr">
        <is>
          <t>11月</t>
        </is>
      </c>
      <c r="F4" s="2" t="inlineStr">
        <is>
          <t>12月</t>
        </is>
      </c>
      <c r="G4" s="2" t="inlineStr">
        <is>
          <t>1月</t>
        </is>
      </c>
      <c r="H4" s="2" t="inlineStr">
        <is>
          <t>2月</t>
        </is>
      </c>
      <c r="I4" s="3" t="inlineStr">
        <is>
          <t>3月</t>
        </is>
      </c>
      <c r="J4" s="4" t="inlineStr">
        <is>
          <t>上期集計</t>
        </is>
      </c>
      <c r="K4" s="5" t="inlineStr">
        <is>
          <t>4月</t>
        </is>
      </c>
      <c r="L4" s="2" t="inlineStr">
        <is>
          <t>5月</t>
        </is>
      </c>
      <c r="M4" s="2" t="inlineStr">
        <is>
          <t>6月</t>
        </is>
      </c>
      <c r="N4" s="2" t="inlineStr">
        <is>
          <t>7月</t>
        </is>
      </c>
      <c r="O4" s="2" t="inlineStr">
        <is>
          <t>8月</t>
        </is>
      </c>
      <c r="P4" s="3" t="inlineStr">
        <is>
          <t>9月</t>
        </is>
      </c>
      <c r="Q4" s="4" t="inlineStr">
        <is>
          <t>下期集計</t>
        </is>
      </c>
      <c r="R4" s="4" t="inlineStr">
        <is>
          <t>合　計</t>
        </is>
      </c>
      <c r="S4" s="6" t="inlineStr">
        <is>
          <t>備考</t>
        </is>
      </c>
    </row>
    <row r="5" ht="18" customHeight="1" s="47">
      <c r="A5" s="48" t="n">
        <v>1</v>
      </c>
      <c r="B5" s="51" t="inlineStr">
        <is>
          <t>牧野フライス
/加工BL</t>
        </is>
      </c>
      <c r="C5" s="31" t="inlineStr">
        <is>
          <t>58期</t>
        </is>
      </c>
      <c r="D5" s="8" t="n"/>
      <c r="E5" s="8" t="n"/>
      <c r="F5" s="8" t="n">
        <v>0.5600000000000001</v>
      </c>
      <c r="G5" s="8" t="n">
        <v>3.44</v>
      </c>
      <c r="H5" s="8" t="n">
        <v>2.38</v>
      </c>
      <c r="I5" s="9" t="n">
        <v>3.2</v>
      </c>
      <c r="J5" s="10">
        <f>SUM(D5:I5)</f>
        <v/>
      </c>
      <c r="K5" s="11" t="n">
        <v>1.2</v>
      </c>
      <c r="L5" s="8" t="n">
        <v>0.5600000000000001</v>
      </c>
      <c r="M5" s="8" t="n">
        <v>0.14</v>
      </c>
      <c r="N5" s="8" t="n">
        <v>2.72</v>
      </c>
      <c r="O5" s="8" t="n">
        <v>1.2</v>
      </c>
      <c r="P5" s="9" t="n">
        <v>0.64</v>
      </c>
      <c r="Q5" s="10">
        <f>SUM(K5:P5)</f>
        <v/>
      </c>
      <c r="R5" s="10">
        <f>J5+Q5</f>
        <v/>
      </c>
      <c r="S5" s="16" t="n"/>
    </row>
    <row r="6" ht="18" customHeight="1" s="47">
      <c r="A6" s="49" t="n"/>
      <c r="B6" s="52" t="n"/>
      <c r="C6" s="7" t="inlineStr">
        <is>
          <t>59期</t>
        </is>
      </c>
      <c r="D6" s="12" t="n"/>
      <c r="E6" s="12" t="n">
        <v>0.38</v>
      </c>
      <c r="F6" s="12" t="n">
        <v>0.06</v>
      </c>
      <c r="G6" s="12" t="n">
        <v>1.24</v>
      </c>
      <c r="H6" s="12" t="n"/>
      <c r="I6" s="13" t="n"/>
      <c r="J6" s="14">
        <f>SUM(D6:I6)</f>
        <v/>
      </c>
      <c r="K6" s="15" t="n"/>
      <c r="L6" s="12" t="n"/>
      <c r="M6" s="12" t="n"/>
      <c r="N6" s="12" t="n"/>
      <c r="O6" s="12" t="n"/>
      <c r="P6" s="13" t="n"/>
      <c r="Q6" s="14">
        <f>SUM(K6:P6)</f>
        <v/>
      </c>
      <c r="R6" s="14">
        <f>J6+Q6</f>
        <v/>
      </c>
      <c r="S6" s="17" t="n"/>
    </row>
    <row r="7" ht="18" customHeight="1" s="47">
      <c r="A7" s="49" t="n"/>
      <c r="B7" s="52" t="n"/>
      <c r="C7" s="23" t="inlineStr">
        <is>
          <t>増　減</t>
        </is>
      </c>
      <c r="D7" s="24">
        <f>D6-D5</f>
        <v/>
      </c>
      <c r="E7" s="24">
        <f>E6-E5</f>
        <v/>
      </c>
      <c r="F7" s="24">
        <f>F6-F5</f>
        <v/>
      </c>
      <c r="G7" s="24">
        <f>G6-G5</f>
        <v/>
      </c>
      <c r="H7" s="24">
        <f>H6-H5</f>
        <v/>
      </c>
      <c r="I7" s="27">
        <f>I6-I5</f>
        <v/>
      </c>
      <c r="J7" s="30">
        <f>SUM(D7:I7)</f>
        <v/>
      </c>
      <c r="K7" s="29">
        <f>K6-K5</f>
        <v/>
      </c>
      <c r="L7" s="24">
        <f>L6-L5</f>
        <v/>
      </c>
      <c r="M7" s="24">
        <f>M6-M5</f>
        <v/>
      </c>
      <c r="N7" s="24">
        <f>N6-N5</f>
        <v/>
      </c>
      <c r="O7" s="24">
        <f>O6-O5</f>
        <v/>
      </c>
      <c r="P7" s="27">
        <f>P6-P5</f>
        <v/>
      </c>
      <c r="Q7" s="30">
        <f>SUM(K7:P7)</f>
        <v/>
      </c>
      <c r="R7" s="30">
        <f>J7+Q7</f>
        <v/>
      </c>
      <c r="S7" s="17" t="n"/>
    </row>
    <row r="8" ht="18" customHeight="1" s="47" thickBot="1">
      <c r="A8" s="50" t="n"/>
      <c r="B8" s="53" t="n"/>
      <c r="C8" s="25" t="inlineStr">
        <is>
          <t>稼働棟数</t>
        </is>
      </c>
      <c r="D8" s="20" t="n"/>
      <c r="E8" s="20" t="n"/>
      <c r="F8" s="20" t="n"/>
      <c r="G8" s="20" t="n"/>
      <c r="H8" s="20" t="n"/>
      <c r="I8" s="28" t="n"/>
      <c r="J8" s="21">
        <f>I8</f>
        <v/>
      </c>
      <c r="K8" s="22" t="n"/>
      <c r="L8" s="20" t="n"/>
      <c r="M8" s="20" t="n"/>
      <c r="N8" s="20" t="n"/>
      <c r="O8" s="20" t="n"/>
      <c r="P8" s="28" t="n"/>
      <c r="Q8" s="21">
        <f>P8</f>
        <v/>
      </c>
      <c r="R8" s="21">
        <f>Q8</f>
        <v/>
      </c>
      <c r="S8" s="18" t="n"/>
    </row>
    <row r="9" ht="18" customHeight="1" s="47" thickBot="1">
      <c r="A9" s="58" t="n">
        <v>1</v>
      </c>
      <c r="B9" s="56" t="inlineStr">
        <is>
          <t>日本ファブテック
/加工BL</t>
        </is>
      </c>
      <c r="C9" s="31" t="inlineStr">
        <is>
          <t>58期</t>
        </is>
      </c>
      <c r="D9" s="8" t="n"/>
      <c r="E9" s="8" t="n"/>
      <c r="F9" s="8" t="n"/>
      <c r="G9" s="8" t="n">
        <v>1.2</v>
      </c>
      <c r="H9" s="8" t="n">
        <v>0.66</v>
      </c>
      <c r="I9" s="9" t="n">
        <v>0.6</v>
      </c>
      <c r="J9" s="10">
        <f>SUM(D9:I9)</f>
        <v/>
      </c>
      <c r="K9" s="11" t="n">
        <v>0.6</v>
      </c>
      <c r="L9" s="8" t="n">
        <v>0.36</v>
      </c>
      <c r="M9" s="8" t="n"/>
      <c r="N9" s="8" t="n">
        <v>1.44</v>
      </c>
      <c r="O9" s="8" t="n">
        <v>0.92</v>
      </c>
      <c r="P9" s="9" t="n">
        <v>0.34</v>
      </c>
      <c r="Q9" s="10">
        <f>SUM(K9:P9)</f>
        <v/>
      </c>
      <c r="R9" s="10">
        <f>J9+Q9</f>
        <v/>
      </c>
      <c r="S9" s="16" t="n"/>
    </row>
    <row r="10" ht="18" customHeight="1" s="47">
      <c r="A10" s="49" t="n"/>
      <c r="B10" s="52" t="n"/>
      <c r="C10" s="7" t="inlineStr">
        <is>
          <t>59期</t>
        </is>
      </c>
      <c r="D10" s="12" t="n"/>
      <c r="E10" s="12" t="n">
        <v>0.12</v>
      </c>
      <c r="F10" s="12" t="n">
        <v>0.24</v>
      </c>
      <c r="G10" s="12" t="n">
        <v>0.86</v>
      </c>
      <c r="H10" s="12" t="n"/>
      <c r="I10" s="13" t="n"/>
      <c r="J10" s="14">
        <f>SUM(D10:I10)</f>
        <v/>
      </c>
      <c r="K10" s="15" t="n"/>
      <c r="L10" s="12" t="n"/>
      <c r="M10" s="12" t="n"/>
      <c r="N10" s="12" t="n"/>
      <c r="O10" s="12" t="n"/>
      <c r="P10" s="13" t="n"/>
      <c r="Q10" s="14">
        <f>SUM(K10:P10)</f>
        <v/>
      </c>
      <c r="R10" s="14">
        <f>J10+Q10</f>
        <v/>
      </c>
      <c r="S10" s="17" t="n"/>
    </row>
    <row r="11" ht="18" customHeight="1" s="47">
      <c r="A11" s="49" t="n"/>
      <c r="B11" s="52" t="n"/>
      <c r="C11" s="23" t="inlineStr">
        <is>
          <t>増　減</t>
        </is>
      </c>
      <c r="D11" s="24">
        <f>D10-D9</f>
        <v/>
      </c>
      <c r="E11" s="24">
        <f>E10-E9</f>
        <v/>
      </c>
      <c r="F11" s="24">
        <f>F10-F9</f>
        <v/>
      </c>
      <c r="G11" s="24">
        <f>G10-G9</f>
        <v/>
      </c>
      <c r="H11" s="24">
        <f>H10-H9</f>
        <v/>
      </c>
      <c r="I11" s="27">
        <f>I10-I9</f>
        <v/>
      </c>
      <c r="J11" s="30">
        <f>SUM(D11:I11)</f>
        <v/>
      </c>
      <c r="K11" s="29">
        <f>K10-K9</f>
        <v/>
      </c>
      <c r="L11" s="24">
        <f>L10-L9</f>
        <v/>
      </c>
      <c r="M11" s="24">
        <f>M10-M9</f>
        <v/>
      </c>
      <c r="N11" s="24">
        <f>N10-N9</f>
        <v/>
      </c>
      <c r="O11" s="24">
        <f>O10-O9</f>
        <v/>
      </c>
      <c r="P11" s="27">
        <f>P10-P9</f>
        <v/>
      </c>
      <c r="Q11" s="30">
        <f>SUM(K11:P11)</f>
        <v/>
      </c>
      <c r="R11" s="30">
        <f>J11+Q11</f>
        <v/>
      </c>
      <c r="S11" s="17" t="n"/>
    </row>
    <row r="12" ht="18" customHeight="1" s="47" thickBot="1">
      <c r="A12" s="59" t="n"/>
      <c r="B12" s="57" t="n"/>
      <c r="C12" s="25" t="inlineStr">
        <is>
          <t>稼働棟数</t>
        </is>
      </c>
      <c r="D12" s="20" t="n"/>
      <c r="E12" s="20" t="n"/>
      <c r="F12" s="20" t="n"/>
      <c r="G12" s="20" t="n"/>
      <c r="H12" s="20" t="n"/>
      <c r="I12" s="28" t="n"/>
      <c r="J12" s="21">
        <f>I12</f>
        <v/>
      </c>
      <c r="K12" s="22" t="n"/>
      <c r="L12" s="20" t="n"/>
      <c r="M12" s="20" t="n"/>
      <c r="N12" s="20" t="n"/>
      <c r="O12" s="20" t="n"/>
      <c r="P12" s="28" t="n"/>
      <c r="Q12" s="21">
        <f>P12</f>
        <v/>
      </c>
      <c r="R12" s="21">
        <f>Q12</f>
        <v/>
      </c>
      <c r="S12" s="18" t="n"/>
    </row>
    <row r="13" ht="18" customHeight="1" s="47">
      <c r="A13" s="48" t="n">
        <v>2</v>
      </c>
      <c r="B13" s="51" t="inlineStr">
        <is>
          <t>東レ
/加工BL</t>
        </is>
      </c>
      <c r="C13" s="31" t="inlineStr">
        <is>
          <t>58期</t>
        </is>
      </c>
      <c r="D13" s="8" t="n"/>
      <c r="E13" s="8" t="n"/>
      <c r="F13" s="8" t="n">
        <v>3.34</v>
      </c>
      <c r="G13" s="8" t="n">
        <v>13</v>
      </c>
      <c r="H13" s="8" t="n">
        <v>10.32</v>
      </c>
      <c r="I13" s="9" t="n">
        <v>5.02</v>
      </c>
      <c r="J13" s="10">
        <f>SUM(D13:I13)</f>
        <v/>
      </c>
      <c r="K13" s="11" t="n">
        <v>6.34</v>
      </c>
      <c r="L13" s="8" t="n">
        <v>3.26</v>
      </c>
      <c r="M13" s="8" t="n">
        <v>8.18</v>
      </c>
      <c r="N13" s="8" t="n">
        <v>5.62</v>
      </c>
      <c r="O13" s="8" t="n">
        <v>1.36</v>
      </c>
      <c r="P13" s="9" t="n">
        <v>1.48</v>
      </c>
      <c r="Q13" s="10">
        <f>SUM(K13:P13)</f>
        <v/>
      </c>
      <c r="R13" s="10">
        <f>J13+Q13</f>
        <v/>
      </c>
      <c r="S13" s="16" t="n"/>
    </row>
    <row r="14" ht="18" customHeight="1" s="47">
      <c r="A14" s="49" t="n"/>
      <c r="B14" s="52" t="n"/>
      <c r="C14" s="7" t="inlineStr">
        <is>
          <t>59期</t>
        </is>
      </c>
      <c r="D14" s="12" t="n">
        <v>2.92</v>
      </c>
      <c r="E14" s="12" t="n">
        <v>1.34</v>
      </c>
      <c r="F14" s="12" t="n">
        <v>0</v>
      </c>
      <c r="G14" s="12" t="n">
        <v>12.22</v>
      </c>
      <c r="H14" s="12" t="n"/>
      <c r="I14" s="13" t="n"/>
      <c r="J14" s="14">
        <f>SUM(D14:I14)</f>
        <v/>
      </c>
      <c r="K14" s="15" t="n"/>
      <c r="L14" s="12" t="n"/>
      <c r="M14" s="12" t="n"/>
      <c r="N14" s="12" t="n"/>
      <c r="O14" s="12" t="n"/>
      <c r="P14" s="13" t="n"/>
      <c r="Q14" s="14">
        <f>SUM(K14:P14)</f>
        <v/>
      </c>
      <c r="R14" s="14">
        <f>J14+Q14</f>
        <v/>
      </c>
      <c r="S14" s="17" t="n"/>
    </row>
    <row r="15" ht="18" customHeight="1" s="47">
      <c r="A15" s="49" t="n"/>
      <c r="B15" s="52" t="n"/>
      <c r="C15" s="23" t="inlineStr">
        <is>
          <t>増　減</t>
        </is>
      </c>
      <c r="D15" s="24">
        <f>D14-D13</f>
        <v/>
      </c>
      <c r="E15" s="24">
        <f>E14-E13</f>
        <v/>
      </c>
      <c r="F15" s="24">
        <f>F14-F13</f>
        <v/>
      </c>
      <c r="G15" s="24">
        <f>G14-G13</f>
        <v/>
      </c>
      <c r="H15" s="24">
        <f>H14-H13</f>
        <v/>
      </c>
      <c r="I15" s="27">
        <f>I14-I13</f>
        <v/>
      </c>
      <c r="J15" s="30">
        <f>SUM(D15:I15)</f>
        <v/>
      </c>
      <c r="K15" s="29">
        <f>K14-K13</f>
        <v/>
      </c>
      <c r="L15" s="24">
        <f>L14-L13</f>
        <v/>
      </c>
      <c r="M15" s="24">
        <f>M14-M13</f>
        <v/>
      </c>
      <c r="N15" s="24">
        <f>N14-N13</f>
        <v/>
      </c>
      <c r="O15" s="24">
        <f>O14-O13</f>
        <v/>
      </c>
      <c r="P15" s="27">
        <f>P14-P13</f>
        <v/>
      </c>
      <c r="Q15" s="30">
        <f>SUM(K15:P15)</f>
        <v/>
      </c>
      <c r="R15" s="30">
        <f>J15+Q15</f>
        <v/>
      </c>
      <c r="S15" s="17" t="n"/>
    </row>
    <row r="16" ht="18" customHeight="1" s="47" thickBot="1">
      <c r="A16" s="50" t="n"/>
      <c r="B16" s="53" t="n"/>
      <c r="C16" s="25" t="inlineStr">
        <is>
          <t>稼働棟数</t>
        </is>
      </c>
      <c r="D16" s="20" t="n"/>
      <c r="E16" s="20" t="n"/>
      <c r="F16" s="20" t="n"/>
      <c r="G16" s="20" t="n"/>
      <c r="H16" s="20" t="n"/>
      <c r="I16" s="28" t="n"/>
      <c r="J16" s="21">
        <f>I16</f>
        <v/>
      </c>
      <c r="K16" s="22" t="n"/>
      <c r="L16" s="20" t="n"/>
      <c r="M16" s="20" t="n"/>
      <c r="N16" s="20" t="n"/>
      <c r="O16" s="20" t="n"/>
      <c r="P16" s="28" t="n"/>
      <c r="Q16" s="21">
        <f>P16</f>
        <v/>
      </c>
      <c r="R16" s="21">
        <f>Q16</f>
        <v/>
      </c>
      <c r="S16" s="18" t="n"/>
    </row>
    <row r="17" ht="18" customHeight="1" s="47">
      <c r="A17" s="48" t="n">
        <v>3</v>
      </c>
      <c r="B17" s="51" t="inlineStr">
        <is>
          <t>東レ
/加工イチゴ</t>
        </is>
      </c>
      <c r="C17" s="31" t="inlineStr">
        <is>
          <t>58期</t>
        </is>
      </c>
      <c r="D17" s="8" t="n"/>
      <c r="E17" s="8" t="n"/>
      <c r="F17" s="8" t="n">
        <v>0.7</v>
      </c>
      <c r="G17" s="8" t="n">
        <v>5.44</v>
      </c>
      <c r="H17" s="8" t="n">
        <v>10.655</v>
      </c>
      <c r="I17" s="9" t="n">
        <v>6.7</v>
      </c>
      <c r="J17" s="10">
        <f>SUM(D17:I17)</f>
        <v/>
      </c>
      <c r="K17" s="11" t="n">
        <v>3.38</v>
      </c>
      <c r="L17" s="8" t="n">
        <v>33.04</v>
      </c>
      <c r="M17" s="8" t="n"/>
      <c r="N17" s="8" t="n"/>
      <c r="O17" s="8" t="n"/>
      <c r="P17" s="9" t="n"/>
      <c r="Q17" s="10">
        <f>SUM(K17:P17)</f>
        <v/>
      </c>
      <c r="R17" s="10">
        <f>J17+Q17</f>
        <v/>
      </c>
      <c r="S17" s="16" t="n"/>
    </row>
    <row r="18" ht="18" customHeight="1" s="47">
      <c r="A18" s="49" t="n"/>
      <c r="B18" s="52" t="n"/>
      <c r="C18" s="7" t="inlineStr">
        <is>
          <t>59期</t>
        </is>
      </c>
      <c r="D18" s="12" t="n"/>
      <c r="E18" s="12" t="n"/>
      <c r="F18" s="12" t="n"/>
      <c r="G18" s="12" t="n"/>
      <c r="H18" s="12" t="n"/>
      <c r="I18" s="13" t="n"/>
      <c r="J18" s="14">
        <f>SUM(D18:I18)</f>
        <v/>
      </c>
      <c r="K18" s="15" t="n"/>
      <c r="L18" s="12" t="n"/>
      <c r="M18" s="12" t="n"/>
      <c r="N18" s="12" t="n"/>
      <c r="O18" s="12" t="n"/>
      <c r="P18" s="13" t="n"/>
      <c r="Q18" s="14">
        <f>SUM(K18:P18)</f>
        <v/>
      </c>
      <c r="R18" s="14">
        <f>J18+Q18</f>
        <v/>
      </c>
      <c r="S18" s="17" t="n"/>
    </row>
    <row r="19" ht="18" customHeight="1" s="47">
      <c r="A19" s="49" t="n"/>
      <c r="B19" s="52" t="n"/>
      <c r="C19" s="23" t="inlineStr">
        <is>
          <t>増　減</t>
        </is>
      </c>
      <c r="D19" s="24">
        <f>D18-D17</f>
        <v/>
      </c>
      <c r="E19" s="24">
        <f>E18-E17</f>
        <v/>
      </c>
      <c r="F19" s="24">
        <f>F18-F17</f>
        <v/>
      </c>
      <c r="G19" s="24">
        <f>G18-G17</f>
        <v/>
      </c>
      <c r="H19" s="24">
        <f>H18-H17</f>
        <v/>
      </c>
      <c r="I19" s="27">
        <f>I18-I17</f>
        <v/>
      </c>
      <c r="J19" s="30">
        <f>SUM(D19:I19)</f>
        <v/>
      </c>
      <c r="K19" s="29">
        <f>K18-K17</f>
        <v/>
      </c>
      <c r="L19" s="24">
        <f>L18-L17</f>
        <v/>
      </c>
      <c r="M19" s="24">
        <f>M18-M17</f>
        <v/>
      </c>
      <c r="N19" s="24">
        <f>N18-N17</f>
        <v/>
      </c>
      <c r="O19" s="24">
        <f>O18-O17</f>
        <v/>
      </c>
      <c r="P19" s="27">
        <f>P18-P17</f>
        <v/>
      </c>
      <c r="Q19" s="30">
        <f>SUM(K19:P19)</f>
        <v/>
      </c>
      <c r="R19" s="30">
        <f>J19+Q19</f>
        <v/>
      </c>
      <c r="S19" s="17" t="n"/>
    </row>
    <row r="20" ht="18" customHeight="1" s="47" thickBot="1">
      <c r="A20" s="50" t="n"/>
      <c r="B20" s="53" t="n"/>
      <c r="C20" s="25" t="inlineStr">
        <is>
          <t>稼働棟数</t>
        </is>
      </c>
      <c r="D20" s="20" t="n"/>
      <c r="E20" s="20" t="n"/>
      <c r="F20" s="20" t="n"/>
      <c r="G20" s="20" t="n"/>
      <c r="H20" s="20" t="n"/>
      <c r="I20" s="28" t="n"/>
      <c r="J20" s="21">
        <f>I20</f>
        <v/>
      </c>
      <c r="K20" s="22" t="n"/>
      <c r="L20" s="20" t="n"/>
      <c r="M20" s="20" t="n"/>
      <c r="N20" s="20" t="n"/>
      <c r="O20" s="20" t="n"/>
      <c r="P20" s="28" t="n"/>
      <c r="Q20" s="21">
        <f>P20</f>
        <v/>
      </c>
      <c r="R20" s="21">
        <f>Q20</f>
        <v/>
      </c>
      <c r="S20" s="18" t="n"/>
    </row>
    <row r="21" ht="18" customHeight="1" s="47">
      <c r="A21" s="48" t="n">
        <v>4</v>
      </c>
      <c r="B21" s="51" t="inlineStr">
        <is>
          <t>日本ロレアル
/加工BL</t>
        </is>
      </c>
      <c r="C21" s="31" t="inlineStr">
        <is>
          <t>58期</t>
        </is>
      </c>
      <c r="D21" s="8" t="n"/>
      <c r="E21" s="8" t="n"/>
      <c r="F21" s="8" t="n">
        <v>0.64</v>
      </c>
      <c r="G21" s="8" t="n">
        <v>0.78</v>
      </c>
      <c r="H21" s="8" t="n">
        <v>2.32</v>
      </c>
      <c r="I21" s="9" t="n">
        <v>1.16</v>
      </c>
      <c r="J21" s="10">
        <f>SUM(D21:I21)</f>
        <v/>
      </c>
      <c r="K21" s="11" t="n"/>
      <c r="L21" s="8" t="n"/>
      <c r="M21" s="8" t="n">
        <v>0.78</v>
      </c>
      <c r="N21" s="8" t="n">
        <v>4.4</v>
      </c>
      <c r="O21" s="8" t="n">
        <v>1.14</v>
      </c>
      <c r="P21" s="9" t="n">
        <v>0.34</v>
      </c>
      <c r="Q21" s="10">
        <f>SUM(K21:P21)</f>
        <v/>
      </c>
      <c r="R21" s="10">
        <f>J21+Q21</f>
        <v/>
      </c>
      <c r="S21" s="16" t="n"/>
    </row>
    <row r="22" ht="18" customHeight="1" s="47">
      <c r="A22" s="49" t="n"/>
      <c r="B22" s="52" t="n"/>
      <c r="C22" s="7" t="inlineStr">
        <is>
          <t>59期</t>
        </is>
      </c>
      <c r="D22" s="12" t="n"/>
      <c r="E22" s="12" t="n"/>
      <c r="F22" s="12" t="n">
        <v>0</v>
      </c>
      <c r="G22" s="12" t="n">
        <v>1.02</v>
      </c>
      <c r="H22" s="12" t="n"/>
      <c r="I22" s="13" t="n"/>
      <c r="J22" s="14">
        <f>SUM(D22:I22)</f>
        <v/>
      </c>
      <c r="K22" s="15" t="n"/>
      <c r="L22" s="12" t="n"/>
      <c r="M22" s="12" t="n"/>
      <c r="N22" s="12" t="n"/>
      <c r="O22" s="12" t="n"/>
      <c r="P22" s="13" t="n"/>
      <c r="Q22" s="14">
        <f>SUM(K22:P22)</f>
        <v/>
      </c>
      <c r="R22" s="14">
        <f>J22+Q22</f>
        <v/>
      </c>
      <c r="S22" s="17" t="n"/>
    </row>
    <row r="23" ht="18" customHeight="1" s="47">
      <c r="A23" s="49" t="n"/>
      <c r="B23" s="52" t="n"/>
      <c r="C23" s="23" t="inlineStr">
        <is>
          <t>増　減</t>
        </is>
      </c>
      <c r="D23" s="24">
        <f>D22-D21</f>
        <v/>
      </c>
      <c r="E23" s="24">
        <f>E22-E21</f>
        <v/>
      </c>
      <c r="F23" s="24">
        <f>F22-F21</f>
        <v/>
      </c>
      <c r="G23" s="24">
        <f>G22-G21</f>
        <v/>
      </c>
      <c r="H23" s="24">
        <f>H22-H21</f>
        <v/>
      </c>
      <c r="I23" s="27">
        <f>I22-I21</f>
        <v/>
      </c>
      <c r="J23" s="30">
        <f>SUM(D23:I23)</f>
        <v/>
      </c>
      <c r="K23" s="29">
        <f>K22-K21</f>
        <v/>
      </c>
      <c r="L23" s="24">
        <f>L22-L21</f>
        <v/>
      </c>
      <c r="M23" s="24">
        <f>M22-M21</f>
        <v/>
      </c>
      <c r="N23" s="24">
        <f>N22-N21</f>
        <v/>
      </c>
      <c r="O23" s="24">
        <f>O22-O21</f>
        <v/>
      </c>
      <c r="P23" s="27">
        <f>P22-P21</f>
        <v/>
      </c>
      <c r="Q23" s="30">
        <f>SUM(K23:P23)</f>
        <v/>
      </c>
      <c r="R23" s="30">
        <f>J23+Q23</f>
        <v/>
      </c>
      <c r="S23" s="17" t="n"/>
    </row>
    <row r="24" ht="18" customHeight="1" s="47" thickBot="1">
      <c r="A24" s="50" t="n"/>
      <c r="B24" s="53" t="n"/>
      <c r="C24" s="25" t="inlineStr">
        <is>
          <t>稼働棟数</t>
        </is>
      </c>
      <c r="D24" s="20" t="n"/>
      <c r="E24" s="20" t="n"/>
      <c r="F24" s="20" t="n"/>
      <c r="G24" s="20" t="n"/>
      <c r="H24" s="20" t="n"/>
      <c r="I24" s="28" t="n"/>
      <c r="J24" s="21">
        <f>I24</f>
        <v/>
      </c>
      <c r="K24" s="22" t="n"/>
      <c r="L24" s="20" t="n"/>
      <c r="M24" s="20" t="n"/>
      <c r="N24" s="20" t="n"/>
      <c r="O24" s="20" t="n"/>
      <c r="P24" s="28" t="n"/>
      <c r="Q24" s="21">
        <f>P24</f>
        <v/>
      </c>
      <c r="R24" s="21">
        <f>Q24</f>
        <v/>
      </c>
      <c r="S24" s="18" t="n"/>
    </row>
    <row r="25" ht="18" customHeight="1" s="47" thickBot="1">
      <c r="A25" s="58" t="n">
        <v>5</v>
      </c>
      <c r="B25" s="56" t="inlineStr">
        <is>
          <t>サンセイ
/加工BL</t>
        </is>
      </c>
      <c r="C25" s="31" t="inlineStr">
        <is>
          <t>58期</t>
        </is>
      </c>
      <c r="D25" s="8" t="n"/>
      <c r="E25" s="8" t="n"/>
      <c r="F25" s="8" t="n">
        <v>1.58</v>
      </c>
      <c r="G25" s="8" t="n">
        <v>2.78</v>
      </c>
      <c r="H25" s="8" t="n"/>
      <c r="I25" s="9" t="n">
        <v>1.66</v>
      </c>
      <c r="J25" s="10">
        <f>SUM(D25:I25)</f>
        <v/>
      </c>
      <c r="K25" s="11" t="n">
        <v>0.98</v>
      </c>
      <c r="L25" s="8" t="n">
        <v>1.1</v>
      </c>
      <c r="M25" s="8" t="n">
        <v>0.42</v>
      </c>
      <c r="N25" s="8" t="n">
        <v>3.02</v>
      </c>
      <c r="O25" s="8" t="n"/>
      <c r="P25" s="9" t="n"/>
      <c r="Q25" s="10">
        <f>SUM(K25:P25)</f>
        <v/>
      </c>
      <c r="R25" s="10">
        <f>J25+Q25</f>
        <v/>
      </c>
      <c r="S25" s="16" t="n"/>
    </row>
    <row r="26" ht="18" customHeight="1" s="47">
      <c r="A26" s="49" t="n"/>
      <c r="B26" s="52" t="n"/>
      <c r="C26" s="7" t="inlineStr">
        <is>
          <t>59期</t>
        </is>
      </c>
      <c r="D26" s="12" t="n"/>
      <c r="E26" s="12" t="n"/>
      <c r="F26" s="12" t="n">
        <v>0</v>
      </c>
      <c r="G26" s="12" t="n">
        <v>2.92</v>
      </c>
      <c r="H26" s="12" t="n"/>
      <c r="I26" s="13" t="n"/>
      <c r="J26" s="14">
        <f>SUM(D26:I26)</f>
        <v/>
      </c>
      <c r="K26" s="15" t="n"/>
      <c r="L26" s="12" t="n"/>
      <c r="M26" s="12" t="n"/>
      <c r="N26" s="12" t="n"/>
      <c r="O26" s="12" t="n"/>
      <c r="P26" s="13" t="n"/>
      <c r="Q26" s="14">
        <f>SUM(K26:P26)</f>
        <v/>
      </c>
      <c r="R26" s="14">
        <f>J26+Q26</f>
        <v/>
      </c>
      <c r="S26" s="17" t="n"/>
    </row>
    <row r="27" ht="18" customHeight="1" s="47">
      <c r="A27" s="49" t="n"/>
      <c r="B27" s="52" t="n"/>
      <c r="C27" s="23" t="inlineStr">
        <is>
          <t>増　減</t>
        </is>
      </c>
      <c r="D27" s="24">
        <f>D26-D25</f>
        <v/>
      </c>
      <c r="E27" s="24">
        <f>E26-E25</f>
        <v/>
      </c>
      <c r="F27" s="24">
        <f>F26-F25</f>
        <v/>
      </c>
      <c r="G27" s="24">
        <f>G26-G25</f>
        <v/>
      </c>
      <c r="H27" s="24">
        <f>H26-H25</f>
        <v/>
      </c>
      <c r="I27" s="27">
        <f>I26-I25</f>
        <v/>
      </c>
      <c r="J27" s="30">
        <f>SUM(D27:I27)</f>
        <v/>
      </c>
      <c r="K27" s="29">
        <f>K26-K25</f>
        <v/>
      </c>
      <c r="L27" s="24">
        <f>L26-L25</f>
        <v/>
      </c>
      <c r="M27" s="24">
        <f>M26-M25</f>
        <v/>
      </c>
      <c r="N27" s="24">
        <f>N26-N25</f>
        <v/>
      </c>
      <c r="O27" s="24">
        <f>O26-O25</f>
        <v/>
      </c>
      <c r="P27" s="27">
        <f>P26-P25</f>
        <v/>
      </c>
      <c r="Q27" s="30">
        <f>SUM(K27:P27)</f>
        <v/>
      </c>
      <c r="R27" s="30">
        <f>J27+Q27</f>
        <v/>
      </c>
      <c r="S27" s="17" t="n"/>
    </row>
    <row r="28" ht="18" customHeight="1" s="47" thickBot="1">
      <c r="A28" s="59" t="n"/>
      <c r="B28" s="57" t="n"/>
      <c r="C28" s="25" t="inlineStr">
        <is>
          <t>稼働棟数</t>
        </is>
      </c>
      <c r="D28" s="20" t="n"/>
      <c r="E28" s="20" t="n"/>
      <c r="F28" s="20" t="n"/>
      <c r="G28" s="20" t="n"/>
      <c r="H28" s="20" t="n"/>
      <c r="I28" s="28" t="n"/>
      <c r="J28" s="21">
        <f>I28</f>
        <v/>
      </c>
      <c r="K28" s="22" t="n"/>
      <c r="L28" s="20" t="n"/>
      <c r="M28" s="20" t="n"/>
      <c r="N28" s="20" t="n"/>
      <c r="O28" s="20" t="n"/>
      <c r="P28" s="28" t="n"/>
      <c r="Q28" s="21">
        <f>P28</f>
        <v/>
      </c>
      <c r="R28" s="21">
        <f>Q28</f>
        <v/>
      </c>
      <c r="S28" s="18" t="n"/>
    </row>
    <row r="29" ht="18" customHeight="1" s="47" thickBot="1">
      <c r="A29" s="58" t="n">
        <v>5</v>
      </c>
      <c r="B29" s="56" t="inlineStr">
        <is>
          <t>サンセイ
/加工トマト</t>
        </is>
      </c>
      <c r="C29" s="31" t="inlineStr">
        <is>
          <t>58期</t>
        </is>
      </c>
      <c r="D29" s="8" t="n"/>
      <c r="E29" s="8" t="n"/>
      <c r="F29" s="8" t="n"/>
      <c r="G29" s="8" t="n">
        <v>0.24</v>
      </c>
      <c r="H29" s="8" t="n">
        <v>0.28</v>
      </c>
      <c r="I29" s="9" t="n">
        <v>0.6</v>
      </c>
      <c r="J29" s="10">
        <f>SUM(D29:I29)</f>
        <v/>
      </c>
      <c r="K29" s="11" t="n">
        <v>0.2</v>
      </c>
      <c r="L29" s="8" t="n"/>
      <c r="M29" s="8" t="n"/>
      <c r="N29" s="8" t="n"/>
      <c r="O29" s="8" t="n"/>
      <c r="P29" s="9" t="n"/>
      <c r="Q29" s="10">
        <f>SUM(K29:P29)</f>
        <v/>
      </c>
      <c r="R29" s="10">
        <f>J29+Q29</f>
        <v/>
      </c>
      <c r="S29" s="16" t="n"/>
    </row>
    <row r="30" ht="18" customHeight="1" s="47">
      <c r="A30" s="49" t="n"/>
      <c r="B30" s="52" t="n"/>
      <c r="C30" s="7" t="inlineStr">
        <is>
          <t>59期</t>
        </is>
      </c>
      <c r="D30" s="12" t="n"/>
      <c r="E30" s="12" t="n"/>
      <c r="F30" s="12" t="n"/>
      <c r="G30" s="12" t="n"/>
      <c r="H30" s="12" t="n"/>
      <c r="I30" s="13" t="n"/>
      <c r="J30" s="14">
        <f>SUM(D30:I30)</f>
        <v/>
      </c>
      <c r="K30" s="15" t="n"/>
      <c r="L30" s="12" t="n"/>
      <c r="M30" s="12" t="n"/>
      <c r="N30" s="12" t="n"/>
      <c r="O30" s="12" t="n"/>
      <c r="P30" s="13" t="n"/>
      <c r="Q30" s="14">
        <f>SUM(K30:P30)</f>
        <v/>
      </c>
      <c r="R30" s="14">
        <f>J30+Q30</f>
        <v/>
      </c>
      <c r="S30" s="17" t="n"/>
    </row>
    <row r="31" ht="18" customHeight="1" s="47">
      <c r="A31" s="49" t="n"/>
      <c r="B31" s="52" t="n"/>
      <c r="C31" s="23" t="inlineStr">
        <is>
          <t>増　減</t>
        </is>
      </c>
      <c r="D31" s="24">
        <f>D30-D29</f>
        <v/>
      </c>
      <c r="E31" s="24">
        <f>E30-E29</f>
        <v/>
      </c>
      <c r="F31" s="24">
        <f>F30-F29</f>
        <v/>
      </c>
      <c r="G31" s="24">
        <f>G30-G29</f>
        <v/>
      </c>
      <c r="H31" s="24">
        <f>H30-H29</f>
        <v/>
      </c>
      <c r="I31" s="27">
        <f>I30-I29</f>
        <v/>
      </c>
      <c r="J31" s="30">
        <f>SUM(D31:I31)</f>
        <v/>
      </c>
      <c r="K31" s="29">
        <f>K30-K29</f>
        <v/>
      </c>
      <c r="L31" s="24">
        <f>L30-L29</f>
        <v/>
      </c>
      <c r="M31" s="24">
        <f>M30-M29</f>
        <v/>
      </c>
      <c r="N31" s="24">
        <f>N30-N29</f>
        <v/>
      </c>
      <c r="O31" s="24">
        <f>O30-O29</f>
        <v/>
      </c>
      <c r="P31" s="27">
        <f>P30-P29</f>
        <v/>
      </c>
      <c r="Q31" s="30">
        <f>SUM(K31:P31)</f>
        <v/>
      </c>
      <c r="R31" s="30">
        <f>J31+Q31</f>
        <v/>
      </c>
      <c r="S31" s="17" t="n"/>
    </row>
    <row r="32" ht="18" customHeight="1" s="47" thickBot="1">
      <c r="A32" s="59" t="n"/>
      <c r="B32" s="57" t="n"/>
      <c r="C32" s="25" t="inlineStr">
        <is>
          <t>稼働棟数</t>
        </is>
      </c>
      <c r="D32" s="20" t="n"/>
      <c r="E32" s="20" t="n"/>
      <c r="F32" s="20" t="n"/>
      <c r="G32" s="20" t="n"/>
      <c r="H32" s="20" t="n"/>
      <c r="I32" s="28" t="n"/>
      <c r="J32" s="21">
        <f>I32</f>
        <v/>
      </c>
      <c r="K32" s="22" t="n"/>
      <c r="L32" s="20" t="n"/>
      <c r="M32" s="20" t="n"/>
      <c r="N32" s="20" t="n"/>
      <c r="O32" s="20" t="n"/>
      <c r="P32" s="28" t="n"/>
      <c r="Q32" s="21">
        <f>P32</f>
        <v/>
      </c>
      <c r="R32" s="21">
        <f>Q32</f>
        <v/>
      </c>
      <c r="S32" s="18" t="n"/>
    </row>
    <row r="33" ht="18" customHeight="1" s="47">
      <c r="A33" s="48" t="n">
        <v>6</v>
      </c>
      <c r="B33" s="51" t="inlineStr">
        <is>
          <t>昭和
/加工BL</t>
        </is>
      </c>
      <c r="C33" s="31" t="inlineStr">
        <is>
          <t>58期</t>
        </is>
      </c>
      <c r="D33" s="8" t="n"/>
      <c r="E33" s="8" t="n"/>
      <c r="F33" s="8" t="n">
        <v>1.9</v>
      </c>
      <c r="G33" s="8" t="n">
        <v>24.337</v>
      </c>
      <c r="H33" s="8" t="n">
        <v>7.56</v>
      </c>
      <c r="I33" s="9" t="n">
        <v>4.64</v>
      </c>
      <c r="J33" s="10">
        <f>SUM(D33:I33)</f>
        <v/>
      </c>
      <c r="K33" s="11" t="n">
        <v>2.8</v>
      </c>
      <c r="L33" s="8" t="n">
        <v>4.66</v>
      </c>
      <c r="M33" s="8" t="n">
        <v>4.08</v>
      </c>
      <c r="N33" s="8" t="n">
        <v>2.18</v>
      </c>
      <c r="O33" s="8" t="n"/>
      <c r="P33" s="9" t="n"/>
      <c r="Q33" s="10">
        <f>SUM(K33:P33)</f>
        <v/>
      </c>
      <c r="R33" s="10">
        <f>J33+Q33</f>
        <v/>
      </c>
      <c r="S33" s="16" t="n"/>
    </row>
    <row r="34" ht="18" customHeight="1" s="47">
      <c r="A34" s="49" t="n"/>
      <c r="B34" s="52" t="n"/>
      <c r="C34" s="7" t="inlineStr">
        <is>
          <t>59期</t>
        </is>
      </c>
      <c r="D34" s="12" t="n"/>
      <c r="E34" s="12" t="n"/>
      <c r="F34" s="12" t="n">
        <v>0</v>
      </c>
      <c r="G34" s="12" t="n">
        <v>3.66</v>
      </c>
      <c r="H34" s="12" t="n"/>
      <c r="I34" s="13" t="n"/>
      <c r="J34" s="14">
        <f>SUM(D34:I34)</f>
        <v/>
      </c>
      <c r="K34" s="15" t="n"/>
      <c r="L34" s="12" t="n"/>
      <c r="M34" s="12" t="n"/>
      <c r="N34" s="12" t="n"/>
      <c r="O34" s="12" t="n"/>
      <c r="P34" s="13" t="n"/>
      <c r="Q34" s="14">
        <f>SUM(K34:P34)</f>
        <v/>
      </c>
      <c r="R34" s="14">
        <f>J34+Q34</f>
        <v/>
      </c>
      <c r="S34" s="17" t="n"/>
    </row>
    <row r="35" ht="18" customHeight="1" s="47">
      <c r="A35" s="49" t="n"/>
      <c r="B35" s="52" t="n"/>
      <c r="C35" s="23" t="inlineStr">
        <is>
          <t>増　減</t>
        </is>
      </c>
      <c r="D35" s="24">
        <f>D34-D33</f>
        <v/>
      </c>
      <c r="E35" s="24">
        <f>E34-E33</f>
        <v/>
      </c>
      <c r="F35" s="24">
        <f>F34-F33</f>
        <v/>
      </c>
      <c r="G35" s="24">
        <f>G34-G33</f>
        <v/>
      </c>
      <c r="H35" s="24">
        <f>H34-H33</f>
        <v/>
      </c>
      <c r="I35" s="27">
        <f>I34-I33</f>
        <v/>
      </c>
      <c r="J35" s="30">
        <f>SUM(D35:I35)</f>
        <v/>
      </c>
      <c r="K35" s="29">
        <f>K34-K33</f>
        <v/>
      </c>
      <c r="L35" s="24">
        <f>L34-L33</f>
        <v/>
      </c>
      <c r="M35" s="24">
        <f>M34-M33</f>
        <v/>
      </c>
      <c r="N35" s="24">
        <f>N34-N33</f>
        <v/>
      </c>
      <c r="O35" s="24">
        <f>O34-O33</f>
        <v/>
      </c>
      <c r="P35" s="27">
        <f>P34-P33</f>
        <v/>
      </c>
      <c r="Q35" s="30">
        <f>SUM(K35:P35)</f>
        <v/>
      </c>
      <c r="R35" s="30">
        <f>J35+Q35</f>
        <v/>
      </c>
      <c r="S35" s="17" t="n"/>
    </row>
    <row r="36" ht="18" customHeight="1" s="47" thickBot="1">
      <c r="A36" s="50" t="n"/>
      <c r="B36" s="53" t="n"/>
      <c r="C36" s="25" t="inlineStr">
        <is>
          <t>稼働棟数</t>
        </is>
      </c>
      <c r="D36" s="20" t="n"/>
      <c r="E36" s="20" t="n"/>
      <c r="F36" s="20" t="n"/>
      <c r="G36" s="20" t="n"/>
      <c r="H36" s="20" t="n"/>
      <c r="I36" s="28" t="n"/>
      <c r="J36" s="21">
        <f>I36</f>
        <v/>
      </c>
      <c r="K36" s="22" t="n"/>
      <c r="L36" s="20" t="n"/>
      <c r="M36" s="20" t="n"/>
      <c r="N36" s="20" t="n"/>
      <c r="O36" s="20" t="n"/>
      <c r="P36" s="28" t="n"/>
      <c r="Q36" s="21">
        <f>P36</f>
        <v/>
      </c>
      <c r="R36" s="21">
        <f>Q36</f>
        <v/>
      </c>
      <c r="S36" s="18" t="n"/>
    </row>
    <row r="37" ht="18" customHeight="1" s="47">
      <c r="A37" s="48" t="n">
        <v>6</v>
      </c>
      <c r="B37" s="51" t="inlineStr">
        <is>
          <t>昭和
/加工イチゴ</t>
        </is>
      </c>
      <c r="C37" s="31" t="inlineStr">
        <is>
          <t>58期</t>
        </is>
      </c>
      <c r="D37" s="8" t="n"/>
      <c r="E37" s="8" t="n"/>
      <c r="F37" s="8" t="n"/>
      <c r="G37" s="8" t="n">
        <v>0.95</v>
      </c>
      <c r="H37" s="8" t="n">
        <v>1.1</v>
      </c>
      <c r="I37" s="9" t="n">
        <v>0.9399999999999999</v>
      </c>
      <c r="J37" s="10">
        <f>SUM(D37:I37)</f>
        <v/>
      </c>
      <c r="K37" s="11" t="n">
        <v>0.82</v>
      </c>
      <c r="L37" s="8" t="n">
        <v>1.44</v>
      </c>
      <c r="M37" s="8" t="n"/>
      <c r="N37" s="8" t="n"/>
      <c r="O37" s="8" t="n"/>
      <c r="P37" s="9" t="n"/>
      <c r="Q37" s="10">
        <f>SUM(K37:P37)</f>
        <v/>
      </c>
      <c r="R37" s="10">
        <f>J37+Q37</f>
        <v/>
      </c>
      <c r="S37" s="16" t="n"/>
    </row>
    <row r="38" ht="18" customHeight="1" s="47">
      <c r="A38" s="49" t="n"/>
      <c r="B38" s="52" t="n"/>
      <c r="C38" s="7" t="inlineStr">
        <is>
          <t>59期</t>
        </is>
      </c>
      <c r="D38" s="12" t="n"/>
      <c r="E38" s="12" t="n"/>
      <c r="F38" s="12" t="n"/>
      <c r="G38" s="12" t="n"/>
      <c r="H38" s="12" t="n"/>
      <c r="I38" s="13" t="n"/>
      <c r="J38" s="14">
        <f>SUM(D38:I38)</f>
        <v/>
      </c>
      <c r="K38" s="15" t="n"/>
      <c r="L38" s="12" t="n"/>
      <c r="M38" s="12" t="n"/>
      <c r="N38" s="12" t="n"/>
      <c r="O38" s="12" t="n"/>
      <c r="P38" s="13" t="n"/>
      <c r="Q38" s="14">
        <f>SUM(K38:P38)</f>
        <v/>
      </c>
      <c r="R38" s="14">
        <f>J38+Q38</f>
        <v/>
      </c>
      <c r="S38" s="17" t="n"/>
    </row>
    <row r="39" ht="18" customHeight="1" s="47">
      <c r="A39" s="49" t="n"/>
      <c r="B39" s="52" t="n"/>
      <c r="C39" s="23" t="inlineStr">
        <is>
          <t>増　減</t>
        </is>
      </c>
      <c r="D39" s="24">
        <f>D38-D37</f>
        <v/>
      </c>
      <c r="E39" s="24">
        <f>E38-E37</f>
        <v/>
      </c>
      <c r="F39" s="24">
        <f>F38-F37</f>
        <v/>
      </c>
      <c r="G39" s="24">
        <f>G38-G37</f>
        <v/>
      </c>
      <c r="H39" s="24">
        <f>H38-H37</f>
        <v/>
      </c>
      <c r="I39" s="27">
        <f>I38-I37</f>
        <v/>
      </c>
      <c r="J39" s="30">
        <f>SUM(D39:I39)</f>
        <v/>
      </c>
      <c r="K39" s="29">
        <f>K38-K37</f>
        <v/>
      </c>
      <c r="L39" s="24">
        <f>L38-L37</f>
        <v/>
      </c>
      <c r="M39" s="24">
        <f>M38-M37</f>
        <v/>
      </c>
      <c r="N39" s="24">
        <f>N38-N37</f>
        <v/>
      </c>
      <c r="O39" s="24">
        <f>O38-O37</f>
        <v/>
      </c>
      <c r="P39" s="27">
        <f>P38-P37</f>
        <v/>
      </c>
      <c r="Q39" s="30">
        <f>SUM(K39:P39)</f>
        <v/>
      </c>
      <c r="R39" s="30">
        <f>J39+Q39</f>
        <v/>
      </c>
      <c r="S39" s="17" t="n"/>
    </row>
    <row r="40" ht="18" customHeight="1" s="47" thickBot="1">
      <c r="A40" s="50" t="n"/>
      <c r="B40" s="53" t="n"/>
      <c r="C40" s="25" t="inlineStr">
        <is>
          <t>稼働棟数</t>
        </is>
      </c>
      <c r="D40" s="20" t="n"/>
      <c r="E40" s="20" t="n"/>
      <c r="F40" s="20" t="n"/>
      <c r="G40" s="20" t="n"/>
      <c r="H40" s="20" t="n"/>
      <c r="I40" s="28" t="n"/>
      <c r="J40" s="21">
        <f>I40</f>
        <v/>
      </c>
      <c r="K40" s="22" t="n"/>
      <c r="L40" s="20" t="n"/>
      <c r="M40" s="20" t="n"/>
      <c r="N40" s="20" t="n"/>
      <c r="O40" s="20" t="n"/>
      <c r="P40" s="28" t="n"/>
      <c r="Q40" s="21">
        <f>P40</f>
        <v/>
      </c>
      <c r="R40" s="21">
        <f>Q40</f>
        <v/>
      </c>
      <c r="S40" s="18" t="n"/>
    </row>
    <row r="41" ht="18" customHeight="1" s="47" thickBot="1">
      <c r="A41" s="58" t="n">
        <v>7</v>
      </c>
      <c r="B41" s="60" t="inlineStr">
        <is>
          <t>QB
/加工BL</t>
        </is>
      </c>
      <c r="C41" s="31" t="inlineStr">
        <is>
          <t>58期</t>
        </is>
      </c>
      <c r="D41" s="8" t="n"/>
      <c r="E41" s="8" t="n"/>
      <c r="F41" s="8" t="n">
        <v>5.26</v>
      </c>
      <c r="G41" s="8" t="n">
        <v>23.58</v>
      </c>
      <c r="H41" s="8" t="n">
        <v>7.88</v>
      </c>
      <c r="I41" s="9" t="n">
        <v>18.18</v>
      </c>
      <c r="J41" s="10">
        <f>SUM(D41:I41)</f>
        <v/>
      </c>
      <c r="K41" s="11" t="n">
        <v>20.88</v>
      </c>
      <c r="L41" s="8" t="n">
        <v>13.06</v>
      </c>
      <c r="M41" s="8" t="n">
        <v>5.19</v>
      </c>
      <c r="N41" s="8" t="n">
        <v>5.02</v>
      </c>
      <c r="O41" s="8" t="n">
        <v>4.080000000000001</v>
      </c>
      <c r="P41" s="9" t="n">
        <v>2.29</v>
      </c>
      <c r="Q41" s="10">
        <f>SUM(K41:P41)</f>
        <v/>
      </c>
      <c r="R41" s="10">
        <f>J41+Q41</f>
        <v/>
      </c>
      <c r="S41" s="16" t="n"/>
    </row>
    <row r="42" ht="18" customHeight="1" s="47">
      <c r="A42" s="49" t="n"/>
      <c r="B42" s="52" t="n"/>
      <c r="C42" s="7" t="inlineStr">
        <is>
          <t>59期</t>
        </is>
      </c>
      <c r="D42" s="12" t="n">
        <v>6.309999999999999</v>
      </c>
      <c r="E42" s="12" t="n">
        <v>5.13</v>
      </c>
      <c r="F42" s="12" t="n">
        <v>0.01</v>
      </c>
      <c r="G42" s="12" t="n">
        <v>6.67</v>
      </c>
      <c r="H42" s="12" t="n"/>
      <c r="I42" s="13" t="n"/>
      <c r="J42" s="14">
        <f>SUM(D42:I42)</f>
        <v/>
      </c>
      <c r="K42" s="15" t="n"/>
      <c r="L42" s="12" t="n"/>
      <c r="M42" s="12" t="n"/>
      <c r="N42" s="12" t="n"/>
      <c r="O42" s="12" t="n"/>
      <c r="P42" s="13" t="n"/>
      <c r="Q42" s="14">
        <f>SUM(K42:P42)</f>
        <v/>
      </c>
      <c r="R42" s="14">
        <f>J42+Q42</f>
        <v/>
      </c>
      <c r="S42" s="17" t="n"/>
    </row>
    <row r="43" ht="18" customHeight="1" s="47">
      <c r="A43" s="49" t="n"/>
      <c r="B43" s="52" t="n"/>
      <c r="C43" s="23" t="inlineStr">
        <is>
          <t>増　減</t>
        </is>
      </c>
      <c r="D43" s="24">
        <f>D42-D41</f>
        <v/>
      </c>
      <c r="E43" s="24">
        <f>E42-E41</f>
        <v/>
      </c>
      <c r="F43" s="24">
        <f>F42-F41</f>
        <v/>
      </c>
      <c r="G43" s="24">
        <f>G42-G41</f>
        <v/>
      </c>
      <c r="H43" s="24">
        <f>H42-H41</f>
        <v/>
      </c>
      <c r="I43" s="27">
        <f>I42-I41</f>
        <v/>
      </c>
      <c r="J43" s="30">
        <f>SUM(D43:I43)</f>
        <v/>
      </c>
      <c r="K43" s="29">
        <f>K42-K41</f>
        <v/>
      </c>
      <c r="L43" s="24">
        <f>L42-L41</f>
        <v/>
      </c>
      <c r="M43" s="24">
        <f>M42-M41</f>
        <v/>
      </c>
      <c r="N43" s="24">
        <f>N42-N41</f>
        <v/>
      </c>
      <c r="O43" s="24">
        <f>O42-O41</f>
        <v/>
      </c>
      <c r="P43" s="27">
        <f>P42-P41</f>
        <v/>
      </c>
      <c r="Q43" s="30">
        <f>SUM(K43:P43)</f>
        <v/>
      </c>
      <c r="R43" s="30">
        <f>J43+Q43</f>
        <v/>
      </c>
      <c r="S43" s="17" t="n"/>
    </row>
    <row r="44" ht="18" customHeight="1" s="47" thickBot="1">
      <c r="A44" s="59" t="n"/>
      <c r="B44" s="57" t="n"/>
      <c r="C44" s="25" t="inlineStr">
        <is>
          <t>稼働棟数</t>
        </is>
      </c>
      <c r="D44" s="20" t="n"/>
      <c r="E44" s="20" t="n"/>
      <c r="F44" s="20" t="n"/>
      <c r="G44" s="20" t="n"/>
      <c r="H44" s="20" t="n"/>
      <c r="I44" s="28" t="n"/>
      <c r="J44" s="21">
        <f>I44</f>
        <v/>
      </c>
      <c r="K44" s="22" t="n"/>
      <c r="L44" s="20" t="n"/>
      <c r="M44" s="20" t="n"/>
      <c r="N44" s="20" t="n"/>
      <c r="O44" s="20" t="n"/>
      <c r="P44" s="28" t="n"/>
      <c r="Q44" s="21">
        <f>P44</f>
        <v/>
      </c>
      <c r="R44" s="21">
        <f>Q44</f>
        <v/>
      </c>
      <c r="S44" s="18" t="n"/>
    </row>
    <row r="45" ht="18" customHeight="1" s="47" thickBot="1">
      <c r="A45" s="58" t="n">
        <v>7</v>
      </c>
      <c r="B45" s="60" t="inlineStr">
        <is>
          <t>QB
/加工イチゴ</t>
        </is>
      </c>
      <c r="C45" s="31" t="inlineStr">
        <is>
          <t>58期</t>
        </is>
      </c>
      <c r="D45" s="8" t="n"/>
      <c r="E45" s="8" t="n"/>
      <c r="F45" s="8" t="n"/>
      <c r="G45" s="8" t="n"/>
      <c r="H45" s="8" t="n">
        <v>0.95</v>
      </c>
      <c r="I45" s="9" t="n">
        <v>0.9</v>
      </c>
      <c r="J45" s="10">
        <f>SUM(D45:I45)</f>
        <v/>
      </c>
      <c r="K45" s="11" t="n">
        <v>0.06</v>
      </c>
      <c r="L45" s="8" t="n">
        <v>0.3</v>
      </c>
      <c r="M45" s="8" t="n"/>
      <c r="N45" s="8" t="n"/>
      <c r="O45" s="8" t="n"/>
      <c r="P45" s="9" t="n"/>
      <c r="Q45" s="10">
        <f>SUM(K45:P45)</f>
        <v/>
      </c>
      <c r="R45" s="10">
        <f>J45+Q45</f>
        <v/>
      </c>
      <c r="S45" s="16" t="n"/>
    </row>
    <row r="46" ht="18" customHeight="1" s="47">
      <c r="A46" s="49" t="n"/>
      <c r="B46" s="52" t="n"/>
      <c r="C46" s="7" t="inlineStr">
        <is>
          <t>59期</t>
        </is>
      </c>
      <c r="D46" s="12" t="n"/>
      <c r="E46" s="12" t="n"/>
      <c r="F46" s="12" t="n"/>
      <c r="G46" s="12" t="n"/>
      <c r="H46" s="12" t="n"/>
      <c r="I46" s="13" t="n"/>
      <c r="J46" s="14">
        <f>SUM(D46:I46)</f>
        <v/>
      </c>
      <c r="K46" s="15" t="n"/>
      <c r="L46" s="12" t="n"/>
      <c r="M46" s="12" t="n"/>
      <c r="N46" s="12" t="n"/>
      <c r="O46" s="12" t="n"/>
      <c r="P46" s="13" t="n"/>
      <c r="Q46" s="14">
        <f>SUM(K46:P46)</f>
        <v/>
      </c>
      <c r="R46" s="14">
        <f>J46+Q46</f>
        <v/>
      </c>
      <c r="S46" s="17" t="n"/>
    </row>
    <row r="47" ht="18" customHeight="1" s="47">
      <c r="A47" s="49" t="n"/>
      <c r="B47" s="52" t="n"/>
      <c r="C47" s="23" t="inlineStr">
        <is>
          <t>増　減</t>
        </is>
      </c>
      <c r="D47" s="24">
        <f>D46-D45</f>
        <v/>
      </c>
      <c r="E47" s="24">
        <f>E46-E45</f>
        <v/>
      </c>
      <c r="F47" s="24">
        <f>F46-F45</f>
        <v/>
      </c>
      <c r="G47" s="24">
        <f>G46-G45</f>
        <v/>
      </c>
      <c r="H47" s="24">
        <f>H46-H45</f>
        <v/>
      </c>
      <c r="I47" s="27">
        <f>I46-I45</f>
        <v/>
      </c>
      <c r="J47" s="30">
        <f>SUM(D47:I47)</f>
        <v/>
      </c>
      <c r="K47" s="29">
        <f>K46-K45</f>
        <v/>
      </c>
      <c r="L47" s="24">
        <f>L46-L45</f>
        <v/>
      </c>
      <c r="M47" s="24">
        <f>M46-M45</f>
        <v/>
      </c>
      <c r="N47" s="24">
        <f>N46-N45</f>
        <v/>
      </c>
      <c r="O47" s="24">
        <f>O46-O45</f>
        <v/>
      </c>
      <c r="P47" s="27">
        <f>P46-P45</f>
        <v/>
      </c>
      <c r="Q47" s="30">
        <f>SUM(K47:P47)</f>
        <v/>
      </c>
      <c r="R47" s="30">
        <f>J47+Q47</f>
        <v/>
      </c>
      <c r="S47" s="17" t="n"/>
    </row>
    <row r="48" ht="18" customHeight="1" s="47" thickBot="1">
      <c r="A48" s="59" t="n"/>
      <c r="B48" s="57" t="n"/>
      <c r="C48" s="25" t="inlineStr">
        <is>
          <t>稼働棟数</t>
        </is>
      </c>
      <c r="D48" s="20" t="n"/>
      <c r="E48" s="20" t="n"/>
      <c r="F48" s="20" t="n"/>
      <c r="G48" s="20" t="n"/>
      <c r="H48" s="20" t="n"/>
      <c r="I48" s="28" t="n"/>
      <c r="J48" s="21">
        <f>I48</f>
        <v/>
      </c>
      <c r="K48" s="22" t="n"/>
      <c r="L48" s="20" t="n"/>
      <c r="M48" s="20" t="n"/>
      <c r="N48" s="20" t="n"/>
      <c r="O48" s="20" t="n"/>
      <c r="P48" s="28" t="n"/>
      <c r="Q48" s="21">
        <f>P48</f>
        <v/>
      </c>
      <c r="R48" s="21">
        <f>Q48</f>
        <v/>
      </c>
      <c r="S48" s="18" t="n"/>
    </row>
    <row r="49" ht="18" customHeight="1" s="47">
      <c r="A49" s="48" t="n">
        <v>8</v>
      </c>
      <c r="B49" s="54" t="inlineStr">
        <is>
          <t>バリュ
/加工BL</t>
        </is>
      </c>
      <c r="C49" s="31" t="inlineStr">
        <is>
          <t>58期</t>
        </is>
      </c>
      <c r="D49" s="8" t="n"/>
      <c r="E49" s="8" t="n"/>
      <c r="F49" s="8" t="n">
        <v>0.12</v>
      </c>
      <c r="G49" s="8" t="n">
        <v>0.8</v>
      </c>
      <c r="H49" s="8" t="n">
        <v>2.695</v>
      </c>
      <c r="I49" s="9" t="n">
        <v>6.86</v>
      </c>
      <c r="J49" s="10">
        <f>SUM(D49:I49)</f>
        <v/>
      </c>
      <c r="K49" s="11" t="n">
        <v>3.54</v>
      </c>
      <c r="L49" s="8" t="n">
        <v>0.62</v>
      </c>
      <c r="M49" s="8" t="n">
        <v>6.02</v>
      </c>
      <c r="N49" s="8" t="n">
        <v>0.82</v>
      </c>
      <c r="O49" s="8" t="n"/>
      <c r="P49" s="9" t="n"/>
      <c r="Q49" s="10">
        <f>SUM(K49:P49)</f>
        <v/>
      </c>
      <c r="R49" s="10">
        <f>J49+Q49</f>
        <v/>
      </c>
      <c r="S49" s="16" t="n"/>
    </row>
    <row r="50" ht="18" customHeight="1" s="47">
      <c r="A50" s="49" t="n"/>
      <c r="B50" s="52" t="n"/>
      <c r="C50" s="7" t="inlineStr">
        <is>
          <t>59期</t>
        </is>
      </c>
      <c r="D50" s="12" t="n"/>
      <c r="E50" s="12" t="n"/>
      <c r="F50" s="12" t="n">
        <v>0</v>
      </c>
      <c r="G50" s="12" t="n">
        <v>2.82</v>
      </c>
      <c r="H50" s="12" t="n"/>
      <c r="I50" s="13" t="n"/>
      <c r="J50" s="14">
        <f>SUM(D50:I50)</f>
        <v/>
      </c>
      <c r="K50" s="15" t="n"/>
      <c r="L50" s="12" t="n"/>
      <c r="M50" s="12" t="n"/>
      <c r="N50" s="12" t="n"/>
      <c r="O50" s="12" t="n"/>
      <c r="P50" s="13" t="n"/>
      <c r="Q50" s="14">
        <f>SUM(K50:P50)</f>
        <v/>
      </c>
      <c r="R50" s="14">
        <f>J50+Q50</f>
        <v/>
      </c>
      <c r="S50" s="17" t="n"/>
    </row>
    <row r="51" ht="18" customHeight="1" s="47">
      <c r="A51" s="49" t="n"/>
      <c r="B51" s="52" t="n"/>
      <c r="C51" s="23" t="inlineStr">
        <is>
          <t>増　減</t>
        </is>
      </c>
      <c r="D51" s="24">
        <f>D50-D49</f>
        <v/>
      </c>
      <c r="E51" s="24">
        <f>E50-E49</f>
        <v/>
      </c>
      <c r="F51" s="24">
        <f>F50-F49</f>
        <v/>
      </c>
      <c r="G51" s="24">
        <f>G50-G49</f>
        <v/>
      </c>
      <c r="H51" s="24">
        <f>H50-H49</f>
        <v/>
      </c>
      <c r="I51" s="27">
        <f>I50-I49</f>
        <v/>
      </c>
      <c r="J51" s="30">
        <f>SUM(D51:I51)</f>
        <v/>
      </c>
      <c r="K51" s="29">
        <f>K50-K49</f>
        <v/>
      </c>
      <c r="L51" s="24">
        <f>L50-L49</f>
        <v/>
      </c>
      <c r="M51" s="24">
        <f>M50-M49</f>
        <v/>
      </c>
      <c r="N51" s="24">
        <f>N50-N49</f>
        <v/>
      </c>
      <c r="O51" s="24">
        <f>O50-O49</f>
        <v/>
      </c>
      <c r="P51" s="27">
        <f>P50-P49</f>
        <v/>
      </c>
      <c r="Q51" s="30">
        <f>SUM(K51:P51)</f>
        <v/>
      </c>
      <c r="R51" s="30">
        <f>J51+Q51</f>
        <v/>
      </c>
      <c r="S51" s="17" t="n"/>
    </row>
    <row r="52" ht="18" customHeight="1" s="47" thickBot="1">
      <c r="A52" s="50" t="n"/>
      <c r="B52" s="53" t="n"/>
      <c r="C52" s="25" t="inlineStr">
        <is>
          <t>稼働棟数</t>
        </is>
      </c>
      <c r="D52" s="20" t="n"/>
      <c r="E52" s="20" t="n"/>
      <c r="F52" s="20" t="n"/>
      <c r="G52" s="20" t="n"/>
      <c r="H52" s="20" t="n"/>
      <c r="I52" s="28" t="n"/>
      <c r="J52" s="21">
        <f>I52</f>
        <v/>
      </c>
      <c r="K52" s="22" t="n"/>
      <c r="L52" s="20" t="n"/>
      <c r="M52" s="20" t="n"/>
      <c r="N52" s="20" t="n"/>
      <c r="O52" s="20" t="n"/>
      <c r="P52" s="28" t="n"/>
      <c r="Q52" s="21">
        <f>P52</f>
        <v/>
      </c>
      <c r="R52" s="21">
        <f>Q52</f>
        <v/>
      </c>
      <c r="S52" s="18" t="n"/>
    </row>
    <row r="53" ht="18" customHeight="1" s="47">
      <c r="A53" s="48" t="n">
        <v>8</v>
      </c>
      <c r="B53" s="54" t="inlineStr">
        <is>
          <t>バリュ
/加工イチゴ</t>
        </is>
      </c>
      <c r="C53" s="31" t="inlineStr">
        <is>
          <t>58期</t>
        </is>
      </c>
      <c r="D53" s="8" t="n"/>
      <c r="E53" s="8" t="n"/>
      <c r="F53" s="8" t="n"/>
      <c r="G53" s="8" t="n">
        <v>1.75</v>
      </c>
      <c r="H53" s="8" t="n">
        <v>0.7</v>
      </c>
      <c r="I53" s="9" t="n">
        <v>5.43</v>
      </c>
      <c r="J53" s="10">
        <f>SUM(D53:I53)</f>
        <v/>
      </c>
      <c r="K53" s="11" t="n">
        <v>30.1</v>
      </c>
      <c r="L53" s="8" t="n">
        <v>3.91</v>
      </c>
      <c r="M53" s="8" t="n"/>
      <c r="N53" s="8" t="n"/>
      <c r="O53" s="8" t="n"/>
      <c r="P53" s="9" t="n"/>
      <c r="Q53" s="10">
        <f>SUM(K53:P53)</f>
        <v/>
      </c>
      <c r="R53" s="10">
        <f>J53+Q53</f>
        <v/>
      </c>
      <c r="S53" s="16" t="n"/>
    </row>
    <row r="54" ht="18" customHeight="1" s="47">
      <c r="A54" s="49" t="n"/>
      <c r="B54" s="52" t="n"/>
      <c r="C54" s="7" t="inlineStr">
        <is>
          <t>59期</t>
        </is>
      </c>
      <c r="D54" s="12" t="n"/>
      <c r="E54" s="12" t="n"/>
      <c r="F54" s="12" t="n"/>
      <c r="G54" s="12" t="n"/>
      <c r="H54" s="12" t="n"/>
      <c r="I54" s="13" t="n"/>
      <c r="J54" s="14">
        <f>SUM(D54:I54)</f>
        <v/>
      </c>
      <c r="K54" s="15" t="n"/>
      <c r="L54" s="12" t="n"/>
      <c r="M54" s="12" t="n"/>
      <c r="N54" s="12" t="n"/>
      <c r="O54" s="12" t="n"/>
      <c r="P54" s="13" t="n"/>
      <c r="Q54" s="14">
        <f>SUM(K54:P54)</f>
        <v/>
      </c>
      <c r="R54" s="14">
        <f>J54+Q54</f>
        <v/>
      </c>
      <c r="S54" s="17" t="n"/>
    </row>
    <row r="55" ht="18" customHeight="1" s="47">
      <c r="A55" s="49" t="n"/>
      <c r="B55" s="52" t="n"/>
      <c r="C55" s="23" t="inlineStr">
        <is>
          <t>増　減</t>
        </is>
      </c>
      <c r="D55" s="24">
        <f>D54-D53</f>
        <v/>
      </c>
      <c r="E55" s="24">
        <f>E54-E53</f>
        <v/>
      </c>
      <c r="F55" s="24">
        <f>F54-F53</f>
        <v/>
      </c>
      <c r="G55" s="24">
        <f>G54-G53</f>
        <v/>
      </c>
      <c r="H55" s="24">
        <f>H54-H53</f>
        <v/>
      </c>
      <c r="I55" s="27">
        <f>I54-I53</f>
        <v/>
      </c>
      <c r="J55" s="30">
        <f>SUM(D55:I55)</f>
        <v/>
      </c>
      <c r="K55" s="29">
        <f>K54-K53</f>
        <v/>
      </c>
      <c r="L55" s="24">
        <f>L54-L53</f>
        <v/>
      </c>
      <c r="M55" s="24">
        <f>M54-M53</f>
        <v/>
      </c>
      <c r="N55" s="24">
        <f>N54-N53</f>
        <v/>
      </c>
      <c r="O55" s="24">
        <f>O54-O53</f>
        <v/>
      </c>
      <c r="P55" s="27">
        <f>P54-P53</f>
        <v/>
      </c>
      <c r="Q55" s="30">
        <f>SUM(K55:P55)</f>
        <v/>
      </c>
      <c r="R55" s="30">
        <f>J55+Q55</f>
        <v/>
      </c>
      <c r="S55" s="17" t="n"/>
    </row>
    <row r="56" ht="18" customHeight="1" s="47" thickBot="1">
      <c r="A56" s="50" t="n"/>
      <c r="B56" s="53" t="n"/>
      <c r="C56" s="25" t="inlineStr">
        <is>
          <t>稼働棟数</t>
        </is>
      </c>
      <c r="D56" s="20" t="n"/>
      <c r="E56" s="20" t="n"/>
      <c r="F56" s="20" t="n"/>
      <c r="G56" s="20" t="n"/>
      <c r="H56" s="20" t="n"/>
      <c r="I56" s="28" t="n"/>
      <c r="J56" s="21">
        <f>I56</f>
        <v/>
      </c>
      <c r="K56" s="22" t="n"/>
      <c r="L56" s="20" t="n"/>
      <c r="M56" s="20" t="n"/>
      <c r="N56" s="20" t="n"/>
      <c r="O56" s="20" t="n"/>
      <c r="P56" s="28" t="n"/>
      <c r="Q56" s="21">
        <f>P56</f>
        <v/>
      </c>
      <c r="R56" s="21">
        <f>Q56</f>
        <v/>
      </c>
      <c r="S56" s="18" t="n"/>
    </row>
    <row r="57" ht="18" customHeight="1" s="47">
      <c r="A57" s="48" t="n">
        <v>9</v>
      </c>
      <c r="B57" s="54" t="inlineStr">
        <is>
          <t>Adobe
/加工BL</t>
        </is>
      </c>
      <c r="C57" s="31" t="inlineStr">
        <is>
          <t>58期</t>
        </is>
      </c>
      <c r="D57" s="8" t="n"/>
      <c r="E57" s="8" t="n"/>
      <c r="F57" s="8" t="n">
        <v>0.2</v>
      </c>
      <c r="G57" s="8" t="n">
        <v>0.18</v>
      </c>
      <c r="H57" s="8" t="n"/>
      <c r="I57" s="9" t="n"/>
      <c r="J57" s="10">
        <f>SUM(D57:I57)</f>
        <v/>
      </c>
      <c r="K57" s="11" t="n"/>
      <c r="L57" s="8" t="n"/>
      <c r="M57" s="8" t="n"/>
      <c r="N57" s="8" t="n"/>
      <c r="O57" s="8" t="n"/>
      <c r="P57" s="9" t="n"/>
      <c r="Q57" s="10">
        <f>SUM(K57:P57)</f>
        <v/>
      </c>
      <c r="R57" s="10">
        <f>J57+Q57</f>
        <v/>
      </c>
      <c r="S57" s="16" t="n"/>
    </row>
    <row r="58" ht="18" customHeight="1" s="47">
      <c r="A58" s="49" t="n"/>
      <c r="B58" s="52" t="n"/>
      <c r="C58" s="7" t="inlineStr">
        <is>
          <t>59期</t>
        </is>
      </c>
      <c r="D58" s="12" t="n"/>
      <c r="E58" s="12" t="n"/>
      <c r="F58" s="12" t="n"/>
      <c r="G58" s="12" t="n">
        <v>0.18</v>
      </c>
      <c r="H58" s="12" t="n"/>
      <c r="I58" s="13" t="n"/>
      <c r="J58" s="14">
        <f>SUM(D58:I58)</f>
        <v/>
      </c>
      <c r="K58" s="15" t="n"/>
      <c r="L58" s="12" t="n"/>
      <c r="M58" s="12" t="n"/>
      <c r="N58" s="12" t="n"/>
      <c r="O58" s="12" t="n"/>
      <c r="P58" s="13" t="n"/>
      <c r="Q58" s="14">
        <f>SUM(K58:P58)</f>
        <v/>
      </c>
      <c r="R58" s="14">
        <f>J58+Q58</f>
        <v/>
      </c>
      <c r="S58" s="17" t="n"/>
    </row>
    <row r="59" ht="18" customHeight="1" s="47">
      <c r="A59" s="49" t="n"/>
      <c r="B59" s="52" t="n"/>
      <c r="C59" s="23" t="inlineStr">
        <is>
          <t>増　減</t>
        </is>
      </c>
      <c r="D59" s="24">
        <f>D58-D57</f>
        <v/>
      </c>
      <c r="E59" s="24">
        <f>E58-E57</f>
        <v/>
      </c>
      <c r="F59" s="24">
        <f>F58-F57</f>
        <v/>
      </c>
      <c r="G59" s="24">
        <f>G58-G57</f>
        <v/>
      </c>
      <c r="H59" s="24">
        <f>H58-H57</f>
        <v/>
      </c>
      <c r="I59" s="27">
        <f>I58-I57</f>
        <v/>
      </c>
      <c r="J59" s="30">
        <f>SUM(D59:I59)</f>
        <v/>
      </c>
      <c r="K59" s="29">
        <f>K58-K57</f>
        <v/>
      </c>
      <c r="L59" s="24">
        <f>L58-L57</f>
        <v/>
      </c>
      <c r="M59" s="24">
        <f>M58-M57</f>
        <v/>
      </c>
      <c r="N59" s="24">
        <f>N58-N57</f>
        <v/>
      </c>
      <c r="O59" s="24">
        <f>O58-O57</f>
        <v/>
      </c>
      <c r="P59" s="27">
        <f>P58-P57</f>
        <v/>
      </c>
      <c r="Q59" s="30">
        <f>SUM(K59:P59)</f>
        <v/>
      </c>
      <c r="R59" s="30">
        <f>J59+Q59</f>
        <v/>
      </c>
      <c r="S59" s="17" t="n"/>
    </row>
    <row r="60" ht="18" customHeight="1" s="47" thickBot="1">
      <c r="A60" s="50" t="n"/>
      <c r="B60" s="53" t="n"/>
      <c r="C60" s="25" t="inlineStr">
        <is>
          <t>稼働棟数</t>
        </is>
      </c>
      <c r="D60" s="20" t="n"/>
      <c r="E60" s="20" t="n"/>
      <c r="F60" s="20" t="n"/>
      <c r="G60" s="20" t="n"/>
      <c r="H60" s="20" t="n"/>
      <c r="I60" s="28" t="n"/>
      <c r="J60" s="21">
        <f>I60</f>
        <v/>
      </c>
      <c r="K60" s="22" t="n"/>
      <c r="L60" s="20" t="n"/>
      <c r="M60" s="20" t="n"/>
      <c r="N60" s="20" t="n"/>
      <c r="O60" s="20" t="n"/>
      <c r="P60" s="28" t="n"/>
      <c r="Q60" s="21">
        <f>P60</f>
        <v/>
      </c>
      <c r="R60" s="21">
        <f>Q60</f>
        <v/>
      </c>
      <c r="S60" s="18" t="n"/>
    </row>
    <row r="61" ht="18" customHeight="1" s="47">
      <c r="A61" s="48" t="n">
        <v>10</v>
      </c>
      <c r="B61" s="51" t="inlineStr">
        <is>
          <t>Adobe
/加工イチゴ</t>
        </is>
      </c>
      <c r="C61" s="31" t="inlineStr">
        <is>
          <t>58期</t>
        </is>
      </c>
      <c r="D61" s="8" t="n"/>
      <c r="E61" s="8" t="n"/>
      <c r="F61" s="8" t="n">
        <v>0.5</v>
      </c>
      <c r="G61" s="8" t="n">
        <v>1.69</v>
      </c>
      <c r="H61" s="8" t="n">
        <v>1.24</v>
      </c>
      <c r="I61" s="9" t="n"/>
      <c r="J61" s="10">
        <f>SUM(D61:I61)</f>
        <v/>
      </c>
      <c r="K61" s="11" t="n">
        <v>4.02</v>
      </c>
      <c r="L61" s="8" t="n">
        <v>7.67</v>
      </c>
      <c r="M61" s="8" t="n"/>
      <c r="N61" s="8" t="n"/>
      <c r="O61" s="8" t="n"/>
      <c r="P61" s="9" t="n"/>
      <c r="Q61" s="10">
        <f>SUM(K61:P61)</f>
        <v/>
      </c>
      <c r="R61" s="10">
        <f>J61+Q61</f>
        <v/>
      </c>
      <c r="S61" s="16" t="n"/>
    </row>
    <row r="62" ht="18" customHeight="1" s="47">
      <c r="A62" s="49" t="n"/>
      <c r="B62" s="52" t="n"/>
      <c r="C62" s="7" t="inlineStr">
        <is>
          <t>59期</t>
        </is>
      </c>
      <c r="D62" s="12" t="n"/>
      <c r="E62" s="12" t="n"/>
      <c r="F62" s="12" t="n"/>
      <c r="G62" s="12" t="n"/>
      <c r="H62" s="12" t="n"/>
      <c r="I62" s="13" t="n"/>
      <c r="J62" s="14">
        <f>SUM(D62:I62)</f>
        <v/>
      </c>
      <c r="K62" s="15" t="n"/>
      <c r="L62" s="12" t="n"/>
      <c r="M62" s="12" t="n"/>
      <c r="N62" s="12" t="n"/>
      <c r="O62" s="12" t="n"/>
      <c r="P62" s="13" t="n"/>
      <c r="Q62" s="14">
        <f>SUM(K62:P62)</f>
        <v/>
      </c>
      <c r="R62" s="14">
        <f>J62+Q62</f>
        <v/>
      </c>
      <c r="S62" s="17" t="n"/>
    </row>
    <row r="63" ht="18" customHeight="1" s="47">
      <c r="A63" s="49" t="n"/>
      <c r="B63" s="52" t="n"/>
      <c r="C63" s="23" t="inlineStr">
        <is>
          <t>増　減</t>
        </is>
      </c>
      <c r="D63" s="24">
        <f>D62-D61</f>
        <v/>
      </c>
      <c r="E63" s="24">
        <f>E62-E61</f>
        <v/>
      </c>
      <c r="F63" s="24">
        <f>F62-F61</f>
        <v/>
      </c>
      <c r="G63" s="24">
        <f>G62-G61</f>
        <v/>
      </c>
      <c r="H63" s="24">
        <f>H62-H61</f>
        <v/>
      </c>
      <c r="I63" s="27">
        <f>I62-I61</f>
        <v/>
      </c>
      <c r="J63" s="30">
        <f>SUM(D63:I63)</f>
        <v/>
      </c>
      <c r="K63" s="29">
        <f>K62-K61</f>
        <v/>
      </c>
      <c r="L63" s="24">
        <f>L62-L61</f>
        <v/>
      </c>
      <c r="M63" s="24">
        <f>M62-M61</f>
        <v/>
      </c>
      <c r="N63" s="24">
        <f>N62-N61</f>
        <v/>
      </c>
      <c r="O63" s="24">
        <f>O62-O61</f>
        <v/>
      </c>
      <c r="P63" s="27">
        <f>P62-P61</f>
        <v/>
      </c>
      <c r="Q63" s="30">
        <f>SUM(K63:P63)</f>
        <v/>
      </c>
      <c r="R63" s="30">
        <f>J63+Q63</f>
        <v/>
      </c>
      <c r="S63" s="17" t="n"/>
    </row>
    <row r="64" ht="18" customHeight="1" s="47" thickBot="1">
      <c r="A64" s="50" t="n"/>
      <c r="B64" s="53" t="n"/>
      <c r="C64" s="25" t="inlineStr">
        <is>
          <t>稼働棟数</t>
        </is>
      </c>
      <c r="D64" s="20" t="n"/>
      <c r="E64" s="20" t="n"/>
      <c r="F64" s="20" t="n"/>
      <c r="G64" s="20" t="n"/>
      <c r="H64" s="20" t="n"/>
      <c r="I64" s="28" t="n"/>
      <c r="J64" s="21">
        <f>I64</f>
        <v/>
      </c>
      <c r="K64" s="22" t="n"/>
      <c r="L64" s="20" t="n"/>
      <c r="M64" s="20" t="n"/>
      <c r="N64" s="20" t="n"/>
      <c r="O64" s="20" t="n"/>
      <c r="P64" s="28" t="n"/>
      <c r="Q64" s="21">
        <f>P64</f>
        <v/>
      </c>
      <c r="R64" s="21">
        <f>Q64</f>
        <v/>
      </c>
      <c r="S64" s="18" t="n"/>
    </row>
    <row r="65" ht="18" customHeight="1" s="47" thickBot="1">
      <c r="A65" s="58" t="n">
        <v>11</v>
      </c>
      <c r="B65" s="56" t="inlineStr">
        <is>
          <t>富士機材
/加工イチゴ</t>
        </is>
      </c>
      <c r="C65" s="31" t="inlineStr">
        <is>
          <t>58期</t>
        </is>
      </c>
      <c r="D65" s="8" t="n"/>
      <c r="E65" s="8" t="n"/>
      <c r="F65" s="8" t="n"/>
      <c r="G65" s="8" t="n"/>
      <c r="H65" s="8" t="n">
        <v>3.74</v>
      </c>
      <c r="I65" s="9" t="n">
        <v>7.22</v>
      </c>
      <c r="J65" s="10">
        <f>SUM(D65:I65)</f>
        <v/>
      </c>
      <c r="K65" s="11" t="n">
        <v>0.87</v>
      </c>
      <c r="L65" s="8" t="n">
        <v>3.61</v>
      </c>
      <c r="M65" s="8" t="n"/>
      <c r="N65" s="8" t="n"/>
      <c r="O65" s="8" t="n"/>
      <c r="P65" s="9" t="n"/>
      <c r="Q65" s="10">
        <f>SUM(K65:P65)</f>
        <v/>
      </c>
      <c r="R65" s="10">
        <f>J65+Q65</f>
        <v/>
      </c>
      <c r="S65" s="16" t="n"/>
    </row>
    <row r="66" ht="18" customHeight="1" s="47">
      <c r="A66" s="49" t="n"/>
      <c r="B66" s="52" t="n"/>
      <c r="C66" s="7" t="inlineStr">
        <is>
          <t>59期</t>
        </is>
      </c>
      <c r="D66" s="12" t="n"/>
      <c r="E66" s="12" t="n"/>
      <c r="F66" s="12" t="n"/>
      <c r="G66" s="12" t="n"/>
      <c r="H66" s="12" t="n"/>
      <c r="I66" s="13" t="n"/>
      <c r="J66" s="14">
        <f>SUM(D66:I66)</f>
        <v/>
      </c>
      <c r="K66" s="15" t="n"/>
      <c r="L66" s="12" t="n"/>
      <c r="M66" s="12" t="n"/>
      <c r="N66" s="12" t="n"/>
      <c r="O66" s="12" t="n"/>
      <c r="P66" s="13" t="n"/>
      <c r="Q66" s="14">
        <f>SUM(K66:P66)</f>
        <v/>
      </c>
      <c r="R66" s="14">
        <f>J66+Q66</f>
        <v/>
      </c>
      <c r="S66" s="17" t="n"/>
    </row>
    <row r="67" ht="18" customHeight="1" s="47">
      <c r="A67" s="49" t="n"/>
      <c r="B67" s="52" t="n"/>
      <c r="C67" s="23" t="inlineStr">
        <is>
          <t>増　減</t>
        </is>
      </c>
      <c r="D67" s="24">
        <f>D66-D65</f>
        <v/>
      </c>
      <c r="E67" s="24">
        <f>E66-E65</f>
        <v/>
      </c>
      <c r="F67" s="24">
        <f>F66-F65</f>
        <v/>
      </c>
      <c r="G67" s="24">
        <f>G66-G65</f>
        <v/>
      </c>
      <c r="H67" s="24">
        <f>H66-H65</f>
        <v/>
      </c>
      <c r="I67" s="27">
        <f>I66-I65</f>
        <v/>
      </c>
      <c r="J67" s="30">
        <f>SUM(D67:I67)</f>
        <v/>
      </c>
      <c r="K67" s="29">
        <f>K66-K65</f>
        <v/>
      </c>
      <c r="L67" s="24">
        <f>L66-L65</f>
        <v/>
      </c>
      <c r="M67" s="24">
        <f>M66-M65</f>
        <v/>
      </c>
      <c r="N67" s="24">
        <f>N66-N65</f>
        <v/>
      </c>
      <c r="O67" s="24">
        <f>O66-O65</f>
        <v/>
      </c>
      <c r="P67" s="27">
        <f>P66-P65</f>
        <v/>
      </c>
      <c r="Q67" s="30">
        <f>SUM(K67:P67)</f>
        <v/>
      </c>
      <c r="R67" s="30">
        <f>J67+Q67</f>
        <v/>
      </c>
      <c r="S67" s="17" t="n"/>
    </row>
    <row r="68" ht="18" customHeight="1" s="47" thickBot="1">
      <c r="A68" s="59" t="n"/>
      <c r="B68" s="57" t="n"/>
      <c r="C68" s="25" t="inlineStr">
        <is>
          <t>稼働棟数</t>
        </is>
      </c>
      <c r="D68" s="20" t="n"/>
      <c r="E68" s="20" t="n"/>
      <c r="F68" s="20" t="n"/>
      <c r="G68" s="20" t="n"/>
      <c r="H68" s="20" t="n"/>
      <c r="I68" s="28" t="n"/>
      <c r="J68" s="21">
        <f>I68</f>
        <v/>
      </c>
      <c r="K68" s="22" t="n"/>
      <c r="L68" s="20" t="n"/>
      <c r="M68" s="20" t="n"/>
      <c r="N68" s="20" t="n"/>
      <c r="O68" s="20" t="n"/>
      <c r="P68" s="28" t="n"/>
      <c r="Q68" s="21">
        <f>P68</f>
        <v/>
      </c>
      <c r="R68" s="21">
        <f>Q68</f>
        <v/>
      </c>
      <c r="S68" s="18" t="n"/>
    </row>
    <row r="69" ht="18" customHeight="1" s="47" thickBot="1">
      <c r="A69" s="58" t="n">
        <v>11</v>
      </c>
      <c r="B69" s="56" t="inlineStr">
        <is>
          <t>富士機材
/加工BL</t>
        </is>
      </c>
      <c r="C69" s="31" t="inlineStr">
        <is>
          <t>58期</t>
        </is>
      </c>
      <c r="D69" s="8" t="n"/>
      <c r="E69" s="8" t="n"/>
      <c r="F69" s="8" t="n"/>
      <c r="G69" s="8" t="n"/>
      <c r="H69" s="8" t="n">
        <v>3.74</v>
      </c>
      <c r="I69" s="9" t="n">
        <v>7.22</v>
      </c>
      <c r="J69" s="10">
        <f>SUM(D69:I69)</f>
        <v/>
      </c>
      <c r="K69" s="11" t="n">
        <v>0.87</v>
      </c>
      <c r="L69" s="8" t="n">
        <v>3.61</v>
      </c>
      <c r="M69" s="8" t="n"/>
      <c r="N69" s="8" t="n">
        <v>1</v>
      </c>
      <c r="O69" s="8" t="n"/>
      <c r="P69" s="9" t="n"/>
      <c r="Q69" s="10">
        <f>SUM(K69:P69)</f>
        <v/>
      </c>
      <c r="R69" s="10">
        <f>J69+Q69</f>
        <v/>
      </c>
      <c r="S69" s="16" t="n"/>
    </row>
    <row r="70" ht="18" customHeight="1" s="47">
      <c r="A70" s="49" t="n"/>
      <c r="B70" s="52" t="n"/>
      <c r="C70" s="7" t="inlineStr">
        <is>
          <t>59期</t>
        </is>
      </c>
      <c r="D70" s="12" t="n"/>
      <c r="E70" s="12" t="n"/>
      <c r="F70" s="12" t="n"/>
      <c r="G70" s="12" t="n"/>
      <c r="H70" s="12" t="n"/>
      <c r="I70" s="13" t="n"/>
      <c r="J70" s="14">
        <f>SUM(D70:I70)</f>
        <v/>
      </c>
      <c r="K70" s="15" t="n"/>
      <c r="L70" s="12" t="n"/>
      <c r="M70" s="12" t="n"/>
      <c r="N70" s="12" t="n"/>
      <c r="O70" s="12" t="n"/>
      <c r="P70" s="13" t="n"/>
      <c r="Q70" s="14">
        <f>SUM(K70:P70)</f>
        <v/>
      </c>
      <c r="R70" s="14">
        <f>J70+Q70</f>
        <v/>
      </c>
      <c r="S70" s="17" t="n"/>
    </row>
    <row r="71" ht="18" customHeight="1" s="47">
      <c r="A71" s="49" t="n"/>
      <c r="B71" s="52" t="n"/>
      <c r="C71" s="23" t="inlineStr">
        <is>
          <t>増　減</t>
        </is>
      </c>
      <c r="D71" s="24">
        <f>D70-D69</f>
        <v/>
      </c>
      <c r="E71" s="24">
        <f>E70-E69</f>
        <v/>
      </c>
      <c r="F71" s="24">
        <f>F70-F69</f>
        <v/>
      </c>
      <c r="G71" s="24">
        <f>G70-G69</f>
        <v/>
      </c>
      <c r="H71" s="24">
        <f>H70-H69</f>
        <v/>
      </c>
      <c r="I71" s="27">
        <f>I70-I69</f>
        <v/>
      </c>
      <c r="J71" s="30">
        <f>SUM(D71:I71)</f>
        <v/>
      </c>
      <c r="K71" s="29">
        <f>K70-K69</f>
        <v/>
      </c>
      <c r="L71" s="24">
        <f>L70-L69</f>
        <v/>
      </c>
      <c r="M71" s="24">
        <f>M70-M69</f>
        <v/>
      </c>
      <c r="N71" s="24">
        <f>N70-N69</f>
        <v/>
      </c>
      <c r="O71" s="24">
        <f>O70-O69</f>
        <v/>
      </c>
      <c r="P71" s="27">
        <f>P70-P69</f>
        <v/>
      </c>
      <c r="Q71" s="30">
        <f>SUM(K71:P71)</f>
        <v/>
      </c>
      <c r="R71" s="30">
        <f>J71+Q71</f>
        <v/>
      </c>
      <c r="S71" s="17" t="n"/>
    </row>
    <row r="72" ht="18" customHeight="1" s="47" thickBot="1">
      <c r="A72" s="59" t="n"/>
      <c r="B72" s="57" t="n"/>
      <c r="C72" s="25" t="inlineStr">
        <is>
          <t>稼働棟数</t>
        </is>
      </c>
      <c r="D72" s="20" t="n"/>
      <c r="E72" s="20" t="n"/>
      <c r="F72" s="20" t="n"/>
      <c r="G72" s="20" t="n"/>
      <c r="H72" s="20" t="n"/>
      <c r="I72" s="28" t="n"/>
      <c r="J72" s="21">
        <f>I72</f>
        <v/>
      </c>
      <c r="K72" s="22" t="n"/>
      <c r="L72" s="20" t="n"/>
      <c r="M72" s="20" t="n"/>
      <c r="N72" s="20" t="n"/>
      <c r="O72" s="20" t="n"/>
      <c r="P72" s="28" t="n"/>
      <c r="Q72" s="21">
        <f>P72</f>
        <v/>
      </c>
      <c r="R72" s="21">
        <f>Q72</f>
        <v/>
      </c>
      <c r="S72" s="18" t="n"/>
    </row>
    <row r="73" ht="18" customHeight="1" s="47" thickBot="1">
      <c r="A73" s="58" t="n">
        <v>11</v>
      </c>
      <c r="B73" s="56" t="inlineStr">
        <is>
          <t>NaITO
/加工BL</t>
        </is>
      </c>
      <c r="C73" s="31" t="inlineStr">
        <is>
          <t>58期</t>
        </is>
      </c>
      <c r="D73" s="8" t="n"/>
      <c r="E73" s="8" t="n"/>
      <c r="F73" s="8" t="n">
        <v>0.15</v>
      </c>
      <c r="G73" s="8" t="n"/>
      <c r="H73" s="8" t="n">
        <v>0.6</v>
      </c>
      <c r="I73" s="9" t="n">
        <v>2.99</v>
      </c>
      <c r="J73" s="10">
        <f>SUM(D73:I73)</f>
        <v/>
      </c>
      <c r="K73" s="11" t="n">
        <v>1.7</v>
      </c>
      <c r="L73" s="8" t="n">
        <v>2.35</v>
      </c>
      <c r="M73" s="8" t="n">
        <v>3.64</v>
      </c>
      <c r="N73" s="8" t="n">
        <v>2.9</v>
      </c>
      <c r="O73" s="8" t="n">
        <v>0.66</v>
      </c>
      <c r="P73" s="9" t="n">
        <v>3.86</v>
      </c>
      <c r="Q73" s="10">
        <f>SUM(K73:P73)</f>
        <v/>
      </c>
      <c r="R73" s="10">
        <f>J73+Q73</f>
        <v/>
      </c>
      <c r="S73" s="16" t="n"/>
    </row>
    <row r="74" ht="18" customHeight="1" s="47">
      <c r="A74" s="49" t="n"/>
      <c r="B74" s="52" t="n"/>
      <c r="C74" s="7" t="inlineStr">
        <is>
          <t>59期</t>
        </is>
      </c>
      <c r="D74" s="12" t="n">
        <v>10.22</v>
      </c>
      <c r="E74" s="12" t="n">
        <v>2.28</v>
      </c>
      <c r="F74" s="12" t="n">
        <v>0</v>
      </c>
      <c r="G74" s="12" t="n">
        <v>2.3</v>
      </c>
      <c r="H74" s="12" t="n"/>
      <c r="I74" s="13" t="n"/>
      <c r="J74" s="14">
        <f>SUM(D74:I74)</f>
        <v/>
      </c>
      <c r="K74" s="15" t="n"/>
      <c r="L74" s="12" t="n"/>
      <c r="M74" s="12" t="n"/>
      <c r="N74" s="12" t="n"/>
      <c r="O74" s="12" t="n"/>
      <c r="P74" s="13" t="n"/>
      <c r="Q74" s="14">
        <f>SUM(K74:P74)</f>
        <v/>
      </c>
      <c r="R74" s="14">
        <f>J74+Q74</f>
        <v/>
      </c>
      <c r="S74" s="17" t="n"/>
    </row>
    <row r="75" ht="18" customHeight="1" s="47">
      <c r="A75" s="49" t="n"/>
      <c r="B75" s="52" t="n"/>
      <c r="C75" s="23" t="inlineStr">
        <is>
          <t>増　減</t>
        </is>
      </c>
      <c r="D75" s="24">
        <f>D74-D73</f>
        <v/>
      </c>
      <c r="E75" s="24">
        <f>E74-E73</f>
        <v/>
      </c>
      <c r="F75" s="24">
        <f>F74-F73</f>
        <v/>
      </c>
      <c r="G75" s="24">
        <f>G74-G73</f>
        <v/>
      </c>
      <c r="H75" s="24">
        <f>H74-H73</f>
        <v/>
      </c>
      <c r="I75" s="27">
        <f>I74-I73</f>
        <v/>
      </c>
      <c r="J75" s="30">
        <f>SUM(D75:I75)</f>
        <v/>
      </c>
      <c r="K75" s="29">
        <f>K74-K73</f>
        <v/>
      </c>
      <c r="L75" s="24">
        <f>L74-L73</f>
        <v/>
      </c>
      <c r="M75" s="24">
        <f>M74-M73</f>
        <v/>
      </c>
      <c r="N75" s="24">
        <f>N74-N73</f>
        <v/>
      </c>
      <c r="O75" s="24">
        <f>O74-O73</f>
        <v/>
      </c>
      <c r="P75" s="27">
        <f>P74-P73</f>
        <v/>
      </c>
      <c r="Q75" s="30">
        <f>SUM(K75:P75)</f>
        <v/>
      </c>
      <c r="R75" s="30">
        <f>J75+Q75</f>
        <v/>
      </c>
      <c r="S75" s="17" t="n"/>
    </row>
    <row r="76" ht="18" customHeight="1" s="47" thickBot="1">
      <c r="A76" s="59" t="n"/>
      <c r="B76" s="57" t="n"/>
      <c r="C76" s="25" t="inlineStr">
        <is>
          <t>稼働棟数</t>
        </is>
      </c>
      <c r="D76" s="20" t="n"/>
      <c r="E76" s="20" t="n"/>
      <c r="F76" s="20" t="n"/>
      <c r="G76" s="20" t="n"/>
      <c r="H76" s="20" t="n"/>
      <c r="I76" s="28" t="n"/>
      <c r="J76" s="21">
        <f>I76</f>
        <v/>
      </c>
      <c r="K76" s="22" t="n"/>
      <c r="L76" s="20" t="n"/>
      <c r="M76" s="20" t="n"/>
      <c r="N76" s="20" t="n"/>
      <c r="O76" s="20" t="n"/>
      <c r="P76" s="28" t="n"/>
      <c r="Q76" s="21">
        <f>P76</f>
        <v/>
      </c>
      <c r="R76" s="21">
        <f>Q76</f>
        <v/>
      </c>
      <c r="S76" s="18" t="n"/>
    </row>
    <row r="77" ht="18" customHeight="1" s="47">
      <c r="A77" s="48" t="n">
        <v>11</v>
      </c>
      <c r="B77" s="51" t="inlineStr">
        <is>
          <t>NaITO
/加工イチゴ</t>
        </is>
      </c>
      <c r="C77" s="31" t="inlineStr">
        <is>
          <t>58期</t>
        </is>
      </c>
      <c r="D77" s="8" t="n"/>
      <c r="E77" s="8" t="n"/>
      <c r="F77" s="8" t="n"/>
      <c r="G77" s="8" t="n">
        <v>0.79</v>
      </c>
      <c r="H77" s="8" t="n">
        <v>1.24</v>
      </c>
      <c r="I77" s="9" t="n">
        <v>0.84</v>
      </c>
      <c r="J77" s="10">
        <f>SUM(D77:I77)</f>
        <v/>
      </c>
      <c r="K77" s="11" t="n">
        <v>1.03</v>
      </c>
      <c r="L77" s="8" t="n">
        <v>2.32</v>
      </c>
      <c r="M77" s="8" t="n"/>
      <c r="N77" s="8" t="n"/>
      <c r="O77" s="8" t="n"/>
      <c r="P77" s="9" t="n"/>
      <c r="Q77" s="10">
        <f>SUM(K77:P77)</f>
        <v/>
      </c>
      <c r="R77" s="10">
        <f>J77+Q77</f>
        <v/>
      </c>
      <c r="S77" s="16" t="n"/>
    </row>
    <row r="78" ht="18" customHeight="1" s="47">
      <c r="A78" s="49" t="n"/>
      <c r="B78" s="52" t="n"/>
      <c r="C78" s="7" t="inlineStr">
        <is>
          <t>59期</t>
        </is>
      </c>
      <c r="D78" s="12" t="n"/>
      <c r="E78" s="12" t="n"/>
      <c r="F78" s="12" t="n"/>
      <c r="G78" s="12" t="n"/>
      <c r="H78" s="12" t="n"/>
      <c r="I78" s="13" t="n"/>
      <c r="J78" s="14">
        <f>SUM(D78:I78)</f>
        <v/>
      </c>
      <c r="K78" s="15" t="n"/>
      <c r="L78" s="12" t="n"/>
      <c r="M78" s="12" t="n"/>
      <c r="N78" s="12" t="n"/>
      <c r="O78" s="12" t="n"/>
      <c r="P78" s="13" t="n"/>
      <c r="Q78" s="14">
        <f>SUM(K78:P78)</f>
        <v/>
      </c>
      <c r="R78" s="14">
        <f>J78+Q78</f>
        <v/>
      </c>
      <c r="S78" s="17" t="n"/>
    </row>
    <row r="79" ht="18" customHeight="1" s="47">
      <c r="A79" s="49" t="n"/>
      <c r="B79" s="52" t="n"/>
      <c r="C79" s="23" t="inlineStr">
        <is>
          <t>増　減</t>
        </is>
      </c>
      <c r="D79" s="24">
        <f>D78-D77</f>
        <v/>
      </c>
      <c r="E79" s="24">
        <f>E78-E77</f>
        <v/>
      </c>
      <c r="F79" s="24">
        <f>F78-F77</f>
        <v/>
      </c>
      <c r="G79" s="24">
        <f>G78-G77</f>
        <v/>
      </c>
      <c r="H79" s="24">
        <f>H78-H77</f>
        <v/>
      </c>
      <c r="I79" s="27">
        <f>I78-I77</f>
        <v/>
      </c>
      <c r="J79" s="30">
        <f>SUM(D79:I79)</f>
        <v/>
      </c>
      <c r="K79" s="29">
        <f>K78-K77</f>
        <v/>
      </c>
      <c r="L79" s="24">
        <f>L78-L77</f>
        <v/>
      </c>
      <c r="M79" s="24">
        <f>M78-M77</f>
        <v/>
      </c>
      <c r="N79" s="24">
        <f>N78-N77</f>
        <v/>
      </c>
      <c r="O79" s="24">
        <f>O78-O77</f>
        <v/>
      </c>
      <c r="P79" s="27">
        <f>P78-P77</f>
        <v/>
      </c>
      <c r="Q79" s="30">
        <f>SUM(K79:P79)</f>
        <v/>
      </c>
      <c r="R79" s="30">
        <f>J79+Q79</f>
        <v/>
      </c>
      <c r="S79" s="17" t="n"/>
    </row>
    <row r="80" ht="18" customHeight="1" s="47" thickBot="1">
      <c r="A80" s="50" t="n"/>
      <c r="B80" s="53" t="n"/>
      <c r="C80" s="25" t="inlineStr">
        <is>
          <t>稼働棟数</t>
        </is>
      </c>
      <c r="D80" s="20" t="n"/>
      <c r="E80" s="20" t="n"/>
      <c r="F80" s="20" t="n"/>
      <c r="G80" s="20" t="n"/>
      <c r="H80" s="20" t="n"/>
      <c r="I80" s="28" t="n"/>
      <c r="J80" s="21">
        <f>I80</f>
        <v/>
      </c>
      <c r="K80" s="22" t="n"/>
      <c r="L80" s="20" t="n"/>
      <c r="M80" s="20" t="n"/>
      <c r="N80" s="20" t="n"/>
      <c r="O80" s="20" t="n"/>
      <c r="P80" s="28" t="n"/>
      <c r="Q80" s="21">
        <f>P80</f>
        <v/>
      </c>
      <c r="R80" s="21">
        <f>Q80</f>
        <v/>
      </c>
      <c r="S80" s="18" t="n"/>
    </row>
    <row r="81" ht="18" customHeight="1" s="47">
      <c r="A81" s="48" t="n">
        <v>12</v>
      </c>
      <c r="B81" s="51" t="inlineStr">
        <is>
          <t>マルテー
加工BL</t>
        </is>
      </c>
      <c r="C81" s="31" t="inlineStr">
        <is>
          <t>58期</t>
        </is>
      </c>
      <c r="D81" s="8" t="n"/>
      <c r="E81" s="8" t="n"/>
      <c r="F81" s="8" t="n">
        <v>0.78</v>
      </c>
      <c r="G81" s="8" t="n">
        <v>0.6</v>
      </c>
      <c r="H81" s="8" t="n">
        <v>6.78</v>
      </c>
      <c r="I81" s="9" t="n">
        <v>15.6</v>
      </c>
      <c r="J81" s="10">
        <f>SUM(D81:I81)</f>
        <v/>
      </c>
      <c r="K81" s="11" t="n">
        <v>0.26</v>
      </c>
      <c r="L81" s="8" t="n">
        <v>3.14</v>
      </c>
      <c r="M81" s="8" t="n">
        <v>2.8</v>
      </c>
      <c r="N81" s="8" t="n">
        <v>0.34</v>
      </c>
      <c r="O81" s="8" t="n"/>
      <c r="P81" s="9" t="n"/>
      <c r="Q81" s="10">
        <f>SUM(K81:P81)</f>
        <v/>
      </c>
      <c r="R81" s="10">
        <f>J81+Q81</f>
        <v/>
      </c>
      <c r="S81" s="16" t="n"/>
    </row>
    <row r="82" ht="18" customHeight="1" s="47">
      <c r="A82" s="49" t="n"/>
      <c r="B82" s="52" t="n"/>
      <c r="C82" s="7" t="inlineStr">
        <is>
          <t>59期</t>
        </is>
      </c>
      <c r="D82" s="12" t="n"/>
      <c r="E82" s="12" t="n"/>
      <c r="F82" s="12" t="n"/>
      <c r="G82" s="12" t="n">
        <v>0.67</v>
      </c>
      <c r="H82" s="12" t="n"/>
      <c r="I82" s="13" t="n"/>
      <c r="J82" s="14">
        <f>SUM(D82:I82)</f>
        <v/>
      </c>
      <c r="K82" s="15" t="n"/>
      <c r="L82" s="12" t="n"/>
      <c r="M82" s="12" t="n"/>
      <c r="N82" s="12" t="n"/>
      <c r="O82" s="12" t="n"/>
      <c r="P82" s="13" t="n"/>
      <c r="Q82" s="14">
        <f>SUM(K82:P82)</f>
        <v/>
      </c>
      <c r="R82" s="14">
        <f>J82+Q82</f>
        <v/>
      </c>
      <c r="S82" s="17" t="n"/>
    </row>
    <row r="83" ht="18" customHeight="1" s="47">
      <c r="A83" s="49" t="n"/>
      <c r="B83" s="52" t="n"/>
      <c r="C83" s="23" t="inlineStr">
        <is>
          <t>増　減</t>
        </is>
      </c>
      <c r="D83" s="24" t="n"/>
      <c r="E83" s="24">
        <f>E82-E81</f>
        <v/>
      </c>
      <c r="F83" s="24">
        <f>F82-F81</f>
        <v/>
      </c>
      <c r="G83" s="24">
        <f>G82-G81</f>
        <v/>
      </c>
      <c r="H83" s="24">
        <f>H82-H81</f>
        <v/>
      </c>
      <c r="I83" s="27">
        <f>I82-I81</f>
        <v/>
      </c>
      <c r="J83" s="30">
        <f>SUM(D83:I83)</f>
        <v/>
      </c>
      <c r="K83" s="29">
        <f>K82-K81</f>
        <v/>
      </c>
      <c r="L83" s="24">
        <f>L82-L81</f>
        <v/>
      </c>
      <c r="M83" s="24">
        <f>M82-M81</f>
        <v/>
      </c>
      <c r="N83" s="24">
        <f>N82-N81</f>
        <v/>
      </c>
      <c r="O83" s="24">
        <f>O82-O81</f>
        <v/>
      </c>
      <c r="P83" s="27">
        <f>P82-P81</f>
        <v/>
      </c>
      <c r="Q83" s="30">
        <f>SUM(K83:P83)</f>
        <v/>
      </c>
      <c r="R83" s="30">
        <f>J83+Q83</f>
        <v/>
      </c>
      <c r="S83" s="17" t="n"/>
    </row>
    <row r="84" ht="18" customHeight="1" s="47" thickBot="1">
      <c r="A84" s="50" t="n"/>
      <c r="B84" s="53" t="n"/>
      <c r="C84" s="25" t="inlineStr">
        <is>
          <t>稼働棟数</t>
        </is>
      </c>
      <c r="D84" s="20" t="n"/>
      <c r="E84" s="20" t="n"/>
      <c r="F84" s="20" t="n"/>
      <c r="G84" s="20" t="n"/>
      <c r="H84" s="20" t="n"/>
      <c r="I84" s="28" t="n"/>
      <c r="J84" s="21">
        <f>I84</f>
        <v/>
      </c>
      <c r="K84" s="22" t="n"/>
      <c r="L84" s="20" t="n"/>
      <c r="M84" s="20" t="n"/>
      <c r="N84" s="20" t="n"/>
      <c r="O84" s="20" t="n"/>
      <c r="P84" s="28" t="n"/>
      <c r="Q84" s="21">
        <f>P84</f>
        <v/>
      </c>
      <c r="R84" s="21">
        <f>Q84</f>
        <v/>
      </c>
      <c r="S84" s="18" t="n"/>
    </row>
    <row r="85" ht="18" customHeight="1" s="47" thickBot="1">
      <c r="A85" s="58" t="n">
        <v>13</v>
      </c>
      <c r="B85" s="56" t="inlineStr">
        <is>
          <t>マルテー
/加工イチゴ</t>
        </is>
      </c>
      <c r="C85" s="31" t="inlineStr">
        <is>
          <t>58期</t>
        </is>
      </c>
      <c r="D85" s="8" t="n"/>
      <c r="E85" s="8" t="n"/>
      <c r="F85" s="8" t="n"/>
      <c r="G85" s="8" t="n">
        <v>2.06</v>
      </c>
      <c r="H85" s="8" t="n">
        <v>7.72</v>
      </c>
      <c r="I85" s="9" t="n">
        <v>4.25</v>
      </c>
      <c r="J85" s="10">
        <f>SUM(D85:I85)</f>
        <v/>
      </c>
      <c r="K85" s="11" t="n">
        <v>11.98</v>
      </c>
      <c r="L85" s="8" t="n">
        <v>9.98</v>
      </c>
      <c r="M85" s="8" t="n"/>
      <c r="N85" s="8" t="n"/>
      <c r="O85" s="8" t="n"/>
      <c r="P85" s="9" t="n"/>
      <c r="Q85" s="10">
        <f>SUM(K85:P85)</f>
        <v/>
      </c>
      <c r="R85" s="10">
        <f>J85+Q85</f>
        <v/>
      </c>
      <c r="S85" s="16" t="n"/>
    </row>
    <row r="86" ht="18" customHeight="1" s="47">
      <c r="A86" s="49" t="n"/>
      <c r="B86" s="52" t="n"/>
      <c r="C86" s="7" t="inlineStr">
        <is>
          <t>59期</t>
        </is>
      </c>
      <c r="D86" s="12" t="n"/>
      <c r="E86" s="12" t="n"/>
      <c r="F86" s="12" t="n"/>
      <c r="G86" s="12" t="n"/>
      <c r="H86" s="12" t="n"/>
      <c r="I86" s="13" t="n"/>
      <c r="J86" s="14">
        <f>SUM(D86:I86)</f>
        <v/>
      </c>
      <c r="K86" s="15" t="n"/>
      <c r="L86" s="12" t="n"/>
      <c r="M86" s="12" t="n"/>
      <c r="N86" s="12" t="n"/>
      <c r="O86" s="12" t="n"/>
      <c r="P86" s="13" t="n"/>
      <c r="Q86" s="14">
        <f>SUM(K86:P86)</f>
        <v/>
      </c>
      <c r="R86" s="14">
        <f>J86+Q86</f>
        <v/>
      </c>
      <c r="S86" s="17" t="n"/>
    </row>
    <row r="87" ht="18" customHeight="1" s="47">
      <c r="A87" s="49" t="n"/>
      <c r="B87" s="52" t="n"/>
      <c r="C87" s="23" t="inlineStr">
        <is>
          <t>増　減</t>
        </is>
      </c>
      <c r="D87" s="24">
        <f>D86-D85</f>
        <v/>
      </c>
      <c r="E87" s="24">
        <f>E86-E85</f>
        <v/>
      </c>
      <c r="F87" s="24">
        <f>F86-F85</f>
        <v/>
      </c>
      <c r="G87" s="24">
        <f>G86-G85</f>
        <v/>
      </c>
      <c r="H87" s="24">
        <f>H86-H85</f>
        <v/>
      </c>
      <c r="I87" s="27">
        <f>I86-I85</f>
        <v/>
      </c>
      <c r="J87" s="30">
        <f>SUM(D87:I87)</f>
        <v/>
      </c>
      <c r="K87" s="29">
        <f>K86-K85</f>
        <v/>
      </c>
      <c r="L87" s="24">
        <f>L86-L85</f>
        <v/>
      </c>
      <c r="M87" s="24">
        <f>M86-M85</f>
        <v/>
      </c>
      <c r="N87" s="24">
        <f>N86-N85</f>
        <v/>
      </c>
      <c r="O87" s="24">
        <f>O86-O85</f>
        <v/>
      </c>
      <c r="P87" s="27">
        <f>P86-P85</f>
        <v/>
      </c>
      <c r="Q87" s="30">
        <f>SUM(K87:P87)</f>
        <v/>
      </c>
      <c r="R87" s="30">
        <f>J87+Q87</f>
        <v/>
      </c>
      <c r="S87" s="17" t="n"/>
    </row>
    <row r="88" ht="18" customHeight="1" s="47" thickBot="1">
      <c r="A88" s="59" t="n"/>
      <c r="B88" s="57" t="n"/>
      <c r="C88" s="25" t="inlineStr">
        <is>
          <t>稼働棟数</t>
        </is>
      </c>
      <c r="D88" s="20" t="n"/>
      <c r="E88" s="20" t="n"/>
      <c r="F88" s="20" t="n"/>
      <c r="G88" s="20" t="n"/>
      <c r="H88" s="20" t="n"/>
      <c r="I88" s="28" t="n"/>
      <c r="J88" s="21">
        <f>I88</f>
        <v/>
      </c>
      <c r="K88" s="22" t="n"/>
      <c r="L88" s="20" t="n"/>
      <c r="M88" s="20" t="n"/>
      <c r="N88" s="20" t="n"/>
      <c r="O88" s="20" t="n"/>
      <c r="P88" s="28" t="n"/>
      <c r="Q88" s="21">
        <f>P88</f>
        <v/>
      </c>
      <c r="R88" s="21">
        <f>Q88</f>
        <v/>
      </c>
      <c r="S88" s="18" t="n"/>
    </row>
    <row r="89" ht="18" customHeight="1" s="47" thickBot="1">
      <c r="A89" s="58" t="n">
        <v>13</v>
      </c>
      <c r="B89" s="56" t="inlineStr">
        <is>
          <t>ソリトン
/加工BL</t>
        </is>
      </c>
      <c r="C89" s="31" t="inlineStr">
        <is>
          <t>58期</t>
        </is>
      </c>
      <c r="D89" s="8" t="n"/>
      <c r="E89" s="8" t="n"/>
      <c r="F89" s="8" t="n">
        <v>1.7</v>
      </c>
      <c r="G89" s="8" t="n">
        <v>4.6</v>
      </c>
      <c r="H89" s="8" t="n">
        <v>3.82</v>
      </c>
      <c r="I89" s="9" t="n">
        <v>23.48</v>
      </c>
      <c r="J89" s="10">
        <f>SUM(D89:I89)</f>
        <v/>
      </c>
      <c r="K89" s="11" t="n">
        <v>2.14</v>
      </c>
      <c r="L89" s="8" t="n">
        <v>8.119999999999999</v>
      </c>
      <c r="M89" s="8" t="n">
        <v>1.98</v>
      </c>
      <c r="N89" s="8" t="n">
        <v>1.12</v>
      </c>
      <c r="O89" s="8" t="n">
        <v>0.18</v>
      </c>
      <c r="P89" s="9" t="n"/>
      <c r="Q89" s="10">
        <f>SUM(K89:P89)</f>
        <v/>
      </c>
      <c r="R89" s="10">
        <f>J89+Q89</f>
        <v/>
      </c>
      <c r="S89" s="16" t="n"/>
    </row>
    <row r="90" ht="18" customHeight="1" s="47">
      <c r="A90" s="49" t="n"/>
      <c r="B90" s="52" t="n"/>
      <c r="C90" s="7" t="inlineStr">
        <is>
          <t>59期</t>
        </is>
      </c>
      <c r="D90" s="12" t="n"/>
      <c r="E90" s="12" t="n"/>
      <c r="F90" s="12" t="n"/>
      <c r="G90" s="12" t="n"/>
      <c r="H90" s="12" t="n"/>
      <c r="I90" s="13" t="n"/>
      <c r="J90" s="14">
        <f>SUM(D90:I90)</f>
        <v/>
      </c>
      <c r="K90" s="15" t="n"/>
      <c r="L90" s="12" t="n"/>
      <c r="M90" s="12" t="n"/>
      <c r="N90" s="12" t="n"/>
      <c r="O90" s="12" t="n"/>
      <c r="P90" s="13" t="n"/>
      <c r="Q90" s="14">
        <f>SUM(K90:P90)</f>
        <v/>
      </c>
      <c r="R90" s="14">
        <f>J90+Q90</f>
        <v/>
      </c>
      <c r="S90" s="17" t="n"/>
    </row>
    <row r="91" ht="18" customHeight="1" s="47">
      <c r="A91" s="49" t="n"/>
      <c r="B91" s="52" t="n"/>
      <c r="C91" s="23" t="inlineStr">
        <is>
          <t>増　減</t>
        </is>
      </c>
      <c r="D91" s="24">
        <f>D90-D89</f>
        <v/>
      </c>
      <c r="E91" s="24">
        <f>E90-E89</f>
        <v/>
      </c>
      <c r="F91" s="24">
        <f>F90-F89</f>
        <v/>
      </c>
      <c r="G91" s="24">
        <f>G90-G89</f>
        <v/>
      </c>
      <c r="H91" s="24">
        <f>H90-H89</f>
        <v/>
      </c>
      <c r="I91" s="27">
        <f>I90-I89</f>
        <v/>
      </c>
      <c r="J91" s="30">
        <f>SUM(D91:I91)</f>
        <v/>
      </c>
      <c r="K91" s="29">
        <f>K90-K89</f>
        <v/>
      </c>
      <c r="L91" s="24">
        <f>L90-L89</f>
        <v/>
      </c>
      <c r="M91" s="24">
        <f>M90-M89</f>
        <v/>
      </c>
      <c r="N91" s="24">
        <f>N90-N89</f>
        <v/>
      </c>
      <c r="O91" s="24">
        <f>O90-O89</f>
        <v/>
      </c>
      <c r="P91" s="27">
        <f>P90-P89</f>
        <v/>
      </c>
      <c r="Q91" s="30">
        <f>SUM(K91:P91)</f>
        <v/>
      </c>
      <c r="R91" s="30">
        <f>J91+Q91</f>
        <v/>
      </c>
      <c r="S91" s="17" t="n"/>
    </row>
    <row r="92" ht="18" customHeight="1" s="47" thickBot="1">
      <c r="A92" s="59" t="n"/>
      <c r="B92" s="57" t="n"/>
      <c r="C92" s="25" t="inlineStr">
        <is>
          <t>稼働棟数</t>
        </is>
      </c>
      <c r="D92" s="20" t="n"/>
      <c r="E92" s="20" t="n"/>
      <c r="F92" s="20" t="n"/>
      <c r="G92" s="20" t="n"/>
      <c r="H92" s="20" t="n"/>
      <c r="I92" s="28" t="n"/>
      <c r="J92" s="21">
        <f>I92</f>
        <v/>
      </c>
      <c r="K92" s="22" t="n"/>
      <c r="L92" s="20" t="n"/>
      <c r="M92" s="20" t="n"/>
      <c r="N92" s="20" t="n"/>
      <c r="O92" s="20" t="n"/>
      <c r="P92" s="28" t="n"/>
      <c r="Q92" s="21">
        <f>P92</f>
        <v/>
      </c>
      <c r="R92" s="21">
        <f>Q92</f>
        <v/>
      </c>
      <c r="S92" s="18" t="n"/>
    </row>
    <row r="93" ht="18" customHeight="1" s="47">
      <c r="A93" s="48" t="n">
        <v>14</v>
      </c>
      <c r="B93" s="51" t="inlineStr">
        <is>
          <t>ソリトン
/加工イチゴ</t>
        </is>
      </c>
      <c r="C93" s="31" t="inlineStr">
        <is>
          <t>58期</t>
        </is>
      </c>
      <c r="D93" s="8" t="n"/>
      <c r="E93" s="8" t="n"/>
      <c r="F93" s="8" t="n">
        <v>5.7</v>
      </c>
      <c r="G93" s="8" t="n">
        <v>11.46</v>
      </c>
      <c r="H93" s="8" t="n">
        <v>1.319</v>
      </c>
      <c r="I93" s="9" t="n">
        <v>0.7</v>
      </c>
      <c r="J93" s="10">
        <f>SUM(D93:I93)</f>
        <v/>
      </c>
      <c r="K93" s="11" t="n">
        <v>1.18</v>
      </c>
      <c r="L93" s="8" t="n">
        <v>2.3</v>
      </c>
      <c r="M93" s="8" t="n"/>
      <c r="N93" s="8" t="n"/>
      <c r="O93" s="8" t="n"/>
      <c r="P93" s="9" t="n"/>
      <c r="Q93" s="10">
        <f>SUM(K93:P93)</f>
        <v/>
      </c>
      <c r="R93" s="10">
        <f>J93+Q93</f>
        <v/>
      </c>
      <c r="S93" s="16" t="n"/>
    </row>
    <row r="94" ht="18" customHeight="1" s="47">
      <c r="A94" s="49" t="n"/>
      <c r="B94" s="52" t="n"/>
      <c r="C94" s="7" t="inlineStr">
        <is>
          <t>59期</t>
        </is>
      </c>
      <c r="D94" s="12" t="n"/>
      <c r="E94" s="12" t="n"/>
      <c r="F94" s="12" t="n"/>
      <c r="G94" s="12" t="n"/>
      <c r="H94" s="12" t="n"/>
      <c r="I94" s="13" t="n"/>
      <c r="J94" s="14">
        <f>SUM(D94:I94)</f>
        <v/>
      </c>
      <c r="K94" s="15" t="n"/>
      <c r="L94" s="12" t="n"/>
      <c r="M94" s="12" t="n"/>
      <c r="N94" s="12" t="n"/>
      <c r="O94" s="12" t="n"/>
      <c r="P94" s="13" t="n"/>
      <c r="Q94" s="14">
        <f>SUM(K94:P94)</f>
        <v/>
      </c>
      <c r="R94" s="14">
        <f>J94+Q94</f>
        <v/>
      </c>
      <c r="S94" s="17" t="n"/>
    </row>
    <row r="95" ht="18" customHeight="1" s="47">
      <c r="A95" s="49" t="n"/>
      <c r="B95" s="52" t="n"/>
      <c r="C95" s="23" t="inlineStr">
        <is>
          <t>増　減</t>
        </is>
      </c>
      <c r="D95" s="24">
        <f>D94-D93</f>
        <v/>
      </c>
      <c r="E95" s="24">
        <f>E94-E93</f>
        <v/>
      </c>
      <c r="F95" s="24">
        <f>F94-F93</f>
        <v/>
      </c>
      <c r="G95" s="24">
        <f>G94-G93</f>
        <v/>
      </c>
      <c r="H95" s="24">
        <f>H94-H93</f>
        <v/>
      </c>
      <c r="I95" s="27">
        <f>I94-I93</f>
        <v/>
      </c>
      <c r="J95" s="30">
        <f>SUM(D95:I95)</f>
        <v/>
      </c>
      <c r="K95" s="29">
        <f>K94-K93</f>
        <v/>
      </c>
      <c r="L95" s="24">
        <f>L94-L93</f>
        <v/>
      </c>
      <c r="M95" s="24">
        <f>M94-M93</f>
        <v/>
      </c>
      <c r="N95" s="24">
        <f>N94-N93</f>
        <v/>
      </c>
      <c r="O95" s="24">
        <f>O94-O93</f>
        <v/>
      </c>
      <c r="P95" s="27">
        <f>P94-P93</f>
        <v/>
      </c>
      <c r="Q95" s="30">
        <f>SUM(K95:P95)</f>
        <v/>
      </c>
      <c r="R95" s="30">
        <f>J95+Q95</f>
        <v/>
      </c>
      <c r="S95" s="17" t="n"/>
    </row>
    <row r="96" ht="18" customHeight="1" s="47" thickBot="1">
      <c r="A96" s="50" t="n"/>
      <c r="B96" s="53" t="n"/>
      <c r="C96" s="25" t="inlineStr">
        <is>
          <t>稼働棟数</t>
        </is>
      </c>
      <c r="D96" s="20" t="n"/>
      <c r="E96" s="20" t="n"/>
      <c r="F96" s="20" t="n"/>
      <c r="G96" s="20" t="n"/>
      <c r="H96" s="20" t="n"/>
      <c r="I96" s="28" t="n"/>
      <c r="J96" s="21">
        <f>I96</f>
        <v/>
      </c>
      <c r="K96" s="22" t="n"/>
      <c r="L96" s="20" t="n"/>
      <c r="M96" s="20" t="n"/>
      <c r="N96" s="20" t="n"/>
      <c r="O96" s="20" t="n"/>
      <c r="P96" s="28" t="n"/>
      <c r="Q96" s="21">
        <f>P96</f>
        <v/>
      </c>
      <c r="R96" s="21">
        <f>Q96</f>
        <v/>
      </c>
      <c r="S96" s="18" t="n"/>
    </row>
    <row r="97" ht="18" customHeight="1" s="47">
      <c r="A97" s="48" t="n">
        <v>14</v>
      </c>
      <c r="B97" s="51" t="inlineStr">
        <is>
          <t>ケイアイ
/加工BL</t>
        </is>
      </c>
      <c r="C97" s="31" t="inlineStr">
        <is>
          <t>58期</t>
        </is>
      </c>
      <c r="D97" s="8" t="n"/>
      <c r="E97" s="8" t="n"/>
      <c r="F97" s="8" t="n">
        <v>5.7</v>
      </c>
      <c r="G97" s="8" t="n">
        <v>11.46</v>
      </c>
      <c r="H97" s="8" t="n">
        <v>5.59</v>
      </c>
      <c r="I97" s="9" t="n">
        <v>3.4</v>
      </c>
      <c r="J97" s="10">
        <f>SUM(D97:I97)</f>
        <v/>
      </c>
      <c r="K97" s="11" t="n">
        <v>2.36</v>
      </c>
      <c r="L97" s="8" t="n">
        <v>2.22</v>
      </c>
      <c r="M97" s="8" t="n">
        <v>2.18</v>
      </c>
      <c r="N97" s="8" t="n">
        <v>1.82</v>
      </c>
      <c r="O97" s="8" t="n">
        <v>0.48</v>
      </c>
      <c r="P97" s="9" t="n">
        <v>1.18</v>
      </c>
      <c r="Q97" s="10">
        <f>SUM(K97:P97)</f>
        <v/>
      </c>
      <c r="R97" s="10">
        <f>J97+Q97</f>
        <v/>
      </c>
      <c r="S97" s="16" t="n"/>
    </row>
    <row r="98" ht="18" customHeight="1" s="47">
      <c r="A98" s="49" t="n"/>
      <c r="B98" s="52" t="n"/>
      <c r="C98" s="7" t="inlineStr">
        <is>
          <t>59期</t>
        </is>
      </c>
      <c r="D98" s="12" t="n">
        <v>2.48</v>
      </c>
      <c r="E98" s="12" t="n">
        <v>1.98</v>
      </c>
      <c r="F98" s="12" t="n">
        <v>0</v>
      </c>
      <c r="G98" s="12" t="n">
        <v>4.04</v>
      </c>
      <c r="H98" s="12" t="n"/>
      <c r="I98" s="13" t="n"/>
      <c r="J98" s="14">
        <f>SUM(D98:I98)</f>
        <v/>
      </c>
      <c r="K98" s="15" t="n"/>
      <c r="L98" s="12" t="n"/>
      <c r="M98" s="12" t="n"/>
      <c r="N98" s="12" t="n"/>
      <c r="O98" s="12" t="n"/>
      <c r="P98" s="13" t="n"/>
      <c r="Q98" s="14">
        <f>SUM(K98:P98)</f>
        <v/>
      </c>
      <c r="R98" s="14">
        <f>J98+Q98</f>
        <v/>
      </c>
      <c r="S98" s="17" t="n"/>
    </row>
    <row r="99" ht="18" customHeight="1" s="47">
      <c r="A99" s="49" t="n"/>
      <c r="B99" s="52" t="n"/>
      <c r="C99" s="23" t="inlineStr">
        <is>
          <t>増　減</t>
        </is>
      </c>
      <c r="D99" s="24">
        <f>D98-D97</f>
        <v/>
      </c>
      <c r="E99" s="24">
        <f>E98-E97</f>
        <v/>
      </c>
      <c r="F99" s="24">
        <f>F98-F97</f>
        <v/>
      </c>
      <c r="G99" s="24">
        <f>G98-G97</f>
        <v/>
      </c>
      <c r="H99" s="24">
        <f>H98-H97</f>
        <v/>
      </c>
      <c r="I99" s="27">
        <f>I98-I97</f>
        <v/>
      </c>
      <c r="J99" s="30">
        <f>SUM(D99:I99)</f>
        <v/>
      </c>
      <c r="K99" s="29">
        <f>K98-K97</f>
        <v/>
      </c>
      <c r="L99" s="24">
        <f>L98-L97</f>
        <v/>
      </c>
      <c r="M99" s="24">
        <f>M98-M97</f>
        <v/>
      </c>
      <c r="N99" s="24">
        <f>N98-N97</f>
        <v/>
      </c>
      <c r="O99" s="24">
        <f>O98-O97</f>
        <v/>
      </c>
      <c r="P99" s="27">
        <f>P98-P97</f>
        <v/>
      </c>
      <c r="Q99" s="30">
        <f>SUM(K99:P99)</f>
        <v/>
      </c>
      <c r="R99" s="30">
        <f>J99+Q99</f>
        <v/>
      </c>
      <c r="S99" s="17" t="n"/>
    </row>
    <row r="100" ht="18" customHeight="1" s="47" thickBot="1">
      <c r="A100" s="50" t="n"/>
      <c r="B100" s="53" t="n"/>
      <c r="C100" s="25" t="inlineStr">
        <is>
          <t>稼働棟数</t>
        </is>
      </c>
      <c r="D100" s="20" t="n"/>
      <c r="E100" s="20" t="n"/>
      <c r="F100" s="20" t="n"/>
      <c r="G100" s="20" t="n"/>
      <c r="H100" s="20" t="n"/>
      <c r="I100" s="28" t="n"/>
      <c r="J100" s="21">
        <f>I100</f>
        <v/>
      </c>
      <c r="K100" s="22" t="n"/>
      <c r="L100" s="20" t="n"/>
      <c r="M100" s="20" t="n"/>
      <c r="N100" s="20" t="n"/>
      <c r="O100" s="20" t="n"/>
      <c r="P100" s="28" t="n"/>
      <c r="Q100" s="21">
        <f>P100</f>
        <v/>
      </c>
      <c r="R100" s="21">
        <f>Q100</f>
        <v/>
      </c>
      <c r="S100" s="18" t="n"/>
    </row>
    <row r="101" ht="18" customHeight="1" s="47">
      <c r="A101" s="48" t="n">
        <v>14</v>
      </c>
      <c r="B101" s="51" t="inlineStr">
        <is>
          <t>ケイアイ
/加工イチゴ</t>
        </is>
      </c>
      <c r="C101" s="31" t="inlineStr">
        <is>
          <t>58期</t>
        </is>
      </c>
      <c r="D101" s="8" t="n"/>
      <c r="E101" s="8" t="n"/>
      <c r="F101" s="8" t="n"/>
      <c r="G101" s="8" t="n">
        <v>1.81</v>
      </c>
      <c r="H101" s="8" t="n">
        <v>2.79</v>
      </c>
      <c r="I101" s="9" t="n">
        <v>0.04</v>
      </c>
      <c r="J101" s="10">
        <f>SUM(D101:I101)</f>
        <v/>
      </c>
      <c r="K101" s="11" t="n">
        <v>1.2</v>
      </c>
      <c r="L101" s="8" t="n">
        <v>3.89</v>
      </c>
      <c r="M101" s="8" t="n"/>
      <c r="N101" s="8" t="n"/>
      <c r="O101" s="8" t="n"/>
      <c r="P101" s="9" t="n"/>
      <c r="Q101" s="10">
        <f>SUM(K101:P101)</f>
        <v/>
      </c>
      <c r="R101" s="10">
        <f>J101+Q101</f>
        <v/>
      </c>
      <c r="S101" s="16" t="n"/>
    </row>
    <row r="102" ht="18" customHeight="1" s="47">
      <c r="A102" s="49" t="n"/>
      <c r="B102" s="52" t="n"/>
      <c r="C102" s="7" t="inlineStr">
        <is>
          <t>59期</t>
        </is>
      </c>
      <c r="D102" s="12" t="n"/>
      <c r="E102" s="12" t="n"/>
      <c r="F102" s="12" t="n"/>
      <c r="G102" s="12" t="n"/>
      <c r="H102" s="12" t="n"/>
      <c r="I102" s="13" t="n"/>
      <c r="J102" s="14">
        <f>SUM(D102:I102)</f>
        <v/>
      </c>
      <c r="K102" s="15" t="n"/>
      <c r="L102" s="12" t="n"/>
      <c r="M102" s="12" t="n"/>
      <c r="N102" s="12" t="n"/>
      <c r="O102" s="12" t="n"/>
      <c r="P102" s="13" t="n"/>
      <c r="Q102" s="14">
        <f>SUM(K102:P102)</f>
        <v/>
      </c>
      <c r="R102" s="14">
        <f>J102+Q102</f>
        <v/>
      </c>
      <c r="S102" s="17" t="n"/>
    </row>
    <row r="103" ht="18" customHeight="1" s="47">
      <c r="A103" s="49" t="n"/>
      <c r="B103" s="52" t="n"/>
      <c r="C103" s="23" t="inlineStr">
        <is>
          <t>増　減</t>
        </is>
      </c>
      <c r="D103" s="24">
        <f>D102-D101</f>
        <v/>
      </c>
      <c r="E103" s="24">
        <f>E102-E101</f>
        <v/>
      </c>
      <c r="F103" s="24">
        <f>F102-F101</f>
        <v/>
      </c>
      <c r="G103" s="24">
        <f>G102-G101</f>
        <v/>
      </c>
      <c r="H103" s="24">
        <f>H102-H101</f>
        <v/>
      </c>
      <c r="I103" s="27">
        <f>I102-I101</f>
        <v/>
      </c>
      <c r="J103" s="30">
        <f>SUM(D103:I103)</f>
        <v/>
      </c>
      <c r="K103" s="29">
        <f>K102-K101</f>
        <v/>
      </c>
      <c r="L103" s="24">
        <f>L102-L101</f>
        <v/>
      </c>
      <c r="M103" s="24">
        <f>M102-M101</f>
        <v/>
      </c>
      <c r="N103" s="24">
        <f>N102-N101</f>
        <v/>
      </c>
      <c r="O103" s="24">
        <f>O102-O101</f>
        <v/>
      </c>
      <c r="P103" s="27">
        <f>P102-P101</f>
        <v/>
      </c>
      <c r="Q103" s="30">
        <f>SUM(K103:P103)</f>
        <v/>
      </c>
      <c r="R103" s="30">
        <f>J103+Q103</f>
        <v/>
      </c>
      <c r="S103" s="17" t="n"/>
    </row>
    <row r="104" ht="18" customHeight="1" s="47" thickBot="1">
      <c r="A104" s="50" t="n"/>
      <c r="B104" s="53" t="n"/>
      <c r="C104" s="25" t="inlineStr">
        <is>
          <t>稼働棟数</t>
        </is>
      </c>
      <c r="D104" s="20" t="n"/>
      <c r="E104" s="20" t="n"/>
      <c r="F104" s="20" t="n"/>
      <c r="G104" s="20" t="n"/>
      <c r="H104" s="20" t="n"/>
      <c r="I104" s="28" t="n"/>
      <c r="J104" s="21">
        <f>I104</f>
        <v/>
      </c>
      <c r="K104" s="22" t="n"/>
      <c r="L104" s="20" t="n"/>
      <c r="M104" s="20" t="n"/>
      <c r="N104" s="20" t="n"/>
      <c r="O104" s="20" t="n"/>
      <c r="P104" s="28" t="n"/>
      <c r="Q104" s="21">
        <f>P104</f>
        <v/>
      </c>
      <c r="R104" s="21">
        <f>Q104</f>
        <v/>
      </c>
      <c r="S104" s="18" t="n"/>
    </row>
    <row r="105" ht="18" customHeight="1" s="47">
      <c r="A105" s="48" t="n">
        <v>15</v>
      </c>
      <c r="B105" s="51" t="inlineStr">
        <is>
          <t>岡部
/加工BL</t>
        </is>
      </c>
      <c r="C105" s="31" t="inlineStr">
        <is>
          <t>58期</t>
        </is>
      </c>
      <c r="D105" s="8" t="n"/>
      <c r="E105" s="8" t="n"/>
      <c r="F105" s="8" t="n">
        <v>1.22</v>
      </c>
      <c r="G105" s="8" t="n">
        <v>0.774</v>
      </c>
      <c r="H105" s="8" t="n">
        <v>0.86</v>
      </c>
      <c r="I105" s="9" t="n">
        <v>1.22</v>
      </c>
      <c r="J105" s="10">
        <f>SUM(D105:I105)</f>
        <v/>
      </c>
      <c r="K105" s="11" t="n">
        <v>1.46</v>
      </c>
      <c r="L105" s="8" t="n">
        <v>1.82</v>
      </c>
      <c r="M105" s="8" t="n"/>
      <c r="N105" s="8" t="n"/>
      <c r="O105" s="8" t="n"/>
      <c r="P105" s="9" t="n"/>
      <c r="Q105" s="10">
        <f>SUM(K105:P105)</f>
        <v/>
      </c>
      <c r="R105" s="10">
        <f>J105+Q105</f>
        <v/>
      </c>
      <c r="S105" s="16" t="n"/>
    </row>
    <row r="106" ht="18" customHeight="1" s="47">
      <c r="A106" s="49" t="n"/>
      <c r="B106" s="52" t="n"/>
      <c r="C106" s="7" t="inlineStr">
        <is>
          <t>59期</t>
        </is>
      </c>
      <c r="D106" s="12" t="n">
        <v>0.5900000000000001</v>
      </c>
      <c r="E106" s="12" t="n"/>
      <c r="F106" s="12" t="n">
        <v>0</v>
      </c>
      <c r="G106" s="12" t="n">
        <v>1.64</v>
      </c>
      <c r="H106" s="12" t="n"/>
      <c r="I106" s="13" t="n"/>
      <c r="J106" s="14">
        <f>SUM(D106:I106)</f>
        <v/>
      </c>
      <c r="K106" s="15" t="n"/>
      <c r="L106" s="12" t="n"/>
      <c r="M106" s="12" t="n"/>
      <c r="N106" s="12" t="n"/>
      <c r="O106" s="12" t="n"/>
      <c r="P106" s="13" t="n"/>
      <c r="Q106" s="14">
        <f>SUM(K106:P106)</f>
        <v/>
      </c>
      <c r="R106" s="14">
        <f>J106+Q106</f>
        <v/>
      </c>
      <c r="S106" s="17" t="n"/>
    </row>
    <row r="107" ht="18" customHeight="1" s="47">
      <c r="A107" s="49" t="n"/>
      <c r="B107" s="52" t="n"/>
      <c r="C107" s="23" t="inlineStr">
        <is>
          <t>増　減</t>
        </is>
      </c>
      <c r="D107" s="24">
        <f>D106-D105</f>
        <v/>
      </c>
      <c r="E107" s="24">
        <f>E106-E105</f>
        <v/>
      </c>
      <c r="F107" s="24">
        <f>F106-F105</f>
        <v/>
      </c>
      <c r="G107" s="24">
        <f>G106-G105</f>
        <v/>
      </c>
      <c r="H107" s="24">
        <f>H106-H105</f>
        <v/>
      </c>
      <c r="I107" s="27">
        <f>I106-I105</f>
        <v/>
      </c>
      <c r="J107" s="30">
        <f>SUM(D107:I107)</f>
        <v/>
      </c>
      <c r="K107" s="29">
        <f>K106-K105</f>
        <v/>
      </c>
      <c r="L107" s="24">
        <f>L106-L105</f>
        <v/>
      </c>
      <c r="M107" s="24">
        <f>M106-M105</f>
        <v/>
      </c>
      <c r="N107" s="24">
        <f>N106-N105</f>
        <v/>
      </c>
      <c r="O107" s="24">
        <f>O106-O105</f>
        <v/>
      </c>
      <c r="P107" s="27">
        <f>P106-P105</f>
        <v/>
      </c>
      <c r="Q107" s="30">
        <f>SUM(K107:P107)</f>
        <v/>
      </c>
      <c r="R107" s="30">
        <f>J107+Q107</f>
        <v/>
      </c>
      <c r="S107" s="17" t="n"/>
    </row>
    <row r="108" ht="18" customHeight="1" s="47" thickBot="1">
      <c r="A108" s="50" t="n"/>
      <c r="B108" s="53" t="n"/>
      <c r="C108" s="25" t="inlineStr">
        <is>
          <t>稼働棟数</t>
        </is>
      </c>
      <c r="D108" s="20" t="n"/>
      <c r="E108" s="20" t="n"/>
      <c r="F108" s="20" t="n"/>
      <c r="G108" s="20" t="n"/>
      <c r="H108" s="20" t="n"/>
      <c r="I108" s="28" t="n"/>
      <c r="J108" s="21">
        <f>I108</f>
        <v/>
      </c>
      <c r="K108" s="22" t="n"/>
      <c r="L108" s="20" t="n"/>
      <c r="M108" s="20" t="n"/>
      <c r="N108" s="20" t="n"/>
      <c r="O108" s="20" t="n"/>
      <c r="P108" s="28" t="n"/>
      <c r="Q108" s="21">
        <f>P108</f>
        <v/>
      </c>
      <c r="R108" s="21">
        <f>Q108</f>
        <v/>
      </c>
      <c r="S108" s="18" t="n"/>
    </row>
    <row r="109" ht="18" customHeight="1" s="47">
      <c r="A109" s="48" t="n">
        <v>15</v>
      </c>
      <c r="B109" s="51" t="inlineStr">
        <is>
          <t>岡部
/加工イチゴ</t>
        </is>
      </c>
      <c r="C109" s="31" t="inlineStr">
        <is>
          <t>58期</t>
        </is>
      </c>
      <c r="D109" s="8" t="n"/>
      <c r="E109" s="8" t="n"/>
      <c r="F109" s="8" t="n"/>
      <c r="G109" s="8" t="n"/>
      <c r="H109" s="8" t="n">
        <v>0.42</v>
      </c>
      <c r="I109" s="9" t="n">
        <v>0.36</v>
      </c>
      <c r="J109" s="10">
        <f>SUM(D109:I109)</f>
        <v/>
      </c>
      <c r="K109" s="11" t="n">
        <v>1.16</v>
      </c>
      <c r="L109" s="8" t="n">
        <v>1.19</v>
      </c>
      <c r="M109" s="8" t="n"/>
      <c r="N109" s="8" t="n"/>
      <c r="O109" s="8" t="n"/>
      <c r="P109" s="9" t="n"/>
      <c r="Q109" s="10">
        <f>SUM(K109:P109)</f>
        <v/>
      </c>
      <c r="R109" s="10">
        <f>J109+Q109</f>
        <v/>
      </c>
      <c r="S109" s="16" t="n"/>
    </row>
    <row r="110" ht="18" customHeight="1" s="47">
      <c r="A110" s="49" t="n"/>
      <c r="B110" s="52" t="n"/>
      <c r="C110" s="7" t="inlineStr">
        <is>
          <t>59期</t>
        </is>
      </c>
      <c r="D110" s="12" t="n"/>
      <c r="E110" s="12" t="n"/>
      <c r="F110" s="12" t="n"/>
      <c r="G110" s="12" t="n"/>
      <c r="H110" s="12" t="n"/>
      <c r="I110" s="13" t="n"/>
      <c r="J110" s="14">
        <f>SUM(D110:I110)</f>
        <v/>
      </c>
      <c r="K110" s="15" t="n"/>
      <c r="L110" s="12" t="n"/>
      <c r="M110" s="12" t="n"/>
      <c r="N110" s="12" t="n"/>
      <c r="O110" s="12" t="n"/>
      <c r="P110" s="13" t="n"/>
      <c r="Q110" s="14">
        <f>SUM(K110:P110)</f>
        <v/>
      </c>
      <c r="R110" s="14">
        <f>J110+Q110</f>
        <v/>
      </c>
      <c r="S110" s="17" t="n"/>
    </row>
    <row r="111" ht="18" customHeight="1" s="47">
      <c r="A111" s="49" t="n"/>
      <c r="B111" s="52" t="n"/>
      <c r="C111" s="23" t="inlineStr">
        <is>
          <t>増　減</t>
        </is>
      </c>
      <c r="D111" s="24">
        <f>D110-D109</f>
        <v/>
      </c>
      <c r="E111" s="24">
        <f>E110-E109</f>
        <v/>
      </c>
      <c r="F111" s="24">
        <f>F110-F109</f>
        <v/>
      </c>
      <c r="G111" s="24">
        <f>G110-G109</f>
        <v/>
      </c>
      <c r="H111" s="24">
        <f>H110-H109</f>
        <v/>
      </c>
      <c r="I111" s="27">
        <f>I110-I109</f>
        <v/>
      </c>
      <c r="J111" s="30">
        <f>SUM(D111:I111)</f>
        <v/>
      </c>
      <c r="K111" s="29">
        <f>K110-K109</f>
        <v/>
      </c>
      <c r="L111" s="24">
        <f>L110-L109</f>
        <v/>
      </c>
      <c r="M111" s="24">
        <f>M110-M109</f>
        <v/>
      </c>
      <c r="N111" s="24">
        <f>N110-N109</f>
        <v/>
      </c>
      <c r="O111" s="24">
        <f>O110-O109</f>
        <v/>
      </c>
      <c r="P111" s="27">
        <f>P110-P109</f>
        <v/>
      </c>
      <c r="Q111" s="30">
        <f>SUM(K111:P111)</f>
        <v/>
      </c>
      <c r="R111" s="30">
        <f>J111+Q111</f>
        <v/>
      </c>
      <c r="S111" s="17" t="n"/>
    </row>
    <row r="112" ht="18" customHeight="1" s="47" thickBot="1">
      <c r="A112" s="50" t="n"/>
      <c r="B112" s="53" t="n"/>
      <c r="C112" s="25" t="inlineStr">
        <is>
          <t>稼働棟数</t>
        </is>
      </c>
      <c r="D112" s="20" t="n"/>
      <c r="E112" s="20" t="n"/>
      <c r="F112" s="20" t="n"/>
      <c r="G112" s="20" t="n"/>
      <c r="H112" s="20" t="n"/>
      <c r="I112" s="28" t="n"/>
      <c r="J112" s="21">
        <f>I112</f>
        <v/>
      </c>
      <c r="K112" s="22" t="n"/>
      <c r="L112" s="20" t="n"/>
      <c r="M112" s="20" t="n"/>
      <c r="N112" s="20" t="n"/>
      <c r="O112" s="20" t="n"/>
      <c r="P112" s="28" t="n"/>
      <c r="Q112" s="21">
        <f>P112</f>
        <v/>
      </c>
      <c r="R112" s="21">
        <f>Q112</f>
        <v/>
      </c>
      <c r="S112" s="18" t="n"/>
    </row>
    <row r="113" ht="18" customHeight="1" s="47">
      <c r="A113" s="48" t="n">
        <v>16</v>
      </c>
      <c r="B113" s="51" t="inlineStr">
        <is>
          <t>三和
/加工BL</t>
        </is>
      </c>
      <c r="C113" s="31" t="inlineStr">
        <is>
          <t>58期</t>
        </is>
      </c>
      <c r="D113" s="8" t="n"/>
      <c r="E113" s="8" t="n"/>
      <c r="F113" s="8" t="n">
        <v>1.16</v>
      </c>
      <c r="G113" s="8" t="n">
        <v>0.62</v>
      </c>
      <c r="H113" s="8" t="n"/>
      <c r="I113" s="9" t="n">
        <v>1.14</v>
      </c>
      <c r="J113" s="10">
        <f>SUM(D113:I113)</f>
        <v/>
      </c>
      <c r="K113" s="11" t="n">
        <v>1.02</v>
      </c>
      <c r="L113" s="8" t="n"/>
      <c r="M113" s="8" t="n"/>
      <c r="N113" s="8" t="n"/>
      <c r="O113" s="8" t="n"/>
      <c r="P113" s="9" t="n"/>
      <c r="Q113" s="10">
        <f>SUM(K113:P113)</f>
        <v/>
      </c>
      <c r="R113" s="10">
        <f>J113+Q113</f>
        <v/>
      </c>
      <c r="S113" s="16" t="n"/>
    </row>
    <row r="114" ht="18" customHeight="1" s="47">
      <c r="A114" s="49" t="n"/>
      <c r="B114" s="52" t="n"/>
      <c r="C114" s="7" t="inlineStr">
        <is>
          <t>59期</t>
        </is>
      </c>
      <c r="D114" s="12" t="n"/>
      <c r="E114" s="12" t="n"/>
      <c r="F114" s="12" t="n"/>
      <c r="G114" s="12" t="n">
        <v>2.32</v>
      </c>
      <c r="H114" s="12" t="n"/>
      <c r="I114" s="13" t="n"/>
      <c r="J114" s="14">
        <f>SUM(D114:I114)</f>
        <v/>
      </c>
      <c r="K114" s="15" t="n"/>
      <c r="L114" s="12" t="n"/>
      <c r="M114" s="12" t="n"/>
      <c r="N114" s="12" t="n"/>
      <c r="O114" s="12" t="n"/>
      <c r="P114" s="13" t="n"/>
      <c r="Q114" s="14">
        <f>SUM(K114:P114)</f>
        <v/>
      </c>
      <c r="R114" s="14">
        <f>J114+Q114</f>
        <v/>
      </c>
      <c r="S114" s="17" t="n"/>
    </row>
    <row r="115" ht="18" customHeight="1" s="47">
      <c r="A115" s="49" t="n"/>
      <c r="B115" s="52" t="n"/>
      <c r="C115" s="23" t="inlineStr">
        <is>
          <t>増　減</t>
        </is>
      </c>
      <c r="D115" s="24">
        <f>D114-D113</f>
        <v/>
      </c>
      <c r="E115" s="24">
        <f>E114-E113</f>
        <v/>
      </c>
      <c r="F115" s="24">
        <f>F114-F113</f>
        <v/>
      </c>
      <c r="G115" s="24">
        <f>G114-G113</f>
        <v/>
      </c>
      <c r="H115" s="24">
        <f>H114-H113</f>
        <v/>
      </c>
      <c r="I115" s="27">
        <f>I114-I113</f>
        <v/>
      </c>
      <c r="J115" s="30">
        <f>SUM(D115:I115)</f>
        <v/>
      </c>
      <c r="K115" s="29">
        <f>K114-K113</f>
        <v/>
      </c>
      <c r="L115" s="24">
        <f>L114-L113</f>
        <v/>
      </c>
      <c r="M115" s="24">
        <f>M114-M113</f>
        <v/>
      </c>
      <c r="N115" s="24">
        <f>N114-N113</f>
        <v/>
      </c>
      <c r="O115" s="24">
        <f>O114-O113</f>
        <v/>
      </c>
      <c r="P115" s="27">
        <f>P114-P113</f>
        <v/>
      </c>
      <c r="Q115" s="30">
        <f>SUM(K115:P115)</f>
        <v/>
      </c>
      <c r="R115" s="30">
        <f>J115+Q115</f>
        <v/>
      </c>
      <c r="S115" s="17" t="n"/>
    </row>
    <row r="116" ht="18" customHeight="1" s="47" thickBot="1">
      <c r="A116" s="50" t="n"/>
      <c r="B116" s="53" t="n"/>
      <c r="C116" s="25" t="inlineStr">
        <is>
          <t>稼働棟数</t>
        </is>
      </c>
      <c r="D116" s="20" t="n"/>
      <c r="E116" s="20" t="n"/>
      <c r="F116" s="20" t="n"/>
      <c r="G116" s="20" t="n"/>
      <c r="H116" s="20" t="n"/>
      <c r="I116" s="28" t="n"/>
      <c r="J116" s="21">
        <f>I116</f>
        <v/>
      </c>
      <c r="K116" s="22" t="n"/>
      <c r="L116" s="20" t="n"/>
      <c r="M116" s="20" t="n"/>
      <c r="N116" s="20" t="n"/>
      <c r="O116" s="20" t="n"/>
      <c r="P116" s="28" t="n"/>
      <c r="Q116" s="21">
        <f>P116</f>
        <v/>
      </c>
      <c r="R116" s="21">
        <f>Q116</f>
        <v/>
      </c>
      <c r="S116" s="18" t="n"/>
    </row>
    <row r="117" ht="18" customHeight="1" s="47">
      <c r="A117" s="48" t="n">
        <v>16</v>
      </c>
      <c r="B117" s="51" t="inlineStr">
        <is>
          <t>三和
/加工イチゴ</t>
        </is>
      </c>
      <c r="C117" s="31" t="inlineStr">
        <is>
          <t>58期</t>
        </is>
      </c>
      <c r="D117" s="8" t="n"/>
      <c r="E117" s="8" t="n"/>
      <c r="F117" s="8" t="n"/>
      <c r="G117" s="8" t="n"/>
      <c r="H117" s="8" t="n">
        <v>0.85</v>
      </c>
      <c r="I117" s="9" t="n">
        <v>0.66</v>
      </c>
      <c r="J117" s="10">
        <f>SUM(D117:I117)</f>
        <v/>
      </c>
      <c r="K117" s="11" t="n"/>
      <c r="L117" s="8" t="n">
        <v>1.59</v>
      </c>
      <c r="M117" s="8" t="n"/>
      <c r="N117" s="8" t="n"/>
      <c r="O117" s="8" t="n"/>
      <c r="P117" s="9" t="n"/>
      <c r="Q117" s="10">
        <f>SUM(K117:P117)</f>
        <v/>
      </c>
      <c r="R117" s="10">
        <f>J117+Q117</f>
        <v/>
      </c>
      <c r="S117" s="16" t="n"/>
    </row>
    <row r="118" ht="18" customHeight="1" s="47">
      <c r="A118" s="49" t="n"/>
      <c r="B118" s="52" t="n"/>
      <c r="C118" s="7" t="inlineStr">
        <is>
          <t>59期</t>
        </is>
      </c>
      <c r="D118" s="12" t="n"/>
      <c r="E118" s="12" t="n"/>
      <c r="F118" s="12" t="n"/>
      <c r="G118" s="12" t="n"/>
      <c r="H118" s="12" t="n"/>
      <c r="I118" s="13" t="n"/>
      <c r="J118" s="14">
        <f>SUM(D118:I118)</f>
        <v/>
      </c>
      <c r="K118" s="15" t="n"/>
      <c r="L118" s="12" t="n"/>
      <c r="M118" s="12" t="n"/>
      <c r="N118" s="12" t="n"/>
      <c r="O118" s="12" t="n"/>
      <c r="P118" s="13" t="n"/>
      <c r="Q118" s="14">
        <f>SUM(K118:P118)</f>
        <v/>
      </c>
      <c r="R118" s="14">
        <f>J118+Q118</f>
        <v/>
      </c>
      <c r="S118" s="17" t="n"/>
    </row>
    <row r="119" ht="18" customHeight="1" s="47">
      <c r="A119" s="49" t="n"/>
      <c r="B119" s="52" t="n"/>
      <c r="C119" s="23" t="inlineStr">
        <is>
          <t>増　減</t>
        </is>
      </c>
      <c r="D119" s="24">
        <f>D118-D117</f>
        <v/>
      </c>
      <c r="E119" s="24">
        <f>E118-E117</f>
        <v/>
      </c>
      <c r="F119" s="24">
        <f>F118-F117</f>
        <v/>
      </c>
      <c r="G119" s="24">
        <f>G118-G117</f>
        <v/>
      </c>
      <c r="H119" s="24">
        <f>H118-H117</f>
        <v/>
      </c>
      <c r="I119" s="27">
        <f>I118-I117</f>
        <v/>
      </c>
      <c r="J119" s="30">
        <f>SUM(D119:I119)</f>
        <v/>
      </c>
      <c r="K119" s="29">
        <f>K118-K117</f>
        <v/>
      </c>
      <c r="L119" s="24">
        <f>L118-L117</f>
        <v/>
      </c>
      <c r="M119" s="24">
        <f>M118-M117</f>
        <v/>
      </c>
      <c r="N119" s="24">
        <f>N118-N117</f>
        <v/>
      </c>
      <c r="O119" s="24">
        <f>O118-O117</f>
        <v/>
      </c>
      <c r="P119" s="27">
        <f>P118-P117</f>
        <v/>
      </c>
      <c r="Q119" s="30">
        <f>SUM(K119:P119)</f>
        <v/>
      </c>
      <c r="R119" s="30">
        <f>J119+Q119</f>
        <v/>
      </c>
      <c r="S119" s="17" t="n"/>
    </row>
    <row r="120" ht="18" customHeight="1" s="47" thickBot="1">
      <c r="A120" s="50" t="n"/>
      <c r="B120" s="53" t="n"/>
      <c r="C120" s="25" t="inlineStr">
        <is>
          <t>稼働棟数</t>
        </is>
      </c>
      <c r="D120" s="20" t="n"/>
      <c r="E120" s="20" t="n"/>
      <c r="F120" s="20" t="n"/>
      <c r="G120" s="20" t="n"/>
      <c r="H120" s="20" t="n"/>
      <c r="I120" s="28" t="n"/>
      <c r="J120" s="21">
        <f>I120</f>
        <v/>
      </c>
      <c r="K120" s="22" t="n"/>
      <c r="L120" s="20" t="n"/>
      <c r="M120" s="20" t="n"/>
      <c r="N120" s="20" t="n"/>
      <c r="O120" s="20" t="n"/>
      <c r="P120" s="28" t="n"/>
      <c r="Q120" s="21">
        <f>P120</f>
        <v/>
      </c>
      <c r="R120" s="21">
        <f>Q120</f>
        <v/>
      </c>
      <c r="S120" s="18" t="n"/>
    </row>
    <row r="121" ht="18" customHeight="1" s="47" thickBot="1">
      <c r="A121" s="48" t="n">
        <v>17</v>
      </c>
      <c r="B121" s="51" t="inlineStr">
        <is>
          <t>慈誠会
/加工BL</t>
        </is>
      </c>
      <c r="C121" s="31" t="inlineStr">
        <is>
          <t>58期</t>
        </is>
      </c>
      <c r="D121" s="8" t="n"/>
      <c r="E121" s="8" t="n"/>
      <c r="F121" s="8" t="n">
        <v>1.04</v>
      </c>
      <c r="G121" s="8" t="n">
        <v>2.82</v>
      </c>
      <c r="H121" s="8" t="n">
        <v>3.42</v>
      </c>
      <c r="I121" s="9" t="n">
        <v>3.48</v>
      </c>
      <c r="J121" s="10">
        <f>SUM(D121:I121)</f>
        <v/>
      </c>
      <c r="K121" s="11" t="n">
        <v>2.82</v>
      </c>
      <c r="L121" s="8" t="n">
        <v>2.48</v>
      </c>
      <c r="M121" s="8" t="n">
        <v>0.9</v>
      </c>
      <c r="N121" s="8" t="n"/>
      <c r="O121" s="8" t="n"/>
      <c r="P121" s="9" t="n"/>
      <c r="Q121" s="10">
        <f>SUM(K121:P121)</f>
        <v/>
      </c>
      <c r="R121" s="10">
        <f>J121+Q121</f>
        <v/>
      </c>
      <c r="S121" s="16" t="n"/>
    </row>
    <row r="122" ht="18" customHeight="1" s="47">
      <c r="A122" s="49" t="n"/>
      <c r="B122" s="52" t="n"/>
      <c r="C122" s="7" t="inlineStr">
        <is>
          <t>59期</t>
        </is>
      </c>
      <c r="D122" s="12" t="n"/>
      <c r="E122" s="12" t="n"/>
      <c r="F122" s="12" t="n"/>
      <c r="G122" s="12" t="n"/>
      <c r="H122" s="12" t="n"/>
      <c r="I122" s="13" t="n"/>
      <c r="J122" s="14">
        <f>SUM(D122:I122)</f>
        <v/>
      </c>
      <c r="K122" s="15" t="n"/>
      <c r="L122" s="12" t="n"/>
      <c r="M122" s="12" t="n"/>
      <c r="N122" s="8" t="n"/>
      <c r="O122" s="12" t="n"/>
      <c r="P122" s="13" t="n"/>
      <c r="Q122" s="14">
        <f>SUM(K122:P122)</f>
        <v/>
      </c>
      <c r="R122" s="14">
        <f>J122+Q122</f>
        <v/>
      </c>
      <c r="S122" s="17" t="n"/>
    </row>
    <row r="123" ht="18" customHeight="1" s="47">
      <c r="A123" s="49" t="n"/>
      <c r="B123" s="52" t="n"/>
      <c r="C123" s="23" t="inlineStr">
        <is>
          <t>増　減</t>
        </is>
      </c>
      <c r="D123" s="24">
        <f>D122-D121</f>
        <v/>
      </c>
      <c r="E123" s="24">
        <f>E122-E121</f>
        <v/>
      </c>
      <c r="F123" s="24">
        <f>F122-F121</f>
        <v/>
      </c>
      <c r="G123" s="24">
        <f>G122-G121</f>
        <v/>
      </c>
      <c r="H123" s="24">
        <f>H122-H121</f>
        <v/>
      </c>
      <c r="I123" s="27">
        <f>I122-I121</f>
        <v/>
      </c>
      <c r="J123" s="30">
        <f>SUM(D123:I123)</f>
        <v/>
      </c>
      <c r="K123" s="29">
        <f>K122-K121</f>
        <v/>
      </c>
      <c r="L123" s="46">
        <f>L122-L121</f>
        <v/>
      </c>
      <c r="M123" s="24">
        <f>M122-M121</f>
        <v/>
      </c>
      <c r="N123" s="24">
        <f>N122-N121</f>
        <v/>
      </c>
      <c r="O123" s="24">
        <f>O122-O121</f>
        <v/>
      </c>
      <c r="P123" s="27">
        <f>P122-P121</f>
        <v/>
      </c>
      <c r="Q123" s="30">
        <f>SUM(K123:P123)</f>
        <v/>
      </c>
      <c r="R123" s="30">
        <f>J123+Q123</f>
        <v/>
      </c>
      <c r="S123" s="17" t="n"/>
    </row>
    <row r="124" ht="18" customHeight="1" s="47" thickBot="1">
      <c r="A124" s="50" t="n"/>
      <c r="B124" s="53" t="n"/>
      <c r="C124" s="25" t="inlineStr">
        <is>
          <t>稼働棟数</t>
        </is>
      </c>
      <c r="D124" s="20" t="n"/>
      <c r="E124" s="20" t="n"/>
      <c r="F124" s="20" t="n"/>
      <c r="G124" s="20" t="n"/>
      <c r="H124" s="20" t="n"/>
      <c r="I124" s="28" t="n"/>
      <c r="J124" s="21">
        <f>I124</f>
        <v/>
      </c>
      <c r="K124" s="22" t="n"/>
      <c r="L124" s="20" t="n"/>
      <c r="M124" s="20" t="n"/>
      <c r="N124" s="20" t="n"/>
      <c r="O124" s="20" t="n"/>
      <c r="P124" s="28" t="n"/>
      <c r="Q124" s="21">
        <f>P124</f>
        <v/>
      </c>
      <c r="R124" s="21">
        <f>Q124</f>
        <v/>
      </c>
      <c r="S124" s="18" t="n"/>
    </row>
    <row r="125" ht="18" customHeight="1" s="47">
      <c r="A125" s="48" t="n">
        <v>17</v>
      </c>
      <c r="B125" s="51" t="inlineStr">
        <is>
          <t>慈誠会
/加工イチゴ</t>
        </is>
      </c>
      <c r="C125" s="31" t="inlineStr">
        <is>
          <t>58期</t>
        </is>
      </c>
      <c r="D125" s="8" t="n"/>
      <c r="E125" s="8" t="n"/>
      <c r="F125" s="8" t="n"/>
      <c r="G125" s="8" t="n">
        <v>0.87</v>
      </c>
      <c r="H125" s="8" t="n">
        <v>1.02</v>
      </c>
      <c r="I125" s="9" t="n">
        <v>0.3</v>
      </c>
      <c r="J125" s="10">
        <f>SUM(D125:I125)</f>
        <v/>
      </c>
      <c r="K125" s="11" t="n">
        <v>0.54</v>
      </c>
      <c r="L125" s="8" t="n">
        <v>1.53</v>
      </c>
      <c r="M125" s="8" t="n"/>
      <c r="N125" s="8" t="n"/>
      <c r="O125" s="8" t="n"/>
      <c r="P125" s="9" t="n"/>
      <c r="Q125" s="10">
        <f>SUM(K125:P125)</f>
        <v/>
      </c>
      <c r="R125" s="10">
        <f>J125+Q125</f>
        <v/>
      </c>
      <c r="S125" s="16" t="n"/>
    </row>
    <row r="126" ht="18" customHeight="1" s="47">
      <c r="A126" s="49" t="n"/>
      <c r="B126" s="52" t="n"/>
      <c r="C126" s="7" t="inlineStr">
        <is>
          <t>59期</t>
        </is>
      </c>
      <c r="D126" s="12" t="n"/>
      <c r="E126" s="12" t="n"/>
      <c r="F126" s="12" t="n"/>
      <c r="G126" s="12" t="n"/>
      <c r="H126" s="12" t="n"/>
      <c r="I126" s="13" t="n"/>
      <c r="J126" s="14">
        <f>SUM(D126:I126)</f>
        <v/>
      </c>
      <c r="K126" s="15" t="n"/>
      <c r="L126" s="12" t="n"/>
      <c r="M126" s="12" t="n"/>
      <c r="N126" s="12" t="n"/>
      <c r="O126" s="12" t="n"/>
      <c r="P126" s="13" t="n"/>
      <c r="Q126" s="14">
        <f>SUM(K126:P126)</f>
        <v/>
      </c>
      <c r="R126" s="14">
        <f>J126+Q126</f>
        <v/>
      </c>
      <c r="S126" s="17" t="n"/>
    </row>
    <row r="127" ht="18" customHeight="1" s="47">
      <c r="A127" s="49" t="n"/>
      <c r="B127" s="52" t="n"/>
      <c r="C127" s="23" t="inlineStr">
        <is>
          <t>増　減</t>
        </is>
      </c>
      <c r="D127" s="24">
        <f>D126-D125</f>
        <v/>
      </c>
      <c r="E127" s="24">
        <f>E126-E125</f>
        <v/>
      </c>
      <c r="F127" s="24">
        <f>F126-F125</f>
        <v/>
      </c>
      <c r="G127" s="24">
        <f>G126-G125</f>
        <v/>
      </c>
      <c r="H127" s="24">
        <f>H126-H125</f>
        <v/>
      </c>
      <c r="I127" s="27">
        <f>I126-I125</f>
        <v/>
      </c>
      <c r="J127" s="30">
        <f>SUM(D127:I127)</f>
        <v/>
      </c>
      <c r="K127" s="29">
        <f>K126-K125</f>
        <v/>
      </c>
      <c r="L127" s="24">
        <f>L126-L125</f>
        <v/>
      </c>
      <c r="M127" s="24">
        <f>M126-M125</f>
        <v/>
      </c>
      <c r="N127" s="24">
        <f>N126-N125</f>
        <v/>
      </c>
      <c r="O127" s="24">
        <f>O126-O125</f>
        <v/>
      </c>
      <c r="P127" s="27">
        <f>P126-P125</f>
        <v/>
      </c>
      <c r="Q127" s="30">
        <f>SUM(K127:P127)</f>
        <v/>
      </c>
      <c r="R127" s="30">
        <f>J127+Q127</f>
        <v/>
      </c>
      <c r="S127" s="17" t="n"/>
    </row>
    <row r="128" ht="18" customHeight="1" s="47" thickBot="1">
      <c r="A128" s="50" t="n"/>
      <c r="B128" s="53" t="n"/>
      <c r="C128" s="25" t="inlineStr">
        <is>
          <t>稼働棟数</t>
        </is>
      </c>
      <c r="D128" s="20" t="n"/>
      <c r="E128" s="20" t="n"/>
      <c r="F128" s="20" t="n"/>
      <c r="G128" s="20" t="n"/>
      <c r="H128" s="20" t="n"/>
      <c r="I128" s="28" t="n"/>
      <c r="J128" s="21">
        <f>I128</f>
        <v/>
      </c>
      <c r="K128" s="22" t="n"/>
      <c r="L128" s="20" t="n"/>
      <c r="M128" s="20" t="n"/>
      <c r="N128" s="20" t="n"/>
      <c r="O128" s="20" t="n"/>
      <c r="P128" s="28" t="n"/>
      <c r="Q128" s="21">
        <f>P128</f>
        <v/>
      </c>
      <c r="R128" s="21">
        <f>Q128</f>
        <v/>
      </c>
      <c r="S128" s="18" t="n"/>
    </row>
    <row r="129" ht="18" customHeight="1" s="47">
      <c r="A129" s="48" t="n">
        <v>18</v>
      </c>
      <c r="B129" s="51" t="inlineStr">
        <is>
          <t>富士機械
/加工BL</t>
        </is>
      </c>
      <c r="C129" s="31" t="inlineStr">
        <is>
          <t>58期</t>
        </is>
      </c>
      <c r="D129" s="8" t="n"/>
      <c r="E129" s="8" t="n"/>
      <c r="F129" s="8" t="n">
        <v>0.76</v>
      </c>
      <c r="G129" s="8" t="n">
        <v>0.6</v>
      </c>
      <c r="H129" s="8" t="n"/>
      <c r="I129" s="9" t="n">
        <v>0.86</v>
      </c>
      <c r="J129" s="10">
        <f>SUM(D129:I129)</f>
        <v/>
      </c>
      <c r="K129" s="11" t="n">
        <v>0.48</v>
      </c>
      <c r="L129" s="8" t="n">
        <v>1.5</v>
      </c>
      <c r="M129" s="8" t="n"/>
      <c r="N129" s="8" t="n"/>
      <c r="O129" s="8" t="n"/>
      <c r="P129" s="9" t="n"/>
      <c r="Q129" s="10">
        <f>SUM(K129:P129)</f>
        <v/>
      </c>
      <c r="R129" s="10">
        <f>J129+Q129</f>
        <v/>
      </c>
      <c r="S129" s="16" t="n"/>
    </row>
    <row r="130" ht="18" customHeight="1" s="47">
      <c r="A130" s="49" t="n"/>
      <c r="B130" s="52" t="n"/>
      <c r="C130" s="7" t="inlineStr">
        <is>
          <t>59期</t>
        </is>
      </c>
      <c r="D130" s="12" t="n"/>
      <c r="E130" s="12" t="n"/>
      <c r="F130" s="12" t="n"/>
      <c r="G130" s="12" t="n"/>
      <c r="H130" s="12" t="n"/>
      <c r="I130" s="13" t="n"/>
      <c r="J130" s="14">
        <f>SUM(D130:I130)</f>
        <v/>
      </c>
      <c r="K130" s="15" t="n"/>
      <c r="L130" s="12" t="n"/>
      <c r="M130" s="12" t="n"/>
      <c r="N130" s="12" t="n"/>
      <c r="O130" s="12" t="n"/>
      <c r="P130" s="13" t="n"/>
      <c r="Q130" s="14">
        <f>SUM(K130:P130)</f>
        <v/>
      </c>
      <c r="R130" s="14">
        <f>J130+Q130</f>
        <v/>
      </c>
      <c r="S130" s="17" t="n"/>
    </row>
    <row r="131" ht="18" customHeight="1" s="47">
      <c r="A131" s="49" t="n"/>
      <c r="B131" s="52" t="n"/>
      <c r="C131" s="23" t="inlineStr">
        <is>
          <t>増　減</t>
        </is>
      </c>
      <c r="D131" s="24">
        <f>D130-D129</f>
        <v/>
      </c>
      <c r="E131" s="24">
        <f>E130-E129</f>
        <v/>
      </c>
      <c r="F131" s="24">
        <f>F130-F129</f>
        <v/>
      </c>
      <c r="G131" s="24">
        <f>G130-G129</f>
        <v/>
      </c>
      <c r="H131" s="24">
        <f>H130-H129</f>
        <v/>
      </c>
      <c r="I131" s="27">
        <f>I130-I129</f>
        <v/>
      </c>
      <c r="J131" s="30">
        <f>SUM(D131:I131)</f>
        <v/>
      </c>
      <c r="K131" s="29">
        <f>K130-K129</f>
        <v/>
      </c>
      <c r="L131" s="24">
        <f>L130-L129</f>
        <v/>
      </c>
      <c r="M131" s="24">
        <f>M130-M129</f>
        <v/>
      </c>
      <c r="N131" s="24">
        <f>N130-N129</f>
        <v/>
      </c>
      <c r="O131" s="24">
        <f>O130-O129</f>
        <v/>
      </c>
      <c r="P131" s="27">
        <f>P130-P129</f>
        <v/>
      </c>
      <c r="Q131" s="30">
        <f>SUM(K131:P131)</f>
        <v/>
      </c>
      <c r="R131" s="30">
        <f>J131+Q131</f>
        <v/>
      </c>
      <c r="S131" s="17" t="n"/>
    </row>
    <row r="132" ht="18" customHeight="1" s="47" thickBot="1">
      <c r="A132" s="50" t="n"/>
      <c r="B132" s="53" t="n"/>
      <c r="C132" s="25" t="inlineStr">
        <is>
          <t>稼働棟数</t>
        </is>
      </c>
      <c r="D132" s="20" t="n"/>
      <c r="E132" s="20" t="n"/>
      <c r="F132" s="20" t="n"/>
      <c r="G132" s="20" t="n"/>
      <c r="H132" s="20" t="n"/>
      <c r="I132" s="28" t="n"/>
      <c r="J132" s="21">
        <f>I132</f>
        <v/>
      </c>
      <c r="K132" s="22" t="n"/>
      <c r="L132" s="20" t="n"/>
      <c r="M132" s="20" t="n"/>
      <c r="N132" s="20" t="n"/>
      <c r="O132" s="20" t="n"/>
      <c r="P132" s="28" t="n"/>
      <c r="Q132" s="21">
        <f>P132</f>
        <v/>
      </c>
      <c r="R132" s="21">
        <f>Q132</f>
        <v/>
      </c>
      <c r="S132" s="18" t="n"/>
    </row>
    <row r="133" ht="18" customHeight="1" s="47">
      <c r="A133" s="48" t="n">
        <v>18</v>
      </c>
      <c r="B133" s="51" t="inlineStr">
        <is>
          <t>富士機械
/加工イチゴ</t>
        </is>
      </c>
      <c r="C133" s="31" t="inlineStr">
        <is>
          <t>58期</t>
        </is>
      </c>
      <c r="D133" s="8" t="n"/>
      <c r="E133" s="8" t="n"/>
      <c r="F133" s="8" t="n"/>
      <c r="G133" s="8" t="n"/>
      <c r="H133" s="8" t="n">
        <v>7.5</v>
      </c>
      <c r="I133" s="9" t="n">
        <v>4.98</v>
      </c>
      <c r="J133" s="10">
        <f>SUM(D133:I133)</f>
        <v/>
      </c>
      <c r="K133" s="11" t="n">
        <v>6.13</v>
      </c>
      <c r="L133" s="8" t="n">
        <v>1.53</v>
      </c>
      <c r="M133" s="8" t="n"/>
      <c r="N133" s="8" t="n"/>
      <c r="O133" s="8" t="n"/>
      <c r="P133" s="9" t="n"/>
      <c r="Q133" s="10">
        <f>SUM(K133:P133)</f>
        <v/>
      </c>
      <c r="R133" s="10">
        <f>J133+Q133</f>
        <v/>
      </c>
      <c r="S133" s="16" t="n"/>
    </row>
    <row r="134" ht="18" customHeight="1" s="47">
      <c r="A134" s="49" t="n"/>
      <c r="B134" s="52" t="n"/>
      <c r="C134" s="7" t="inlineStr">
        <is>
          <t>59期</t>
        </is>
      </c>
      <c r="D134" s="12" t="n"/>
      <c r="E134" s="12" t="n"/>
      <c r="F134" s="12" t="n"/>
      <c r="G134" s="12" t="n"/>
      <c r="H134" s="12" t="n"/>
      <c r="I134" s="13" t="n"/>
      <c r="J134" s="14">
        <f>SUM(D134:I134)</f>
        <v/>
      </c>
      <c r="K134" s="15" t="n"/>
      <c r="L134" s="12" t="n"/>
      <c r="M134" s="12" t="n"/>
      <c r="N134" s="12" t="n"/>
      <c r="O134" s="12" t="n"/>
      <c r="P134" s="13" t="n"/>
      <c r="Q134" s="14">
        <f>SUM(K134:P134)</f>
        <v/>
      </c>
      <c r="R134" s="14">
        <f>J134+Q134</f>
        <v/>
      </c>
      <c r="S134" s="17" t="n"/>
    </row>
    <row r="135" ht="18" customHeight="1" s="47">
      <c r="A135" s="49" t="n"/>
      <c r="B135" s="52" t="n"/>
      <c r="C135" s="23" t="inlineStr">
        <is>
          <t>増　減</t>
        </is>
      </c>
      <c r="D135" s="24">
        <f>D134-D133</f>
        <v/>
      </c>
      <c r="E135" s="24">
        <f>E134-E133</f>
        <v/>
      </c>
      <c r="F135" s="24">
        <f>F134-F133</f>
        <v/>
      </c>
      <c r="G135" s="24">
        <f>G134-G133</f>
        <v/>
      </c>
      <c r="H135" s="24">
        <f>H134-H133</f>
        <v/>
      </c>
      <c r="I135" s="27">
        <f>I134-I133</f>
        <v/>
      </c>
      <c r="J135" s="30">
        <f>SUM(D135:I135)</f>
        <v/>
      </c>
      <c r="K135" s="29">
        <f>K134-K133</f>
        <v/>
      </c>
      <c r="L135" s="24">
        <f>L134-L133</f>
        <v/>
      </c>
      <c r="M135" s="24">
        <f>M134-M133</f>
        <v/>
      </c>
      <c r="N135" s="24">
        <f>N134-N133</f>
        <v/>
      </c>
      <c r="O135" s="24">
        <f>O134-O133</f>
        <v/>
      </c>
      <c r="P135" s="27">
        <f>P134-P133</f>
        <v/>
      </c>
      <c r="Q135" s="30">
        <f>SUM(K135:P135)</f>
        <v/>
      </c>
      <c r="R135" s="30">
        <f>J135+Q135</f>
        <v/>
      </c>
      <c r="S135" s="17" t="n"/>
    </row>
    <row r="136" ht="18" customHeight="1" s="47" thickBot="1">
      <c r="A136" s="50" t="n"/>
      <c r="B136" s="53" t="n"/>
      <c r="C136" s="25" t="inlineStr">
        <is>
          <t>稼働棟数</t>
        </is>
      </c>
      <c r="D136" s="20" t="n"/>
      <c r="E136" s="20" t="n"/>
      <c r="F136" s="20" t="n"/>
      <c r="G136" s="20" t="n"/>
      <c r="H136" s="20" t="n"/>
      <c r="I136" s="28" t="n"/>
      <c r="J136" s="21">
        <f>I136</f>
        <v/>
      </c>
      <c r="K136" s="22" t="n"/>
      <c r="L136" s="20" t="n"/>
      <c r="M136" s="20" t="n"/>
      <c r="N136" s="20" t="n"/>
      <c r="O136" s="20" t="n"/>
      <c r="P136" s="28" t="n"/>
      <c r="Q136" s="21">
        <f>P136</f>
        <v/>
      </c>
      <c r="R136" s="21">
        <f>Q136</f>
        <v/>
      </c>
      <c r="S136" s="18" t="n"/>
    </row>
    <row r="137" ht="18" customHeight="1" s="47">
      <c r="A137" s="48" t="n">
        <v>19</v>
      </c>
      <c r="B137" s="51" t="inlineStr">
        <is>
          <t>サンテレホン
/加工BL</t>
        </is>
      </c>
      <c r="C137" s="31" t="inlineStr">
        <is>
          <t>58期</t>
        </is>
      </c>
      <c r="D137" s="8" t="n"/>
      <c r="E137" s="8" t="n"/>
      <c r="F137" s="8" t="n">
        <v>1.17</v>
      </c>
      <c r="G137" s="8" t="n">
        <v>1.82</v>
      </c>
      <c r="H137" s="8" t="n">
        <v>1.08</v>
      </c>
      <c r="I137" s="9" t="n">
        <v>3.8</v>
      </c>
      <c r="J137" s="10">
        <f>SUM(D137:I137)</f>
        <v/>
      </c>
      <c r="K137" s="11" t="n">
        <v>1.36</v>
      </c>
      <c r="L137" s="8" t="n"/>
      <c r="M137" s="8" t="n">
        <v>1.54</v>
      </c>
      <c r="N137" s="8" t="n"/>
      <c r="O137" s="8" t="n"/>
      <c r="P137" s="9" t="n"/>
      <c r="Q137" s="10">
        <f>SUM(K137:P137)</f>
        <v/>
      </c>
      <c r="R137" s="10">
        <f>J137+Q137</f>
        <v/>
      </c>
      <c r="S137" s="16" t="n"/>
    </row>
    <row r="138" ht="18" customHeight="1" s="47">
      <c r="A138" s="49" t="n"/>
      <c r="B138" s="52" t="n"/>
      <c r="C138" s="7" t="inlineStr">
        <is>
          <t>59期</t>
        </is>
      </c>
      <c r="D138" s="12" t="n">
        <v>2.56</v>
      </c>
      <c r="E138" s="12" t="n"/>
      <c r="F138" s="12" t="n"/>
      <c r="G138" s="12" t="n">
        <v>1.89</v>
      </c>
      <c r="H138" s="12" t="n"/>
      <c r="I138" s="13" t="n"/>
      <c r="J138" s="14">
        <f>SUM(D138:I138)</f>
        <v/>
      </c>
      <c r="K138" s="15" t="n"/>
      <c r="L138" s="12" t="n"/>
      <c r="M138" s="12" t="n"/>
      <c r="N138" s="12" t="n"/>
      <c r="O138" s="12" t="n"/>
      <c r="P138" s="13" t="n"/>
      <c r="Q138" s="14">
        <f>SUM(K138:P138)</f>
        <v/>
      </c>
      <c r="R138" s="14">
        <f>J138+Q138</f>
        <v/>
      </c>
      <c r="S138" s="17" t="n"/>
    </row>
    <row r="139" ht="18" customHeight="1" s="47">
      <c r="A139" s="49" t="n"/>
      <c r="B139" s="52" t="n"/>
      <c r="C139" s="23" t="inlineStr">
        <is>
          <t>増　減</t>
        </is>
      </c>
      <c r="D139" s="24">
        <f>D138-D137</f>
        <v/>
      </c>
      <c r="E139" s="24">
        <f>E138-E137</f>
        <v/>
      </c>
      <c r="F139" s="24">
        <f>F138-F137</f>
        <v/>
      </c>
      <c r="G139" s="24">
        <f>G138-G137</f>
        <v/>
      </c>
      <c r="H139" s="24">
        <f>H138-H137</f>
        <v/>
      </c>
      <c r="I139" s="27">
        <f>I138-I137</f>
        <v/>
      </c>
      <c r="J139" s="30">
        <f>SUM(D139:I139)</f>
        <v/>
      </c>
      <c r="K139" s="29">
        <f>K138-K137</f>
        <v/>
      </c>
      <c r="L139" s="24">
        <f>L138-L137</f>
        <v/>
      </c>
      <c r="M139" s="24">
        <f>M138-M137</f>
        <v/>
      </c>
      <c r="N139" s="24">
        <f>N138-N137</f>
        <v/>
      </c>
      <c r="O139" s="24">
        <f>O138-O137</f>
        <v/>
      </c>
      <c r="P139" s="27">
        <f>P138-P137</f>
        <v/>
      </c>
      <c r="Q139" s="30">
        <f>SUM(K139:P139)</f>
        <v/>
      </c>
      <c r="R139" s="30">
        <f>J139+Q139</f>
        <v/>
      </c>
      <c r="S139" s="17" t="n"/>
    </row>
    <row r="140" ht="18" customHeight="1" s="47" thickBot="1">
      <c r="A140" s="50" t="n"/>
      <c r="B140" s="53" t="n"/>
      <c r="C140" s="25" t="inlineStr">
        <is>
          <t>稼働棟数</t>
        </is>
      </c>
      <c r="D140" s="20" t="n"/>
      <c r="E140" s="20" t="n"/>
      <c r="F140" s="20" t="n"/>
      <c r="G140" s="20" t="n"/>
      <c r="H140" s="20" t="n"/>
      <c r="I140" s="28" t="n"/>
      <c r="J140" s="21">
        <f>I140</f>
        <v/>
      </c>
      <c r="K140" s="22" t="n"/>
      <c r="L140" s="20" t="n"/>
      <c r="M140" s="20" t="n"/>
      <c r="N140" s="20" t="n"/>
      <c r="O140" s="20" t="n"/>
      <c r="P140" s="28" t="n"/>
      <c r="Q140" s="21">
        <f>P140</f>
        <v/>
      </c>
      <c r="R140" s="21">
        <f>Q140</f>
        <v/>
      </c>
      <c r="S140" s="18" t="n"/>
    </row>
    <row r="141" ht="18" customHeight="1" s="47">
      <c r="A141" s="48" t="n">
        <v>20</v>
      </c>
      <c r="B141" s="51" t="inlineStr">
        <is>
          <t>IDAJ
/加工BL</t>
        </is>
      </c>
      <c r="C141" s="31" t="inlineStr">
        <is>
          <t>58期</t>
        </is>
      </c>
      <c r="D141" s="8" t="n"/>
      <c r="E141" s="8" t="n"/>
      <c r="F141" s="8" t="n">
        <v>1.72</v>
      </c>
      <c r="G141" s="8" t="n">
        <v>2.72</v>
      </c>
      <c r="H141" s="8" t="n">
        <v>0.98</v>
      </c>
      <c r="I141" s="9" t="n">
        <v>2.66</v>
      </c>
      <c r="J141" s="10">
        <f>SUM(D141:I141)</f>
        <v/>
      </c>
      <c r="K141" s="11" t="n">
        <v>1.42</v>
      </c>
      <c r="L141" s="8" t="n"/>
      <c r="M141" s="8" t="n"/>
      <c r="N141" s="8" t="n">
        <v>0.26</v>
      </c>
      <c r="O141" s="8" t="n"/>
      <c r="P141" s="9" t="n">
        <v>3.3</v>
      </c>
      <c r="Q141" s="10">
        <f>SUM(K141:P141)</f>
        <v/>
      </c>
      <c r="R141" s="10">
        <f>J141+Q141</f>
        <v/>
      </c>
      <c r="S141" s="16" t="n"/>
    </row>
    <row r="142" ht="18" customHeight="1" s="47">
      <c r="A142" s="49" t="n"/>
      <c r="B142" s="52" t="n"/>
      <c r="C142" s="7" t="inlineStr">
        <is>
          <t>59期</t>
        </is>
      </c>
      <c r="D142" s="12" t="n"/>
      <c r="E142" s="12" t="n"/>
      <c r="F142" s="12" t="n"/>
      <c r="G142" s="12" t="n"/>
      <c r="H142" s="12" t="n"/>
      <c r="I142" s="13" t="n"/>
      <c r="J142" s="14">
        <f>SUM(D142:I142)</f>
        <v/>
      </c>
      <c r="K142" s="15" t="n"/>
      <c r="L142" s="12" t="n"/>
      <c r="M142" s="12" t="n"/>
      <c r="N142" s="12" t="n"/>
      <c r="O142" s="12" t="n"/>
      <c r="P142" s="13" t="n"/>
      <c r="Q142" s="14">
        <f>SUM(K142:P142)</f>
        <v/>
      </c>
      <c r="R142" s="14">
        <f>J142+Q142</f>
        <v/>
      </c>
      <c r="S142" s="17" t="n"/>
    </row>
    <row r="143" ht="18" customHeight="1" s="47">
      <c r="A143" s="49" t="n"/>
      <c r="B143" s="52" t="n"/>
      <c r="C143" s="23" t="inlineStr">
        <is>
          <t>増　減</t>
        </is>
      </c>
      <c r="D143" s="24">
        <f>D142-D141</f>
        <v/>
      </c>
      <c r="E143" s="24">
        <f>E142-E141</f>
        <v/>
      </c>
      <c r="F143" s="24">
        <f>F142-F141</f>
        <v/>
      </c>
      <c r="G143" s="24">
        <f>G142-G141</f>
        <v/>
      </c>
      <c r="H143" s="24">
        <f>H142-H141</f>
        <v/>
      </c>
      <c r="I143" s="27">
        <f>I142-I141</f>
        <v/>
      </c>
      <c r="J143" s="30">
        <f>SUM(D143:I143)</f>
        <v/>
      </c>
      <c r="K143" s="29">
        <f>K142-K141</f>
        <v/>
      </c>
      <c r="L143" s="24">
        <f>L142-L141</f>
        <v/>
      </c>
      <c r="M143" s="24">
        <f>M142-M141</f>
        <v/>
      </c>
      <c r="N143" s="24">
        <f>N142-N141</f>
        <v/>
      </c>
      <c r="O143" s="24">
        <f>O142-O141</f>
        <v/>
      </c>
      <c r="P143" s="27">
        <f>P142-P141</f>
        <v/>
      </c>
      <c r="Q143" s="30">
        <f>SUM(K143:P143)</f>
        <v/>
      </c>
      <c r="R143" s="30">
        <f>J143+Q143</f>
        <v/>
      </c>
      <c r="S143" s="17" t="n"/>
    </row>
    <row r="144" ht="18" customHeight="1" s="47" thickBot="1">
      <c r="A144" s="50" t="n"/>
      <c r="B144" s="53" t="n"/>
      <c r="C144" s="25" t="inlineStr">
        <is>
          <t>稼働棟数</t>
        </is>
      </c>
      <c r="D144" s="20" t="n"/>
      <c r="E144" s="20" t="n"/>
      <c r="F144" s="20" t="n"/>
      <c r="G144" s="20" t="n"/>
      <c r="H144" s="20" t="n"/>
      <c r="I144" s="28" t="n"/>
      <c r="J144" s="21">
        <f>I144</f>
        <v/>
      </c>
      <c r="K144" s="22" t="n"/>
      <c r="L144" s="20" t="n"/>
      <c r="M144" s="20" t="n"/>
      <c r="N144" s="20" t="n"/>
      <c r="O144" s="20" t="n"/>
      <c r="P144" s="28" t="n"/>
      <c r="Q144" s="21">
        <f>P144</f>
        <v/>
      </c>
      <c r="R144" s="21">
        <f>Q144</f>
        <v/>
      </c>
      <c r="S144" s="18" t="n"/>
    </row>
    <row r="145" ht="18" customHeight="1" s="47">
      <c r="A145" s="48" t="n">
        <v>21</v>
      </c>
      <c r="B145" s="51" t="n"/>
      <c r="C145" s="31" t="inlineStr">
        <is>
          <t>58期</t>
        </is>
      </c>
      <c r="D145" s="8" t="n"/>
      <c r="E145" s="8" t="n"/>
      <c r="F145" s="8" t="n"/>
      <c r="G145" s="8" t="n"/>
      <c r="H145" s="8" t="n"/>
      <c r="I145" s="9" t="n"/>
      <c r="J145" s="10">
        <f>SUM(D145:I145)</f>
        <v/>
      </c>
      <c r="K145" s="11" t="n"/>
      <c r="L145" s="8" t="n"/>
      <c r="M145" s="8" t="n"/>
      <c r="N145" s="8" t="n"/>
      <c r="O145" s="8" t="n"/>
      <c r="P145" s="9" t="n"/>
      <c r="Q145" s="10">
        <f>SUM(K145:P145)</f>
        <v/>
      </c>
      <c r="R145" s="10">
        <f>J145+Q145</f>
        <v/>
      </c>
      <c r="S145" s="16" t="n"/>
    </row>
    <row r="146" ht="18" customHeight="1" s="47">
      <c r="A146" s="49" t="n"/>
      <c r="B146" s="52" t="n"/>
      <c r="C146" s="7" t="inlineStr">
        <is>
          <t>59期</t>
        </is>
      </c>
      <c r="D146" s="12" t="n"/>
      <c r="E146" s="12" t="n"/>
      <c r="F146" s="12" t="n"/>
      <c r="G146" s="12" t="n"/>
      <c r="H146" s="12" t="n"/>
      <c r="I146" s="13" t="n"/>
      <c r="J146" s="14">
        <f>SUM(D146:I146)</f>
        <v/>
      </c>
      <c r="K146" s="15" t="n"/>
      <c r="L146" s="12" t="n"/>
      <c r="M146" s="12" t="n"/>
      <c r="N146" s="12" t="n"/>
      <c r="O146" s="12" t="n"/>
      <c r="P146" s="13" t="n"/>
      <c r="Q146" s="14">
        <f>SUM(K146:P146)</f>
        <v/>
      </c>
      <c r="R146" s="14">
        <f>J146+Q146</f>
        <v/>
      </c>
      <c r="S146" s="17" t="n"/>
    </row>
    <row r="147" ht="18" customHeight="1" s="47">
      <c r="A147" s="49" t="n"/>
      <c r="B147" s="52" t="n"/>
      <c r="C147" s="23" t="inlineStr">
        <is>
          <t>増　減</t>
        </is>
      </c>
      <c r="D147" s="24">
        <f>D146-D145</f>
        <v/>
      </c>
      <c r="E147" s="24">
        <f>E146-E145</f>
        <v/>
      </c>
      <c r="F147" s="24">
        <f>F146-F145</f>
        <v/>
      </c>
      <c r="G147" s="24">
        <f>G146-G145</f>
        <v/>
      </c>
      <c r="H147" s="24">
        <f>H146-H145</f>
        <v/>
      </c>
      <c r="I147" s="27">
        <f>I146-I145</f>
        <v/>
      </c>
      <c r="J147" s="30">
        <f>SUM(D147:I147)</f>
        <v/>
      </c>
      <c r="K147" s="29">
        <f>K146-K145</f>
        <v/>
      </c>
      <c r="L147" s="24">
        <f>L146-L145</f>
        <v/>
      </c>
      <c r="M147" s="24">
        <f>M146-M145</f>
        <v/>
      </c>
      <c r="N147" s="24">
        <f>N146-N145</f>
        <v/>
      </c>
      <c r="O147" s="24">
        <f>O146-O145</f>
        <v/>
      </c>
      <c r="P147" s="27">
        <f>P146-P145</f>
        <v/>
      </c>
      <c r="Q147" s="30">
        <f>SUM(K147:P147)</f>
        <v/>
      </c>
      <c r="R147" s="30">
        <f>J147+Q147</f>
        <v/>
      </c>
      <c r="S147" s="17" t="n"/>
    </row>
    <row r="148" ht="18" customHeight="1" s="47" thickBot="1">
      <c r="A148" s="50" t="n"/>
      <c r="B148" s="53" t="n"/>
      <c r="C148" s="25" t="inlineStr">
        <is>
          <t>稼働棟数</t>
        </is>
      </c>
      <c r="D148" s="20" t="n"/>
      <c r="E148" s="20" t="n"/>
      <c r="F148" s="20" t="n"/>
      <c r="G148" s="20" t="n"/>
      <c r="H148" s="20" t="n"/>
      <c r="I148" s="28" t="n"/>
      <c r="J148" s="21">
        <f>I148</f>
        <v/>
      </c>
      <c r="K148" s="22" t="n"/>
      <c r="L148" s="20" t="n"/>
      <c r="M148" s="20" t="n"/>
      <c r="N148" s="20" t="n"/>
      <c r="O148" s="20" t="n"/>
      <c r="P148" s="28" t="n"/>
      <c r="Q148" s="21">
        <f>P148</f>
        <v/>
      </c>
      <c r="R148" s="21">
        <f>Q148</f>
        <v/>
      </c>
      <c r="S148" s="18" t="n"/>
    </row>
    <row r="149" ht="18" customHeight="1" s="47">
      <c r="A149" s="48" t="n">
        <v>22</v>
      </c>
      <c r="B149" s="51" t="n"/>
      <c r="C149" s="31" t="inlineStr">
        <is>
          <t>58期</t>
        </is>
      </c>
      <c r="D149" s="8" t="n"/>
      <c r="E149" s="8" t="n"/>
      <c r="F149" s="8" t="n"/>
      <c r="G149" s="8" t="n"/>
      <c r="H149" s="8" t="n"/>
      <c r="I149" s="9" t="n"/>
      <c r="J149" s="10">
        <f>SUM(D149:I149)</f>
        <v/>
      </c>
      <c r="K149" s="11" t="n"/>
      <c r="L149" s="8" t="n"/>
      <c r="M149" s="8" t="n"/>
      <c r="N149" s="8" t="n"/>
      <c r="O149" s="8" t="n"/>
      <c r="P149" s="9" t="n"/>
      <c r="Q149" s="10">
        <f>SUM(K149:P149)</f>
        <v/>
      </c>
      <c r="R149" s="10">
        <f>J149+Q149</f>
        <v/>
      </c>
      <c r="S149" s="16" t="n"/>
    </row>
    <row r="150" ht="18" customHeight="1" s="47">
      <c r="A150" s="49" t="n"/>
      <c r="B150" s="52" t="n"/>
      <c r="C150" s="7" t="inlineStr">
        <is>
          <t>59期</t>
        </is>
      </c>
      <c r="D150" s="12" t="n"/>
      <c r="E150" s="12" t="n"/>
      <c r="F150" s="12" t="n"/>
      <c r="G150" s="12" t="n"/>
      <c r="H150" s="12" t="n"/>
      <c r="I150" s="13" t="n"/>
      <c r="J150" s="14">
        <f>SUM(D150:I150)</f>
        <v/>
      </c>
      <c r="K150" s="15" t="n"/>
      <c r="L150" s="12" t="n"/>
      <c r="M150" s="12" t="n"/>
      <c r="N150" s="12" t="n"/>
      <c r="O150" s="12" t="n"/>
      <c r="P150" s="13" t="n"/>
      <c r="Q150" s="14">
        <f>SUM(K150:P150)</f>
        <v/>
      </c>
      <c r="R150" s="14">
        <f>J150+Q150</f>
        <v/>
      </c>
      <c r="S150" s="17" t="n"/>
    </row>
    <row r="151" ht="18" customHeight="1" s="47">
      <c r="A151" s="49" t="n"/>
      <c r="B151" s="52" t="n"/>
      <c r="C151" s="23" t="inlineStr">
        <is>
          <t>増　減</t>
        </is>
      </c>
      <c r="D151" s="24">
        <f>D150-D149</f>
        <v/>
      </c>
      <c r="E151" s="24">
        <f>E150-E149</f>
        <v/>
      </c>
      <c r="F151" s="24">
        <f>F150-F149</f>
        <v/>
      </c>
      <c r="G151" s="24">
        <f>G150-G149</f>
        <v/>
      </c>
      <c r="H151" s="24">
        <f>H150-H149</f>
        <v/>
      </c>
      <c r="I151" s="27">
        <f>I150-I149</f>
        <v/>
      </c>
      <c r="J151" s="30">
        <f>SUM(D151:I151)</f>
        <v/>
      </c>
      <c r="K151" s="29">
        <f>K150-K149</f>
        <v/>
      </c>
      <c r="L151" s="24">
        <f>L150-L149</f>
        <v/>
      </c>
      <c r="M151" s="24">
        <f>M150-M149</f>
        <v/>
      </c>
      <c r="N151" s="24">
        <f>N150-N149</f>
        <v/>
      </c>
      <c r="O151" s="24">
        <f>O150-O149</f>
        <v/>
      </c>
      <c r="P151" s="27">
        <f>P150-P149</f>
        <v/>
      </c>
      <c r="Q151" s="30">
        <f>SUM(K151:P151)</f>
        <v/>
      </c>
      <c r="R151" s="30">
        <f>J151+Q151</f>
        <v/>
      </c>
      <c r="S151" s="17" t="n"/>
    </row>
    <row r="152" ht="18" customHeight="1" s="47" thickBot="1">
      <c r="A152" s="50" t="n"/>
      <c r="B152" s="53" t="n"/>
      <c r="C152" s="25" t="inlineStr">
        <is>
          <t>稼働棟数</t>
        </is>
      </c>
      <c r="D152" s="20" t="n"/>
      <c r="E152" s="20" t="n"/>
      <c r="F152" s="20" t="n"/>
      <c r="G152" s="20" t="n"/>
      <c r="H152" s="20" t="n"/>
      <c r="I152" s="28" t="n"/>
      <c r="J152" s="21">
        <f>I152</f>
        <v/>
      </c>
      <c r="K152" s="22" t="n"/>
      <c r="L152" s="20" t="n"/>
      <c r="M152" s="20" t="n"/>
      <c r="N152" s="20" t="n"/>
      <c r="O152" s="20" t="n"/>
      <c r="P152" s="28" t="n"/>
      <c r="Q152" s="21">
        <f>P152</f>
        <v/>
      </c>
      <c r="R152" s="21">
        <f>Q152</f>
        <v/>
      </c>
      <c r="S152" s="18" t="n"/>
    </row>
    <row r="153" ht="18" customHeight="1" s="47">
      <c r="A153" s="48" t="n"/>
      <c r="B153" s="51" t="n"/>
      <c r="C153" s="31" t="inlineStr">
        <is>
          <t>58期</t>
        </is>
      </c>
      <c r="D153" s="8" t="n"/>
      <c r="E153" s="8" t="n"/>
      <c r="F153" s="8" t="n"/>
      <c r="G153" s="8" t="n"/>
      <c r="H153" s="8" t="n"/>
      <c r="I153" s="9" t="n"/>
      <c r="J153" s="10">
        <f>SUM(D153:I153)</f>
        <v/>
      </c>
      <c r="K153" s="11" t="n"/>
      <c r="L153" s="8" t="n"/>
      <c r="M153" s="8" t="n"/>
      <c r="N153" s="8" t="n"/>
      <c r="O153" s="8" t="n"/>
      <c r="P153" s="9" t="n"/>
      <c r="Q153" s="10">
        <f>SUM(K153:P153)</f>
        <v/>
      </c>
      <c r="R153" s="10">
        <f>J153+Q153</f>
        <v/>
      </c>
      <c r="S153" s="16" t="n"/>
    </row>
    <row r="154" ht="18" customHeight="1" s="47">
      <c r="A154" s="49" t="n"/>
      <c r="B154" s="52" t="n"/>
      <c r="C154" s="7" t="inlineStr">
        <is>
          <t>59期</t>
        </is>
      </c>
      <c r="D154" s="12" t="n"/>
      <c r="E154" s="12" t="n"/>
      <c r="F154" s="12" t="n"/>
      <c r="G154" s="12" t="n"/>
      <c r="H154" s="12" t="n"/>
      <c r="I154" s="13" t="n"/>
      <c r="J154" s="14">
        <f>SUM(D154:I154)</f>
        <v/>
      </c>
      <c r="K154" s="15" t="n"/>
      <c r="L154" s="12" t="n"/>
      <c r="M154" s="12" t="n"/>
      <c r="N154" s="12" t="n"/>
      <c r="O154" s="12" t="n"/>
      <c r="P154" s="13" t="n"/>
      <c r="Q154" s="14">
        <f>SUM(K154:P154)</f>
        <v/>
      </c>
      <c r="R154" s="14">
        <f>J154+Q154</f>
        <v/>
      </c>
      <c r="S154" s="17" t="n"/>
    </row>
    <row r="155" ht="18" customHeight="1" s="47">
      <c r="A155" s="49" t="n"/>
      <c r="B155" s="52" t="n"/>
      <c r="C155" s="23" t="inlineStr">
        <is>
          <t>増　減</t>
        </is>
      </c>
      <c r="D155" s="24">
        <f>D154-D153</f>
        <v/>
      </c>
      <c r="E155" s="24">
        <f>E154-E153</f>
        <v/>
      </c>
      <c r="F155" s="24">
        <f>F154-F153</f>
        <v/>
      </c>
      <c r="G155" s="24">
        <f>G154-G153</f>
        <v/>
      </c>
      <c r="H155" s="24">
        <f>H154-H153</f>
        <v/>
      </c>
      <c r="I155" s="27">
        <f>I154-I153</f>
        <v/>
      </c>
      <c r="J155" s="30">
        <f>SUM(D155:I155)</f>
        <v/>
      </c>
      <c r="K155" s="29">
        <f>K154-K153</f>
        <v/>
      </c>
      <c r="L155" s="24">
        <f>L154-L153</f>
        <v/>
      </c>
      <c r="M155" s="24">
        <f>M154-M153</f>
        <v/>
      </c>
      <c r="N155" s="24">
        <f>N154-N153</f>
        <v/>
      </c>
      <c r="O155" s="24">
        <f>O154-O153</f>
        <v/>
      </c>
      <c r="P155" s="27">
        <f>P154-P153</f>
        <v/>
      </c>
      <c r="Q155" s="30">
        <f>SUM(K155:P155)</f>
        <v/>
      </c>
      <c r="R155" s="30">
        <f>J155+Q155</f>
        <v/>
      </c>
      <c r="S155" s="17" t="n"/>
    </row>
    <row r="156" ht="18" customHeight="1" s="47" thickBot="1">
      <c r="A156" s="50" t="n"/>
      <c r="B156" s="53" t="n"/>
      <c r="C156" s="25" t="inlineStr">
        <is>
          <t>稼働棟数</t>
        </is>
      </c>
      <c r="D156" s="20" t="n"/>
      <c r="E156" s="20" t="n"/>
      <c r="F156" s="20" t="n"/>
      <c r="G156" s="20" t="n"/>
      <c r="H156" s="20" t="n"/>
      <c r="I156" s="28" t="n"/>
      <c r="J156" s="21">
        <f>I156</f>
        <v/>
      </c>
      <c r="K156" s="22" t="n"/>
      <c r="L156" s="20" t="n"/>
      <c r="M156" s="20" t="n"/>
      <c r="N156" s="20" t="n"/>
      <c r="O156" s="20" t="n"/>
      <c r="P156" s="28" t="n"/>
      <c r="Q156" s="21">
        <f>P156</f>
        <v/>
      </c>
      <c r="R156" s="21">
        <f>Q156</f>
        <v/>
      </c>
      <c r="S156" s="18" t="n"/>
    </row>
    <row r="157" ht="18" customHeight="1" s="47">
      <c r="A157" s="48" t="n"/>
      <c r="B157" s="51" t="n"/>
      <c r="C157" s="31" t="inlineStr">
        <is>
          <t>58期</t>
        </is>
      </c>
      <c r="D157" s="8" t="n"/>
      <c r="E157" s="8" t="n"/>
      <c r="F157" s="8" t="n"/>
      <c r="G157" s="8" t="n"/>
      <c r="H157" s="8" t="n"/>
      <c r="I157" s="9" t="n"/>
      <c r="J157" s="10">
        <f>SUM(D157:I157)</f>
        <v/>
      </c>
      <c r="K157" s="11" t="n"/>
      <c r="L157" s="8" t="n"/>
      <c r="M157" s="8" t="n"/>
      <c r="N157" s="8" t="n"/>
      <c r="O157" s="8" t="n"/>
      <c r="P157" s="9" t="n"/>
      <c r="Q157" s="10">
        <f>SUM(K157:P157)</f>
        <v/>
      </c>
      <c r="R157" s="10">
        <f>J157+Q157</f>
        <v/>
      </c>
      <c r="S157" s="16" t="n"/>
    </row>
    <row r="158" ht="18" customHeight="1" s="47">
      <c r="A158" s="49" t="n"/>
      <c r="B158" s="52" t="n"/>
      <c r="C158" s="7" t="inlineStr">
        <is>
          <t>59期</t>
        </is>
      </c>
      <c r="D158" s="12" t="n"/>
      <c r="E158" s="12" t="n"/>
      <c r="F158" s="12" t="n"/>
      <c r="G158" s="12" t="n"/>
      <c r="H158" s="12" t="n"/>
      <c r="I158" s="13" t="n"/>
      <c r="J158" s="14">
        <f>SUM(D158:I158)</f>
        <v/>
      </c>
      <c r="K158" s="15" t="n"/>
      <c r="L158" s="12" t="n"/>
      <c r="M158" s="12" t="n"/>
      <c r="N158" s="12" t="n"/>
      <c r="O158" s="12" t="n"/>
      <c r="P158" s="13" t="n"/>
      <c r="Q158" s="14">
        <f>SUM(K158:P158)</f>
        <v/>
      </c>
      <c r="R158" s="14">
        <f>J158+Q158</f>
        <v/>
      </c>
      <c r="S158" s="17" t="n"/>
    </row>
    <row r="159" ht="18" customHeight="1" s="47">
      <c r="A159" s="49" t="n"/>
      <c r="B159" s="52" t="n"/>
      <c r="C159" s="23" t="inlineStr">
        <is>
          <t>増　減</t>
        </is>
      </c>
      <c r="D159" s="24">
        <f>D158-D157</f>
        <v/>
      </c>
      <c r="E159" s="24">
        <f>E158-E157</f>
        <v/>
      </c>
      <c r="F159" s="24">
        <f>F158-F157</f>
        <v/>
      </c>
      <c r="G159" s="24">
        <f>G158-G157</f>
        <v/>
      </c>
      <c r="H159" s="24">
        <f>H158-H157</f>
        <v/>
      </c>
      <c r="I159" s="27">
        <f>I158-I157</f>
        <v/>
      </c>
      <c r="J159" s="30">
        <f>SUM(D159:I159)</f>
        <v/>
      </c>
      <c r="K159" s="29">
        <f>K158-K157</f>
        <v/>
      </c>
      <c r="L159" s="24">
        <f>L158-L157</f>
        <v/>
      </c>
      <c r="M159" s="24">
        <f>M158-M157</f>
        <v/>
      </c>
      <c r="N159" s="24">
        <f>N158-N157</f>
        <v/>
      </c>
      <c r="O159" s="24">
        <f>O158-O157</f>
        <v/>
      </c>
      <c r="P159" s="27">
        <f>P158-P157</f>
        <v/>
      </c>
      <c r="Q159" s="30">
        <f>SUM(K159:P159)</f>
        <v/>
      </c>
      <c r="R159" s="30">
        <f>J159+Q159</f>
        <v/>
      </c>
      <c r="S159" s="17" t="n"/>
    </row>
    <row r="160" ht="18" customHeight="1" s="47" thickBot="1">
      <c r="A160" s="50" t="n"/>
      <c r="B160" s="53" t="n"/>
      <c r="C160" s="25" t="inlineStr">
        <is>
          <t>稼働棟数</t>
        </is>
      </c>
      <c r="D160" s="20" t="n"/>
      <c r="E160" s="20" t="n"/>
      <c r="F160" s="20" t="n"/>
      <c r="G160" s="20" t="n"/>
      <c r="H160" s="20" t="n"/>
      <c r="I160" s="28" t="n"/>
      <c r="J160" s="21">
        <f>I160</f>
        <v/>
      </c>
      <c r="K160" s="22" t="n"/>
      <c r="L160" s="20" t="n"/>
      <c r="M160" s="20" t="n"/>
      <c r="N160" s="20" t="n"/>
      <c r="O160" s="20" t="n"/>
      <c r="P160" s="28" t="n"/>
      <c r="Q160" s="21">
        <f>P160</f>
        <v/>
      </c>
      <c r="R160" s="21">
        <f>Q160</f>
        <v/>
      </c>
      <c r="S160" s="18" t="n"/>
    </row>
    <row r="161" ht="18" customHeight="1" s="47">
      <c r="A161" s="48" t="n"/>
      <c r="B161" s="55" t="inlineStr">
        <is>
          <t>企業棟月間合計</t>
        </is>
      </c>
      <c r="C161" s="31" t="inlineStr">
        <is>
          <t>58期</t>
        </is>
      </c>
      <c r="D161" s="41">
        <f>D5+D9+D13+D17+D21+D25+D29+D33+D37+D45+D49+D53+D57+D61+D73+D77+D81+D85+D89+D97+D101+D109+D117+D121+D125+D133+D137+D141</f>
        <v/>
      </c>
      <c r="E161" s="41">
        <f>E5+E9+E13+E17+E21+E25+E29+E33+E37+E45+E49+E53+E57+E61+E73+E77+E81+E85+E89+E97+E101+E109+E117+E121+E125+E133+E137+E141</f>
        <v/>
      </c>
      <c r="F161" s="41">
        <f>F5+F9+F13+F17+F21+F25+F29+F33+F37+F45+F49+F53+F57+F61+F73+F77+F81+F85+F89+F97+F101+F109+F117+F121+F125+F133+F137+F141</f>
        <v/>
      </c>
      <c r="G161" s="41">
        <f>G5+G9+G13+G17+G21+G25+G29+G33+G37+G45+G49+G53+G57+G61+G73+G77+G81+G85+G89+G97+G101+G109+G117+G121+G125+G133+G137+G141</f>
        <v/>
      </c>
      <c r="H161" s="41">
        <f>H5+H9+H13+H17+H21+H25+H29+H33+H37+H45+H49+H53+H57+H61+H73+H77+H81+H85+H89+H97+H101+H109+H117+H121+H125+H133+H137+H141</f>
        <v/>
      </c>
      <c r="I161" s="41">
        <f>I5+I9+I13+I17+I21+I25+I29+I33+I37+I45+I49+I53+I57+I61+I73+I77+I81+I85+I89+I97+I101+I109+I117+I121+I125+I133+I137+I141</f>
        <v/>
      </c>
      <c r="J161" s="10">
        <f>SUM(D161:I161)</f>
        <v/>
      </c>
      <c r="K161" s="41">
        <f>K13+K21+K37+K45+K57+K77+K81+K101+K117+K133+K141+K149+K153+K157+K5+K9+K17+K25+K29+K33+K49+K53+K61+K73+K85+K89+K97+K109+K121+K125+K137</f>
        <v/>
      </c>
      <c r="L161" s="41">
        <f>L13+L21+L37+L45+L57+L77+L81+L101+L117+L133+L141+L149+L153+L157+L5+L9+L17+L25+L29+L33+L49+L53+L61+L73+L85+L89+L97+L109+L121+L125+L137</f>
        <v/>
      </c>
      <c r="M161" s="41">
        <f>M13+M21+M37+M45+M57+M77+M81+M101+M117+M133+M141+M149+M153+M157+M5+M9+M17+M25+M29+M33+M49+M53+M61+M73+M85+M89+M97+M109+M121+M125+M137</f>
        <v/>
      </c>
      <c r="N161" s="41">
        <f>N13+N21+N37+N45+N57+N77+N81+N101+N117+N133+N141+N149+N153+N157+N5+N9+N17+N25+N29+N33+N49+N53+N61+N73+N85+N89+N97+N109+N121+N125+N137</f>
        <v/>
      </c>
      <c r="O161" s="41">
        <f>O13+O21+O37+O45+O57+O77+O81+O101+O117+O133+O141+O149+O153+O157+O5+O9+O17+O25+O29+O33+O49+O53+O61+O73+O85+O89+O97+O109+O121+O125+O137</f>
        <v/>
      </c>
      <c r="P161" s="41">
        <f>P13+P21+P37+P45+P57+P77+P81+P101+P117+P133+P141+P149+P153+P157+P5+P9+P17+P25+P29+P33+P49+P53+P61+P73+P85+P89+P97+P109+P121+P125+P137</f>
        <v/>
      </c>
      <c r="Q161" s="10">
        <f>SUM(K161:P161)</f>
        <v/>
      </c>
      <c r="R161" s="10">
        <f>J161+Q161</f>
        <v/>
      </c>
      <c r="S161" s="16" t="n"/>
    </row>
    <row r="162" ht="18" customHeight="1" s="47">
      <c r="A162" s="49" t="n"/>
      <c r="B162" s="52" t="n"/>
      <c r="C162" s="7" t="inlineStr">
        <is>
          <t>59期</t>
        </is>
      </c>
      <c r="D162" s="41">
        <f>D6+D10+D14+D18+D22+D26+D30+D34+D38+D46+D50+D54+D58+D62+D74+D78+D82+D86+D90+D98+D102+D110+D118+D122+D126+D134+D138+D142</f>
        <v/>
      </c>
      <c r="E162" s="41">
        <f>E6+E10+E14+E18+E22+E26+E30+E34+E38+E46+E50+E54+E58+E62+E74+E78+E82+E86+E90+E98+E102+E110+E118+E122+E126+E134+E138+E142</f>
        <v/>
      </c>
      <c r="F162" s="41">
        <f>F6+F10+F14+F18+F22+F26+F30+F34+F38+F46+F50+F54+F58+F62+F74+F78+F82+F86+F90+F98+F102+F110+F118+F122+F126+F134+F138+F142</f>
        <v/>
      </c>
      <c r="G162" s="41">
        <f>G6+G10+G14+G18+G22+G26+G30+G34+G38+G46+G50+G54+G58+G62+G74+G78+G82+G86+G90+G98+G102+G110+G118+G122+G126+G134+G138+G142</f>
        <v/>
      </c>
      <c r="H162" s="41">
        <f>H6+H10+H14+H18+H22+H26+H30+H34+H38+H46+H50+H54+H58+H62+H74+H78+H82+H86+H90+H98+H102+H110+H118+H122+H126+H134+H138+H142</f>
        <v/>
      </c>
      <c r="I162" s="41">
        <f>I6+I10+I14+I18+I22+I26+I30+I34+I38+I46+I50+I54+I58+I62+I74+I78+I82+I86+I90+I98+I102+I110+I118+I122+I126+I134+I138+I142</f>
        <v/>
      </c>
      <c r="J162" s="14">
        <f>SUM(D162:I162)</f>
        <v/>
      </c>
      <c r="K162" s="41">
        <f>K14+K22+K38+K46+K58+K78+K82+K102+K118+K134+K142+K150+K154+K158+K6+K10+K18+K26+K30+K34+K50+K54+K62+K74+K86+K90+K98+K110+K122+K126+K138</f>
        <v/>
      </c>
      <c r="L162" s="41">
        <f>L14+L22+L38+L46+L58+L78+L82+L102+L118+L134+L142+L150+L154+L158+L6+L10+L18+L26+L30+L34+L50+L54+L62+L74+L86+L90+L98+L110+L122+L126+L138</f>
        <v/>
      </c>
      <c r="M162" s="41">
        <f>M14+M22+M38+M46+M58+M78+M82+M102+M118+M134+M142+M150+M154+M158+M6+M10+M18+M26+M30+M34+M50+M54+M62+M74+M86+M90+M98+M110+M122+M126+M138</f>
        <v/>
      </c>
      <c r="N162" s="41">
        <f>N14+N22+N38+N46+N58+N78+N82+N102+N118+N134+N142+N150+N154+N158+N6+N10+N18+N26+N30+N34+N50+N54+N62+N74+N86+N90+N98+N110+N122+N126+N138</f>
        <v/>
      </c>
      <c r="O162" s="41">
        <f>O14+O22+O38+O46+O58+O78+O82+O102+O118+O134+O142+O150+O154+O158+O6+O10+O18+O26+O30+O34+O50+O54+O62+O74+O86+O90+O98+O110+O122+O126+O138</f>
        <v/>
      </c>
      <c r="P162" s="41">
        <f>P14+P22+P38+P46+P58+P78+P82+P102+P118+P134+P142+P150+P154+P158+P6+P10+P18+P26+P30+P34+P50+P54+P62+P74+P86+P90+P98+P110+P122+P126+P138</f>
        <v/>
      </c>
      <c r="Q162" s="14">
        <f>SUM(K162:P162)</f>
        <v/>
      </c>
      <c r="R162" s="14">
        <f>J162+Q162</f>
        <v/>
      </c>
      <c r="S162" s="17" t="n"/>
    </row>
    <row r="163" ht="18" customHeight="1" s="47">
      <c r="A163" s="49" t="n"/>
      <c r="B163" s="52" t="n"/>
      <c r="C163" s="23" t="inlineStr">
        <is>
          <t>増　減</t>
        </is>
      </c>
      <c r="D163" s="24">
        <f>D162-D161</f>
        <v/>
      </c>
      <c r="E163" s="24">
        <f>E162-E161</f>
        <v/>
      </c>
      <c r="F163" s="24">
        <f>F162-F161</f>
        <v/>
      </c>
      <c r="G163" s="24">
        <f>G162-G161</f>
        <v/>
      </c>
      <c r="H163" s="24">
        <f>H162-H161</f>
        <v/>
      </c>
      <c r="I163" s="27">
        <f>I162-I161</f>
        <v/>
      </c>
      <c r="J163" s="30">
        <f>SUM(D163:I163)</f>
        <v/>
      </c>
      <c r="K163" s="29">
        <f>K162-K161</f>
        <v/>
      </c>
      <c r="L163" s="24">
        <f>L162-L161</f>
        <v/>
      </c>
      <c r="M163" s="24">
        <f>M162-M161</f>
        <v/>
      </c>
      <c r="N163" s="24">
        <f>N162-N161</f>
        <v/>
      </c>
      <c r="O163" s="24">
        <f>O162-O161</f>
        <v/>
      </c>
      <c r="P163" s="27">
        <f>P162-P161</f>
        <v/>
      </c>
      <c r="Q163" s="30">
        <f>SUM(K163:P163)</f>
        <v/>
      </c>
      <c r="R163" s="30">
        <f>J163+Q163</f>
        <v/>
      </c>
      <c r="S163" s="17" t="n"/>
    </row>
    <row r="164" ht="18" customHeight="1" s="47" thickBot="1">
      <c r="A164" s="50" t="n"/>
      <c r="B164" s="53" t="n"/>
      <c r="C164" s="25" t="inlineStr">
        <is>
          <t>稼働棟数</t>
        </is>
      </c>
      <c r="D164" s="20" t="n"/>
      <c r="E164" s="20" t="n"/>
      <c r="F164" s="20" t="n"/>
      <c r="G164" s="20" t="n"/>
      <c r="H164" s="20" t="n"/>
      <c r="I164" s="28" t="n"/>
      <c r="J164" s="21">
        <f>I164</f>
        <v/>
      </c>
      <c r="K164" s="22" t="n"/>
      <c r="L164" s="20" t="n"/>
      <c r="M164" s="20" t="n"/>
      <c r="N164" s="20" t="n"/>
      <c r="O164" s="20" t="n"/>
      <c r="P164" s="28" t="n"/>
      <c r="Q164" s="21">
        <f>P164</f>
        <v/>
      </c>
      <c r="R164" s="21">
        <f>Q164</f>
        <v/>
      </c>
      <c r="S164" s="18" t="n"/>
    </row>
    <row r="165" ht="18" customHeight="1" s="47" thickBot="1">
      <c r="B165" s="56" t="inlineStr">
        <is>
          <t>日建/加工BL</t>
        </is>
      </c>
      <c r="C165" s="31" t="inlineStr">
        <is>
          <t>58期</t>
        </is>
      </c>
      <c r="D165" s="8" t="n"/>
      <c r="E165" s="8" t="n"/>
      <c r="F165" s="8" t="n"/>
      <c r="G165" s="8" t="n">
        <v>0.26</v>
      </c>
      <c r="H165" s="8" t="n"/>
      <c r="I165" s="9" t="n">
        <v>0.86</v>
      </c>
      <c r="J165" s="10">
        <f>SUM(D165:I165)</f>
        <v/>
      </c>
      <c r="K165" s="11" t="n">
        <v>0.7</v>
      </c>
      <c r="L165" s="8" t="n">
        <v>1.2</v>
      </c>
      <c r="M165" s="8" t="n"/>
      <c r="N165" s="8" t="n">
        <v>0.4</v>
      </c>
      <c r="O165" s="8" t="n">
        <v>0.64</v>
      </c>
      <c r="P165" s="9" t="n">
        <v>1.74</v>
      </c>
      <c r="Q165" s="10">
        <f>SUM(K165:P165)</f>
        <v/>
      </c>
      <c r="R165" s="10">
        <f>J165+Q165</f>
        <v/>
      </c>
      <c r="S165" s="16" t="n"/>
    </row>
    <row r="166" ht="18" customHeight="1" s="47">
      <c r="B166" s="52" t="n"/>
      <c r="C166" s="7" t="inlineStr">
        <is>
          <t>59期</t>
        </is>
      </c>
      <c r="D166" s="12" t="n">
        <v>4.16</v>
      </c>
      <c r="E166" s="12" t="n">
        <v>3.44</v>
      </c>
      <c r="F166" s="12" t="n">
        <v>3.700000000000001</v>
      </c>
      <c r="G166" s="12" t="n">
        <v>6.54</v>
      </c>
      <c r="H166" s="12" t="n"/>
      <c r="I166" s="13" t="n"/>
      <c r="J166" s="14">
        <f>SUM(D166:I166)</f>
        <v/>
      </c>
      <c r="K166" s="15" t="n"/>
      <c r="L166" s="12" t="n"/>
      <c r="M166" s="12" t="n"/>
      <c r="N166" s="12" t="n"/>
      <c r="O166" s="12" t="n"/>
      <c r="P166" s="13" t="n"/>
      <c r="Q166" s="14">
        <f>SUM(K166:P166)</f>
        <v/>
      </c>
      <c r="R166" s="14">
        <f>J166+Q166</f>
        <v/>
      </c>
      <c r="S166" s="17" t="n"/>
    </row>
    <row r="167" ht="18" customHeight="1" s="47">
      <c r="B167" s="52" t="n"/>
      <c r="C167" s="23" t="inlineStr">
        <is>
          <t>増　減</t>
        </is>
      </c>
      <c r="D167" s="24">
        <f>D166-D165</f>
        <v/>
      </c>
      <c r="E167" s="24">
        <f>E166-E165</f>
        <v/>
      </c>
      <c r="F167" s="24">
        <f>F166-F165</f>
        <v/>
      </c>
      <c r="G167" s="24">
        <f>G166-G165</f>
        <v/>
      </c>
      <c r="H167" s="24">
        <f>H166-H165</f>
        <v/>
      </c>
      <c r="I167" s="27">
        <f>I166-I165</f>
        <v/>
      </c>
      <c r="J167" s="30">
        <f>SUM(D167:I167)</f>
        <v/>
      </c>
      <c r="K167" s="29">
        <f>K166-K165</f>
        <v/>
      </c>
      <c r="L167" s="24">
        <f>L166-L165</f>
        <v/>
      </c>
      <c r="M167" s="24">
        <f>M166-M165</f>
        <v/>
      </c>
      <c r="N167" s="24">
        <f>N166-N165</f>
        <v/>
      </c>
      <c r="O167" s="24">
        <f>O166-O165</f>
        <v/>
      </c>
      <c r="P167" s="27">
        <f>P166-P165</f>
        <v/>
      </c>
      <c r="Q167" s="30">
        <f>SUM(K167:P167)</f>
        <v/>
      </c>
      <c r="R167" s="30">
        <f>J167+Q167</f>
        <v/>
      </c>
      <c r="S167" s="17" t="n"/>
    </row>
    <row r="168" ht="18" customHeight="1" s="47" thickBot="1">
      <c r="B168" s="57" t="n"/>
      <c r="C168" s="25" t="inlineStr">
        <is>
          <t>稼働棟数</t>
        </is>
      </c>
      <c r="D168" s="20" t="n"/>
      <c r="E168" s="20" t="n"/>
      <c r="F168" s="20" t="n"/>
      <c r="G168" s="20" t="n"/>
      <c r="H168" s="20" t="n"/>
      <c r="I168" s="28" t="n"/>
      <c r="J168" s="21">
        <f>I168</f>
        <v/>
      </c>
      <c r="K168" s="22" t="n"/>
      <c r="L168" s="20" t="n"/>
      <c r="M168" s="20" t="n"/>
      <c r="N168" s="20" t="n"/>
      <c r="O168" s="20" t="n"/>
      <c r="P168" s="28" t="n"/>
      <c r="Q168" s="21">
        <f>P168</f>
        <v/>
      </c>
      <c r="R168" s="21">
        <f>Q168</f>
        <v/>
      </c>
      <c r="S168" s="18" t="n"/>
    </row>
    <row r="169" ht="18" customHeight="1" s="47" thickBot="1">
      <c r="B169" s="56" t="inlineStr">
        <is>
          <t>日建/加工イチゴ</t>
        </is>
      </c>
      <c r="C169" s="31" t="inlineStr">
        <is>
          <t>58期</t>
        </is>
      </c>
      <c r="D169" s="8" t="n"/>
      <c r="E169" s="8" t="n"/>
      <c r="F169" s="8" t="n"/>
      <c r="G169" s="8" t="n">
        <v>0.9399999999999999</v>
      </c>
      <c r="H169" s="8" t="n"/>
      <c r="I169" s="9" t="n">
        <v>0.63</v>
      </c>
      <c r="J169" s="10">
        <f>SUM(D169:I169)</f>
        <v/>
      </c>
      <c r="K169" s="11" t="n"/>
      <c r="L169" s="8" t="n"/>
      <c r="M169" s="8" t="n"/>
      <c r="N169" s="8" t="n"/>
      <c r="O169" s="8" t="n"/>
      <c r="P169" s="9" t="n"/>
      <c r="Q169" s="10">
        <f>SUM(K169:P169)</f>
        <v/>
      </c>
      <c r="R169" s="10">
        <f>J169+Q169</f>
        <v/>
      </c>
      <c r="S169" s="16" t="n"/>
    </row>
    <row r="170" ht="18" customHeight="1" s="47">
      <c r="B170" s="52" t="n"/>
      <c r="C170" s="7" t="inlineStr">
        <is>
          <t>59期</t>
        </is>
      </c>
      <c r="D170" s="12" t="n"/>
      <c r="E170" s="12" t="n"/>
      <c r="F170" s="12" t="n"/>
      <c r="G170" s="12" t="n"/>
      <c r="H170" s="12" t="n"/>
      <c r="I170" s="13" t="n"/>
      <c r="J170" s="14">
        <f>SUM(D170:I170)</f>
        <v/>
      </c>
      <c r="K170" s="15" t="n"/>
      <c r="L170" s="12" t="n"/>
      <c r="M170" s="12" t="n"/>
      <c r="N170" s="12" t="n"/>
      <c r="O170" s="12" t="n"/>
      <c r="P170" s="13" t="n"/>
      <c r="Q170" s="14">
        <f>SUM(K170:P170)</f>
        <v/>
      </c>
      <c r="R170" s="14">
        <f>J170+Q170</f>
        <v/>
      </c>
      <c r="S170" s="17" t="n"/>
    </row>
    <row r="171" ht="18" customHeight="1" s="47">
      <c r="B171" s="52" t="n"/>
      <c r="C171" s="23" t="inlineStr">
        <is>
          <t>増　減</t>
        </is>
      </c>
      <c r="D171" s="24">
        <f>D170-D169</f>
        <v/>
      </c>
      <c r="E171" s="24">
        <f>E170-E169</f>
        <v/>
      </c>
      <c r="F171" s="24">
        <f>F170-F169</f>
        <v/>
      </c>
      <c r="G171" s="24">
        <f>G170-G169</f>
        <v/>
      </c>
      <c r="H171" s="24">
        <f>H170-H169</f>
        <v/>
      </c>
      <c r="I171" s="27">
        <f>I170-I169</f>
        <v/>
      </c>
      <c r="J171" s="30">
        <f>SUM(D171:I171)</f>
        <v/>
      </c>
      <c r="K171" s="29">
        <f>K170-K169</f>
        <v/>
      </c>
      <c r="L171" s="24">
        <f>L170-L169</f>
        <v/>
      </c>
      <c r="M171" s="24">
        <f>M170-M169</f>
        <v/>
      </c>
      <c r="N171" s="24">
        <f>N170-N169</f>
        <v/>
      </c>
      <c r="O171" s="24">
        <f>O170-O169</f>
        <v/>
      </c>
      <c r="P171" s="27">
        <f>P170-P169</f>
        <v/>
      </c>
      <c r="Q171" s="30">
        <f>SUM(K171:P171)</f>
        <v/>
      </c>
      <c r="R171" s="30">
        <f>J171+Q171</f>
        <v/>
      </c>
      <c r="S171" s="17" t="n"/>
    </row>
    <row r="172" ht="18" customHeight="1" s="47" thickBot="1">
      <c r="B172" s="57" t="n"/>
      <c r="C172" s="25" t="inlineStr">
        <is>
          <t>稼働棟数</t>
        </is>
      </c>
      <c r="D172" s="20" t="n"/>
      <c r="E172" s="20" t="n"/>
      <c r="F172" s="20" t="n"/>
      <c r="G172" s="20" t="n"/>
      <c r="H172" s="20" t="n"/>
      <c r="I172" s="28" t="n"/>
      <c r="J172" s="21">
        <f>I172</f>
        <v/>
      </c>
      <c r="K172" s="22" t="n"/>
      <c r="L172" s="20" t="n"/>
      <c r="M172" s="20" t="n"/>
      <c r="N172" s="20" t="n"/>
      <c r="O172" s="20" t="n"/>
      <c r="P172" s="28" t="n"/>
      <c r="Q172" s="21">
        <f>P172</f>
        <v/>
      </c>
      <c r="R172" s="21">
        <f>Q172</f>
        <v/>
      </c>
      <c r="S172" s="18" t="n"/>
    </row>
    <row r="173" ht="18" customHeight="1" s="47" thickBot="1">
      <c r="B173" s="55" t="inlineStr">
        <is>
          <t>月間総合計</t>
        </is>
      </c>
      <c r="C173" s="31" t="inlineStr">
        <is>
          <t>58期</t>
        </is>
      </c>
      <c r="D173" s="8">
        <f>D161+D169+D165</f>
        <v/>
      </c>
      <c r="E173" s="8">
        <f>E161+E169+E165</f>
        <v/>
      </c>
      <c r="F173" s="8">
        <f>F161+F169+F165</f>
        <v/>
      </c>
      <c r="G173" s="8">
        <f>G161+G169+G165</f>
        <v/>
      </c>
      <c r="H173" s="8">
        <f>H161+H169+H165</f>
        <v/>
      </c>
      <c r="I173" s="8">
        <f>I161+I169+I165</f>
        <v/>
      </c>
      <c r="J173" s="10">
        <f>SUM(D173:I173)</f>
        <v/>
      </c>
      <c r="K173" s="11">
        <f>K161+K169+K165</f>
        <v/>
      </c>
      <c r="L173" s="11">
        <f>L161+L169+L165</f>
        <v/>
      </c>
      <c r="M173" s="11">
        <f>M161+M169+M165</f>
        <v/>
      </c>
      <c r="N173" s="11">
        <f>N161+N169+N165</f>
        <v/>
      </c>
      <c r="O173" s="11">
        <f>O161+O169+O165</f>
        <v/>
      </c>
      <c r="P173" s="11">
        <f>P161+P169+P165</f>
        <v/>
      </c>
      <c r="Q173" s="10">
        <f>SUM(K173:P173)</f>
        <v/>
      </c>
      <c r="R173" s="10">
        <f>J173+Q173</f>
        <v/>
      </c>
      <c r="S173" s="16" t="n"/>
    </row>
    <row r="174" ht="18" customHeight="1" s="47">
      <c r="B174" s="52" t="n"/>
      <c r="C174" s="7" t="inlineStr">
        <is>
          <t>59期</t>
        </is>
      </c>
      <c r="D174" s="8">
        <f>D162+D170+D166</f>
        <v/>
      </c>
      <c r="E174" s="8">
        <f>E162+E170+E166</f>
        <v/>
      </c>
      <c r="F174" s="43">
        <f>F162+F170+F166</f>
        <v/>
      </c>
      <c r="G174" s="43">
        <f>G162+G170+G166</f>
        <v/>
      </c>
      <c r="H174" s="43">
        <f>H162+H170+H166</f>
        <v/>
      </c>
      <c r="I174" s="43">
        <f>I162+I170+I166</f>
        <v/>
      </c>
      <c r="J174" s="44">
        <f>SUM(D174:I174)</f>
        <v/>
      </c>
      <c r="K174" s="45">
        <f>K162+K170+K166</f>
        <v/>
      </c>
      <c r="L174" s="45">
        <f>L162+L170+L166</f>
        <v/>
      </c>
      <c r="M174" s="45">
        <f>M162+M170+M166</f>
        <v/>
      </c>
      <c r="N174" s="45">
        <f>N162+N170+N166</f>
        <v/>
      </c>
      <c r="O174" s="45">
        <f>O162+O170+O166</f>
        <v/>
      </c>
      <c r="P174" s="45">
        <f>P162+P170+P166</f>
        <v/>
      </c>
      <c r="Q174" s="44">
        <f>SUM(K174:P174)</f>
        <v/>
      </c>
      <c r="R174" s="14">
        <f>J174+Q174</f>
        <v/>
      </c>
      <c r="S174" s="17" t="n"/>
    </row>
    <row r="175" ht="18" customHeight="1" s="47">
      <c r="B175" s="52" t="n"/>
      <c r="C175" s="23" t="inlineStr">
        <is>
          <t>増　減</t>
        </is>
      </c>
      <c r="D175" s="24">
        <f>D174-D173</f>
        <v/>
      </c>
      <c r="E175" s="24">
        <f>E174-E173</f>
        <v/>
      </c>
      <c r="F175" s="24">
        <f>F174-F173</f>
        <v/>
      </c>
      <c r="G175" s="24">
        <f>G174-G173</f>
        <v/>
      </c>
      <c r="H175" s="24">
        <f>H174-H173</f>
        <v/>
      </c>
      <c r="I175" s="27">
        <f>I174-I173</f>
        <v/>
      </c>
      <c r="J175" s="30">
        <f>SUM(D175:I175)</f>
        <v/>
      </c>
      <c r="K175" s="29">
        <f>K174-K173</f>
        <v/>
      </c>
      <c r="L175" s="24">
        <f>L174-L173</f>
        <v/>
      </c>
      <c r="M175" s="24">
        <f>M174-M173</f>
        <v/>
      </c>
      <c r="N175" s="24">
        <f>N174-N173</f>
        <v/>
      </c>
      <c r="O175" s="24">
        <f>O174-O173</f>
        <v/>
      </c>
      <c r="P175" s="27">
        <f>P174-P173</f>
        <v/>
      </c>
      <c r="Q175" s="30">
        <f>SUM(K175:P175)</f>
        <v/>
      </c>
      <c r="R175" s="30">
        <f>J175+Q175</f>
        <v/>
      </c>
      <c r="S175" s="17" t="n"/>
    </row>
    <row r="176" ht="18" customHeight="1" s="47" thickBot="1">
      <c r="B176" s="53" t="n"/>
      <c r="C176" s="25" t="inlineStr">
        <is>
          <t>稼働棟数</t>
        </is>
      </c>
      <c r="D176" s="20">
        <f>D164+D172</f>
        <v/>
      </c>
      <c r="E176" s="20">
        <f>E164+E172</f>
        <v/>
      </c>
      <c r="F176" s="20">
        <f>F164+F172</f>
        <v/>
      </c>
      <c r="G176" s="20">
        <f>G164+G172</f>
        <v/>
      </c>
      <c r="H176" s="20">
        <f>H164+H172</f>
        <v/>
      </c>
      <c r="I176" s="28">
        <f>I164+I172</f>
        <v/>
      </c>
      <c r="J176" s="21">
        <f>I176</f>
        <v/>
      </c>
      <c r="K176" s="22">
        <f>K164+K172</f>
        <v/>
      </c>
      <c r="L176" s="20">
        <f>L164+L172</f>
        <v/>
      </c>
      <c r="M176" s="20">
        <f>M164+M172</f>
        <v/>
      </c>
      <c r="N176" s="20">
        <f>N164+N172</f>
        <v/>
      </c>
      <c r="O176" s="20">
        <f>O164+O172</f>
        <v/>
      </c>
      <c r="P176" s="28">
        <f>P164+P172</f>
        <v/>
      </c>
      <c r="Q176" s="21">
        <f>P176</f>
        <v/>
      </c>
      <c r="R176" s="21">
        <f>Q176</f>
        <v/>
      </c>
      <c r="S176" s="18" t="n"/>
    </row>
    <row r="177">
      <c r="A177" t="n">
        <v>23</v>
      </c>
      <c r="B177" t="inlineStr">
        <is>
          <t>日建 /加工BL</t>
        </is>
      </c>
      <c r="C177" t="inlineStr">
        <is>
          <t>58期</t>
        </is>
      </c>
    </row>
    <row r="178">
      <c r="C178" t="inlineStr">
        <is>
          <t>59期</t>
        </is>
      </c>
      <c r="F178" t="n">
        <v>0</v>
      </c>
    </row>
    <row r="179">
      <c r="C179" t="inlineStr">
        <is>
          <t>増　減</t>
        </is>
      </c>
      <c r="D179">
        <f>D178-D177</f>
        <v/>
      </c>
      <c r="E179">
        <f>E178-E177</f>
        <v/>
      </c>
      <c r="F179">
        <f>F178-F177</f>
        <v/>
      </c>
      <c r="G179">
        <f>G178-G177</f>
        <v/>
      </c>
      <c r="H179">
        <f>H178-H177</f>
        <v/>
      </c>
      <c r="I179">
        <f>I178-I177</f>
        <v/>
      </c>
      <c r="J179">
        <f>J178-J177</f>
        <v/>
      </c>
      <c r="K179">
        <f>K178-K177</f>
        <v/>
      </c>
      <c r="L179">
        <f>L178-L177</f>
        <v/>
      </c>
      <c r="M179">
        <f>M178-M177</f>
        <v/>
      </c>
      <c r="N179">
        <f>N178-N177</f>
        <v/>
      </c>
      <c r="O179">
        <f>O178-O177</f>
        <v/>
      </c>
      <c r="P179">
        <f>P178-P177</f>
        <v/>
      </c>
      <c r="Q179">
        <f>Q178-Q177</f>
        <v/>
      </c>
      <c r="R179">
        <f>R178-R177</f>
        <v/>
      </c>
      <c r="S179">
        <f>S178-S177</f>
        <v/>
      </c>
    </row>
    <row r="180">
      <c r="C180" t="inlineStr">
        <is>
          <t>稼働棟数</t>
        </is>
      </c>
    </row>
    <row r="181">
      <c r="A181" t="n">
        <v>24</v>
      </c>
      <c r="B181" t="inlineStr">
        <is>
          <t>日建 /加工トマト</t>
        </is>
      </c>
      <c r="C181" t="inlineStr">
        <is>
          <t>58期</t>
        </is>
      </c>
    </row>
    <row r="182">
      <c r="C182" t="inlineStr">
        <is>
          <t>59期</t>
        </is>
      </c>
      <c r="F182" t="n">
        <v>0</v>
      </c>
    </row>
    <row r="183">
      <c r="C183" t="inlineStr">
        <is>
          <t>増　減</t>
        </is>
      </c>
      <c r="D183">
        <f>D182-D181</f>
        <v/>
      </c>
      <c r="E183">
        <f>E182-E181</f>
        <v/>
      </c>
      <c r="F183">
        <f>F182-F181</f>
        <v/>
      </c>
      <c r="G183">
        <f>G182-G181</f>
        <v/>
      </c>
      <c r="H183">
        <f>H182-H181</f>
        <v/>
      </c>
      <c r="I183">
        <f>I182-I181</f>
        <v/>
      </c>
      <c r="J183">
        <f>J182-J181</f>
        <v/>
      </c>
      <c r="K183">
        <f>K182-K181</f>
        <v/>
      </c>
      <c r="L183">
        <f>L182-L181</f>
        <v/>
      </c>
      <c r="M183">
        <f>M182-M181</f>
        <v/>
      </c>
      <c r="N183">
        <f>N182-N181</f>
        <v/>
      </c>
      <c r="O183">
        <f>O182-O181</f>
        <v/>
      </c>
      <c r="P183">
        <f>P182-P181</f>
        <v/>
      </c>
      <c r="Q183">
        <f>Q182-Q181</f>
        <v/>
      </c>
      <c r="R183">
        <f>R182-R181</f>
        <v/>
      </c>
      <c r="S183">
        <f>S182-S181</f>
        <v/>
      </c>
    </row>
    <row r="184">
      <c r="C184" t="inlineStr">
        <is>
          <t>稼働棟数</t>
        </is>
      </c>
    </row>
    <row r="185">
      <c r="A185" t="n">
        <v>25</v>
      </c>
      <c r="B185" t="inlineStr">
        <is>
          <t>日本ファブ /加工BL</t>
        </is>
      </c>
      <c r="C185" t="inlineStr">
        <is>
          <t>58期</t>
        </is>
      </c>
    </row>
    <row r="186">
      <c r="C186" t="inlineStr">
        <is>
          <t>59期</t>
        </is>
      </c>
      <c r="F186" t="n">
        <v>0</v>
      </c>
    </row>
    <row r="187">
      <c r="C187" t="inlineStr">
        <is>
          <t>増　減</t>
        </is>
      </c>
      <c r="D187">
        <f>D186-D185</f>
        <v/>
      </c>
      <c r="E187">
        <f>E186-E185</f>
        <v/>
      </c>
      <c r="F187">
        <f>F186-F185</f>
        <v/>
      </c>
      <c r="G187">
        <f>G186-G185</f>
        <v/>
      </c>
      <c r="H187">
        <f>H186-H185</f>
        <v/>
      </c>
      <c r="I187">
        <f>I186-I185</f>
        <v/>
      </c>
      <c r="J187">
        <f>J186-J185</f>
        <v/>
      </c>
      <c r="K187">
        <f>K186-K185</f>
        <v/>
      </c>
      <c r="L187">
        <f>L186-L185</f>
        <v/>
      </c>
      <c r="M187">
        <f>M186-M185</f>
        <v/>
      </c>
      <c r="N187">
        <f>N186-N185</f>
        <v/>
      </c>
      <c r="O187">
        <f>O186-O185</f>
        <v/>
      </c>
      <c r="P187">
        <f>P186-P185</f>
        <v/>
      </c>
      <c r="Q187">
        <f>Q186-Q185</f>
        <v/>
      </c>
      <c r="R187">
        <f>R186-R185</f>
        <v/>
      </c>
      <c r="S187">
        <f>S186-S185</f>
        <v/>
      </c>
    </row>
    <row r="188">
      <c r="C188" t="inlineStr">
        <is>
          <t>稼働棟数</t>
        </is>
      </c>
    </row>
    <row r="189">
      <c r="A189" t="n">
        <v>26</v>
      </c>
      <c r="B189" t="inlineStr">
        <is>
          <t>牧野 /加工BL</t>
        </is>
      </c>
      <c r="C189" t="inlineStr">
        <is>
          <t>58期</t>
        </is>
      </c>
    </row>
    <row r="190">
      <c r="C190" t="inlineStr">
        <is>
          <t>59期</t>
        </is>
      </c>
      <c r="F190" t="n">
        <v>0</v>
      </c>
    </row>
    <row r="191">
      <c r="C191" t="inlineStr">
        <is>
          <t>増　減</t>
        </is>
      </c>
      <c r="D191">
        <f>D190-D189</f>
        <v/>
      </c>
      <c r="E191">
        <f>E190-E189</f>
        <v/>
      </c>
      <c r="F191">
        <f>F190-F189</f>
        <v/>
      </c>
      <c r="G191">
        <f>G190-G189</f>
        <v/>
      </c>
      <c r="H191">
        <f>H190-H189</f>
        <v/>
      </c>
      <c r="I191">
        <f>I190-I189</f>
        <v/>
      </c>
      <c r="J191">
        <f>J190-J189</f>
        <v/>
      </c>
      <c r="K191">
        <f>K190-K189</f>
        <v/>
      </c>
      <c r="L191">
        <f>L190-L189</f>
        <v/>
      </c>
      <c r="M191">
        <f>M190-M189</f>
        <v/>
      </c>
      <c r="N191">
        <f>N190-N189</f>
        <v/>
      </c>
      <c r="O191">
        <f>O190-O189</f>
        <v/>
      </c>
      <c r="P191">
        <f>P190-P189</f>
        <v/>
      </c>
      <c r="Q191">
        <f>Q190-Q189</f>
        <v/>
      </c>
      <c r="R191">
        <f>R190-R189</f>
        <v/>
      </c>
      <c r="S191">
        <f>S190-S189</f>
        <v/>
      </c>
    </row>
    <row r="192">
      <c r="C192" t="inlineStr">
        <is>
          <t>稼働棟数</t>
        </is>
      </c>
    </row>
  </sheetData>
  <mergeCells count="83">
    <mergeCell ref="B153:B156"/>
    <mergeCell ref="A61:A64"/>
    <mergeCell ref="B149:B152"/>
    <mergeCell ref="B121:B124"/>
    <mergeCell ref="A153:A156"/>
    <mergeCell ref="A45:A48"/>
    <mergeCell ref="B77:B80"/>
    <mergeCell ref="A137:A140"/>
    <mergeCell ref="B61:B64"/>
    <mergeCell ref="A65:A68"/>
    <mergeCell ref="A105:A108"/>
    <mergeCell ref="B29:B32"/>
    <mergeCell ref="A37:A40"/>
    <mergeCell ref="B13:B16"/>
    <mergeCell ref="B53:B56"/>
    <mergeCell ref="A113:A116"/>
    <mergeCell ref="A17:A20"/>
    <mergeCell ref="A53:A56"/>
    <mergeCell ref="B37:B40"/>
    <mergeCell ref="A141:A144"/>
    <mergeCell ref="A93:A96"/>
    <mergeCell ref="B41:B44"/>
    <mergeCell ref="A49:A52"/>
    <mergeCell ref="B81:B84"/>
    <mergeCell ref="B169:B172"/>
    <mergeCell ref="A117:A120"/>
    <mergeCell ref="B93:B96"/>
    <mergeCell ref="B105:B108"/>
    <mergeCell ref="B161:B164"/>
    <mergeCell ref="B17:B20"/>
    <mergeCell ref="A89:A92"/>
    <mergeCell ref="B157:B160"/>
    <mergeCell ref="A21:A24"/>
    <mergeCell ref="B101:B104"/>
    <mergeCell ref="A145:A148"/>
    <mergeCell ref="B9:B12"/>
    <mergeCell ref="B69:B72"/>
    <mergeCell ref="A129:A132"/>
    <mergeCell ref="A57:A60"/>
    <mergeCell ref="B133:B136"/>
    <mergeCell ref="A121:A124"/>
    <mergeCell ref="A77:A80"/>
    <mergeCell ref="B45:B48"/>
    <mergeCell ref="B125:B128"/>
    <mergeCell ref="B97:B100"/>
    <mergeCell ref="B109:B112"/>
    <mergeCell ref="A69:A72"/>
    <mergeCell ref="A25:A28"/>
    <mergeCell ref="B145:B148"/>
    <mergeCell ref="B73:B76"/>
    <mergeCell ref="B57:B60"/>
    <mergeCell ref="B137:B140"/>
    <mergeCell ref="A101:A104"/>
    <mergeCell ref="A97:A100"/>
    <mergeCell ref="A29:A32"/>
    <mergeCell ref="A81:A84"/>
    <mergeCell ref="B49:B52"/>
    <mergeCell ref="B5:B8"/>
    <mergeCell ref="A13:A16"/>
    <mergeCell ref="B113:B116"/>
    <mergeCell ref="B173:B176"/>
    <mergeCell ref="A73:A76"/>
    <mergeCell ref="B141:B144"/>
    <mergeCell ref="A161:A164"/>
    <mergeCell ref="A157:A160"/>
    <mergeCell ref="B165:B168"/>
    <mergeCell ref="B21:B24"/>
    <mergeCell ref="B117:B120"/>
    <mergeCell ref="A149:A152"/>
    <mergeCell ref="A41:A44"/>
    <mergeCell ref="A133:A136"/>
    <mergeCell ref="A33:A36"/>
    <mergeCell ref="A85:A88"/>
    <mergeCell ref="B33:B36"/>
    <mergeCell ref="A5:A8"/>
    <mergeCell ref="A125:A128"/>
    <mergeCell ref="B65:B68"/>
    <mergeCell ref="A109:A112"/>
    <mergeCell ref="A9:A12"/>
    <mergeCell ref="B129:B132"/>
    <mergeCell ref="B89:B92"/>
    <mergeCell ref="B25:B28"/>
    <mergeCell ref="B85:B88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8" scale="71" fitToHeight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19920017</dc:creator>
  <dcterms:created xsi:type="dcterms:W3CDTF">2021-11-26T03:55:15Z</dcterms:created>
  <dcterms:modified xsi:type="dcterms:W3CDTF">2026-02-17T07:49:23Z</dcterms:modified>
  <cp:lastModifiedBy>松岡　徹平</cp:lastModifiedBy>
  <cp:lastPrinted>2026-02-16T23:38:55Z</cp:lastPrinted>
</cp:coreProperties>
</file>